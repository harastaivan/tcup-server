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gaero-my.sharepoint.com/personal/ivan_harasta_prg_aero/Documents/Dokumenty/ASW/T-cup/"/>
    </mc:Choice>
  </mc:AlternateContent>
  <xr:revisionPtr revIDLastSave="0" documentId="8_{9FF3AED3-0DAC-4B72-B2AA-42522079335E}" xr6:coauthVersionLast="47" xr6:coauthVersionMax="47" xr10:uidLastSave="{00000000-0000-0000-0000-000000000000}"/>
  <bookViews>
    <workbookView xWindow="-28920" yWindow="-60" windowWidth="29040" windowHeight="17520" xr2:uid="{3E83C5C2-69F2-4862-838D-01993B703B67}"/>
  </bookViews>
  <sheets>
    <sheet name="Zebrik G" sheetId="1" r:id="rId1"/>
  </sheets>
  <externalReferences>
    <externalReference r:id="rId2"/>
    <externalReference r:id="rId3"/>
  </externalReferences>
  <definedNames>
    <definedName name="_xlnm._FilterDatabase" localSheetId="0" hidden="1">'Zebrik G'!$G$6:$O$1000</definedName>
    <definedName name="HTML_CodePage" hidden="1">1250</definedName>
    <definedName name="HTML_Control" localSheetId="0" hidden="1">{"'Repre2003'!$A$1:$G$89"}</definedName>
    <definedName name="HTML_Control" hidden="1">{"'Repre2003'!$A$1:$G$89"}</definedName>
    <definedName name="HTML_Description" hidden="1">""</definedName>
    <definedName name="HTML_Email" hidden="1">""</definedName>
    <definedName name="HTML_Header" hidden="1">"PMČR Jihlava 2002"</definedName>
    <definedName name="HTML_LastUpdate" hidden="1">"6/17/02"</definedName>
    <definedName name="HTML_LineAfter" hidden="1">TRUE</definedName>
    <definedName name="HTML_LineBefore" hidden="1">TRUE</definedName>
    <definedName name="HTML_Name" hidden="1">"Petr Koutný"</definedName>
    <definedName name="HTML_OBDlg2" hidden="1">TRUE</definedName>
    <definedName name="HTML_OBDlg4" hidden="1">TRUE</definedName>
    <definedName name="HTML_OS" hidden="1">0</definedName>
    <definedName name="HTML_PathFile" hidden="1">"D:\WorkDir\Aeroklub\PK\korigovane_body_2002.htm"</definedName>
    <definedName name="HTML_Title" hidden="1">"Korigované body 2002"</definedName>
    <definedName name="Pilot" localSheetId="0">[2]Pilot!$A:$F</definedName>
    <definedName name="Pilot">[1]Pilot!$A:$F</definedName>
    <definedName name="Region" localSheetId="0">[2]Region!$A:$B</definedName>
    <definedName name="Region">[1]Region!$A:$B</definedName>
    <definedName name="Soutez" localSheetId="0">[2]Soutez!$A:$M</definedName>
    <definedName name="Soutez">[1]Soutez!$A:$M</definedName>
  </definedNames>
  <calcPr calcId="191029"/>
  <pivotCaches>
    <pivotCache cacheId="1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00" i="1" l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I456" i="1"/>
  <c r="A456" i="1"/>
  <c r="N455" i="1"/>
  <c r="I455" i="1"/>
  <c r="A455" i="1"/>
  <c r="N454" i="1"/>
  <c r="I454" i="1"/>
  <c r="A454" i="1"/>
  <c r="N453" i="1"/>
  <c r="I453" i="1"/>
  <c r="A453" i="1"/>
  <c r="N452" i="1"/>
  <c r="I452" i="1"/>
  <c r="A452" i="1"/>
  <c r="N451" i="1"/>
  <c r="I451" i="1"/>
  <c r="A451" i="1"/>
  <c r="N450" i="1"/>
  <c r="I450" i="1"/>
  <c r="A450" i="1"/>
  <c r="N449" i="1"/>
  <c r="I449" i="1"/>
  <c r="A449" i="1"/>
  <c r="N448" i="1"/>
  <c r="I448" i="1"/>
  <c r="A448" i="1"/>
  <c r="N447" i="1"/>
  <c r="I447" i="1"/>
  <c r="A447" i="1"/>
  <c r="N446" i="1"/>
  <c r="I446" i="1"/>
  <c r="A446" i="1"/>
  <c r="N445" i="1"/>
  <c r="I445" i="1"/>
  <c r="A445" i="1"/>
  <c r="N444" i="1"/>
  <c r="I444" i="1"/>
  <c r="A444" i="1"/>
  <c r="N443" i="1"/>
  <c r="I443" i="1"/>
  <c r="A443" i="1"/>
  <c r="N442" i="1"/>
  <c r="I442" i="1"/>
  <c r="A442" i="1"/>
  <c r="N441" i="1"/>
  <c r="I441" i="1"/>
  <c r="A441" i="1"/>
  <c r="N440" i="1"/>
  <c r="I440" i="1"/>
  <c r="A440" i="1"/>
  <c r="N439" i="1"/>
  <c r="I439" i="1"/>
  <c r="A439" i="1"/>
  <c r="N438" i="1"/>
  <c r="I438" i="1"/>
  <c r="A438" i="1"/>
  <c r="N437" i="1"/>
  <c r="I437" i="1"/>
  <c r="A437" i="1"/>
  <c r="N436" i="1"/>
  <c r="I436" i="1"/>
  <c r="A436" i="1"/>
  <c r="N435" i="1"/>
  <c r="I435" i="1"/>
  <c r="A435" i="1"/>
  <c r="N434" i="1"/>
  <c r="I434" i="1"/>
  <c r="A434" i="1"/>
  <c r="N433" i="1"/>
  <c r="I433" i="1"/>
  <c r="A433" i="1"/>
  <c r="N432" i="1"/>
  <c r="I432" i="1"/>
  <c r="A432" i="1"/>
  <c r="N431" i="1"/>
  <c r="I431" i="1"/>
  <c r="A431" i="1"/>
  <c r="N430" i="1"/>
  <c r="I430" i="1"/>
  <c r="A430" i="1"/>
  <c r="N429" i="1"/>
  <c r="I429" i="1"/>
  <c r="A429" i="1"/>
  <c r="N428" i="1"/>
  <c r="I428" i="1"/>
  <c r="A428" i="1"/>
  <c r="N427" i="1"/>
  <c r="I427" i="1"/>
  <c r="A427" i="1"/>
  <c r="N426" i="1"/>
  <c r="I426" i="1"/>
  <c r="A426" i="1"/>
  <c r="N425" i="1"/>
  <c r="I425" i="1"/>
  <c r="A425" i="1"/>
  <c r="N424" i="1"/>
  <c r="I424" i="1"/>
  <c r="A424" i="1"/>
  <c r="N423" i="1"/>
  <c r="I423" i="1"/>
  <c r="A423" i="1"/>
  <c r="N422" i="1"/>
  <c r="I422" i="1"/>
  <c r="A422" i="1"/>
  <c r="N421" i="1"/>
  <c r="I421" i="1"/>
  <c r="A421" i="1"/>
  <c r="N420" i="1"/>
  <c r="I420" i="1"/>
  <c r="A420" i="1"/>
  <c r="N419" i="1"/>
  <c r="I419" i="1"/>
  <c r="A419" i="1"/>
  <c r="N418" i="1"/>
  <c r="I418" i="1"/>
  <c r="A418" i="1"/>
  <c r="N417" i="1"/>
  <c r="I417" i="1"/>
  <c r="A417" i="1"/>
  <c r="N416" i="1"/>
  <c r="I416" i="1"/>
  <c r="A416" i="1"/>
  <c r="N415" i="1"/>
  <c r="I415" i="1"/>
  <c r="A415" i="1"/>
  <c r="N414" i="1"/>
  <c r="I414" i="1"/>
  <c r="A414" i="1"/>
  <c r="N413" i="1"/>
  <c r="I413" i="1"/>
  <c r="A413" i="1"/>
  <c r="N412" i="1"/>
  <c r="I412" i="1"/>
  <c r="A412" i="1"/>
  <c r="N411" i="1"/>
  <c r="I411" i="1"/>
  <c r="A411" i="1"/>
  <c r="N410" i="1"/>
  <c r="I410" i="1"/>
  <c r="A410" i="1"/>
  <c r="N409" i="1"/>
  <c r="I409" i="1"/>
  <c r="A409" i="1"/>
  <c r="N408" i="1"/>
  <c r="I408" i="1"/>
  <c r="A408" i="1"/>
  <c r="N407" i="1"/>
  <c r="I407" i="1"/>
  <c r="A407" i="1"/>
  <c r="N406" i="1"/>
  <c r="I406" i="1"/>
  <c r="A406" i="1"/>
  <c r="N405" i="1"/>
  <c r="I405" i="1"/>
  <c r="A405" i="1"/>
  <c r="N404" i="1"/>
  <c r="I404" i="1"/>
  <c r="A404" i="1"/>
  <c r="N403" i="1"/>
  <c r="I403" i="1"/>
  <c r="A403" i="1"/>
  <c r="N402" i="1"/>
  <c r="I402" i="1"/>
  <c r="A402" i="1"/>
  <c r="N401" i="1"/>
  <c r="I401" i="1"/>
  <c r="A401" i="1"/>
  <c r="N400" i="1"/>
  <c r="I400" i="1"/>
  <c r="A400" i="1"/>
  <c r="N399" i="1"/>
  <c r="I399" i="1"/>
  <c r="A399" i="1"/>
  <c r="N398" i="1"/>
  <c r="I398" i="1"/>
  <c r="A398" i="1"/>
  <c r="N397" i="1"/>
  <c r="I397" i="1"/>
  <c r="A397" i="1"/>
  <c r="N396" i="1"/>
  <c r="I396" i="1"/>
  <c r="A396" i="1"/>
  <c r="N395" i="1"/>
  <c r="I395" i="1"/>
  <c r="A395" i="1"/>
  <c r="N394" i="1"/>
  <c r="I394" i="1"/>
  <c r="A394" i="1"/>
  <c r="N393" i="1"/>
  <c r="I393" i="1"/>
  <c r="A393" i="1"/>
  <c r="N392" i="1"/>
  <c r="I392" i="1"/>
  <c r="A392" i="1"/>
  <c r="N391" i="1"/>
  <c r="I391" i="1"/>
  <c r="A391" i="1"/>
  <c r="N390" i="1"/>
  <c r="I390" i="1"/>
  <c r="A390" i="1"/>
  <c r="N389" i="1"/>
  <c r="I389" i="1"/>
  <c r="A389" i="1"/>
  <c r="N388" i="1"/>
  <c r="I388" i="1"/>
  <c r="A388" i="1"/>
  <c r="N387" i="1"/>
  <c r="I387" i="1"/>
  <c r="A387" i="1"/>
  <c r="N386" i="1"/>
  <c r="I386" i="1"/>
  <c r="A386" i="1"/>
  <c r="N385" i="1"/>
  <c r="I385" i="1"/>
  <c r="A385" i="1"/>
  <c r="N384" i="1"/>
  <c r="I384" i="1"/>
  <c r="A384" i="1"/>
  <c r="N383" i="1"/>
  <c r="I383" i="1"/>
  <c r="A383" i="1"/>
  <c r="N382" i="1"/>
  <c r="I382" i="1"/>
  <c r="A382" i="1"/>
  <c r="N381" i="1"/>
  <c r="I381" i="1"/>
  <c r="A381" i="1"/>
  <c r="N380" i="1"/>
  <c r="I380" i="1"/>
  <c r="A380" i="1"/>
  <c r="N379" i="1"/>
  <c r="I379" i="1"/>
  <c r="A379" i="1"/>
  <c r="N378" i="1"/>
  <c r="I378" i="1"/>
  <c r="A378" i="1"/>
  <c r="N377" i="1"/>
  <c r="I377" i="1"/>
  <c r="A377" i="1"/>
  <c r="N376" i="1"/>
  <c r="I376" i="1"/>
  <c r="A376" i="1"/>
  <c r="N375" i="1"/>
  <c r="I375" i="1"/>
  <c r="A375" i="1"/>
  <c r="N374" i="1"/>
  <c r="I374" i="1"/>
  <c r="A374" i="1"/>
  <c r="N373" i="1"/>
  <c r="I373" i="1"/>
  <c r="A373" i="1"/>
  <c r="N372" i="1"/>
  <c r="I372" i="1"/>
  <c r="A372" i="1"/>
  <c r="N371" i="1"/>
  <c r="I371" i="1"/>
  <c r="A371" i="1"/>
  <c r="N370" i="1"/>
  <c r="I370" i="1"/>
  <c r="A370" i="1"/>
  <c r="N369" i="1"/>
  <c r="I369" i="1"/>
  <c r="A369" i="1"/>
  <c r="N368" i="1"/>
  <c r="I368" i="1"/>
  <c r="A368" i="1"/>
  <c r="N367" i="1"/>
  <c r="I367" i="1"/>
  <c r="A367" i="1"/>
  <c r="N366" i="1"/>
  <c r="I366" i="1"/>
  <c r="A366" i="1"/>
  <c r="N365" i="1"/>
  <c r="I365" i="1"/>
  <c r="A365" i="1"/>
  <c r="N364" i="1"/>
  <c r="I364" i="1"/>
  <c r="A364" i="1"/>
  <c r="N363" i="1"/>
  <c r="I363" i="1"/>
  <c r="A363" i="1"/>
  <c r="N362" i="1"/>
  <c r="I362" i="1"/>
  <c r="A362" i="1"/>
  <c r="N361" i="1"/>
  <c r="I361" i="1"/>
  <c r="A361" i="1"/>
  <c r="N360" i="1"/>
  <c r="I360" i="1"/>
  <c r="A360" i="1"/>
  <c r="N359" i="1"/>
  <c r="I359" i="1"/>
  <c r="A359" i="1"/>
  <c r="N358" i="1"/>
  <c r="I358" i="1"/>
  <c r="A358" i="1"/>
  <c r="N357" i="1"/>
  <c r="I357" i="1"/>
  <c r="A357" i="1"/>
  <c r="N356" i="1"/>
  <c r="I356" i="1"/>
  <c r="A356" i="1"/>
  <c r="N355" i="1"/>
  <c r="I355" i="1"/>
  <c r="A355" i="1"/>
  <c r="N354" i="1"/>
  <c r="I354" i="1"/>
  <c r="A354" i="1"/>
  <c r="N353" i="1"/>
  <c r="I353" i="1"/>
  <c r="A353" i="1"/>
  <c r="N352" i="1"/>
  <c r="I352" i="1"/>
  <c r="A352" i="1"/>
  <c r="N351" i="1"/>
  <c r="I351" i="1"/>
  <c r="A351" i="1"/>
  <c r="N350" i="1"/>
  <c r="I350" i="1"/>
  <c r="A350" i="1"/>
  <c r="N349" i="1"/>
  <c r="I349" i="1"/>
  <c r="A349" i="1"/>
  <c r="N348" i="1"/>
  <c r="I348" i="1"/>
  <c r="A348" i="1"/>
  <c r="N347" i="1"/>
  <c r="I347" i="1"/>
  <c r="A347" i="1"/>
  <c r="N346" i="1"/>
  <c r="I346" i="1"/>
  <c r="A346" i="1"/>
  <c r="N345" i="1"/>
  <c r="I345" i="1"/>
  <c r="A345" i="1"/>
  <c r="N344" i="1"/>
  <c r="I344" i="1"/>
  <c r="A344" i="1"/>
  <c r="N343" i="1"/>
  <c r="I343" i="1"/>
  <c r="A343" i="1"/>
  <c r="N342" i="1"/>
  <c r="I342" i="1"/>
  <c r="A342" i="1"/>
  <c r="N341" i="1"/>
  <c r="I341" i="1"/>
  <c r="A341" i="1"/>
  <c r="N340" i="1"/>
  <c r="I340" i="1"/>
  <c r="A340" i="1"/>
  <c r="N339" i="1"/>
  <c r="I339" i="1"/>
  <c r="A339" i="1"/>
  <c r="N338" i="1"/>
  <c r="I338" i="1"/>
  <c r="A338" i="1"/>
  <c r="N337" i="1"/>
  <c r="I337" i="1"/>
  <c r="A337" i="1"/>
  <c r="N336" i="1"/>
  <c r="I336" i="1"/>
  <c r="A336" i="1"/>
  <c r="N335" i="1"/>
  <c r="I335" i="1"/>
  <c r="A335" i="1"/>
  <c r="N334" i="1"/>
  <c r="I334" i="1"/>
  <c r="A334" i="1"/>
  <c r="N333" i="1"/>
  <c r="I333" i="1"/>
  <c r="A333" i="1"/>
  <c r="N332" i="1"/>
  <c r="I332" i="1"/>
  <c r="A332" i="1"/>
  <c r="N331" i="1"/>
  <c r="I331" i="1"/>
  <c r="A331" i="1"/>
  <c r="N330" i="1"/>
  <c r="I330" i="1"/>
  <c r="A330" i="1"/>
  <c r="N329" i="1"/>
  <c r="I329" i="1"/>
  <c r="A329" i="1"/>
  <c r="N328" i="1"/>
  <c r="I328" i="1"/>
  <c r="A328" i="1"/>
  <c r="N327" i="1"/>
  <c r="I327" i="1"/>
  <c r="A327" i="1"/>
  <c r="N326" i="1"/>
  <c r="I326" i="1"/>
  <c r="A326" i="1"/>
  <c r="N325" i="1"/>
  <c r="I325" i="1"/>
  <c r="A325" i="1"/>
  <c r="N324" i="1"/>
  <c r="I324" i="1"/>
  <c r="A324" i="1"/>
  <c r="N323" i="1"/>
  <c r="I323" i="1"/>
  <c r="A323" i="1"/>
  <c r="N322" i="1"/>
  <c r="I322" i="1"/>
  <c r="A322" i="1"/>
  <c r="N321" i="1"/>
  <c r="I321" i="1"/>
  <c r="A321" i="1"/>
  <c r="N320" i="1"/>
  <c r="I320" i="1"/>
  <c r="A320" i="1"/>
  <c r="N319" i="1"/>
  <c r="I319" i="1"/>
  <c r="A319" i="1"/>
  <c r="N318" i="1"/>
  <c r="I318" i="1"/>
  <c r="A318" i="1"/>
  <c r="N317" i="1"/>
  <c r="I317" i="1"/>
  <c r="A317" i="1"/>
  <c r="N316" i="1"/>
  <c r="I316" i="1"/>
  <c r="A316" i="1"/>
  <c r="N315" i="1"/>
  <c r="I315" i="1"/>
  <c r="A315" i="1"/>
  <c r="N314" i="1"/>
  <c r="I314" i="1"/>
  <c r="A314" i="1"/>
  <c r="N313" i="1"/>
  <c r="I313" i="1"/>
  <c r="A313" i="1"/>
  <c r="N312" i="1"/>
  <c r="I312" i="1"/>
  <c r="A312" i="1"/>
  <c r="N311" i="1"/>
  <c r="I311" i="1"/>
  <c r="A311" i="1"/>
  <c r="N310" i="1"/>
  <c r="I310" i="1"/>
  <c r="A310" i="1"/>
  <c r="N309" i="1"/>
  <c r="I309" i="1"/>
  <c r="A309" i="1"/>
  <c r="N308" i="1"/>
  <c r="I308" i="1"/>
  <c r="A308" i="1"/>
  <c r="N307" i="1"/>
  <c r="I307" i="1"/>
  <c r="A307" i="1"/>
  <c r="N306" i="1"/>
  <c r="I306" i="1"/>
  <c r="A306" i="1"/>
  <c r="N305" i="1"/>
  <c r="I305" i="1"/>
  <c r="A305" i="1"/>
  <c r="N304" i="1"/>
  <c r="I304" i="1"/>
  <c r="A304" i="1"/>
  <c r="N303" i="1"/>
  <c r="I303" i="1"/>
  <c r="A303" i="1"/>
  <c r="N302" i="1"/>
  <c r="I302" i="1"/>
  <c r="A302" i="1"/>
  <c r="N301" i="1"/>
  <c r="I301" i="1"/>
  <c r="A301" i="1"/>
  <c r="N300" i="1"/>
  <c r="I300" i="1"/>
  <c r="A300" i="1"/>
  <c r="N299" i="1"/>
  <c r="I299" i="1"/>
  <c r="A299" i="1"/>
  <c r="N298" i="1"/>
  <c r="I298" i="1"/>
  <c r="A298" i="1"/>
  <c r="N297" i="1"/>
  <c r="I297" i="1"/>
  <c r="A297" i="1"/>
  <c r="N296" i="1"/>
  <c r="I296" i="1"/>
  <c r="A296" i="1"/>
  <c r="N295" i="1"/>
  <c r="I295" i="1"/>
  <c r="A295" i="1"/>
  <c r="N294" i="1"/>
  <c r="I294" i="1"/>
  <c r="A294" i="1"/>
  <c r="N293" i="1"/>
  <c r="I293" i="1"/>
  <c r="A293" i="1"/>
  <c r="N292" i="1"/>
  <c r="I292" i="1"/>
  <c r="A292" i="1"/>
  <c r="N291" i="1"/>
  <c r="I291" i="1"/>
  <c r="A291" i="1"/>
  <c r="N290" i="1"/>
  <c r="I290" i="1"/>
  <c r="A290" i="1"/>
  <c r="N289" i="1"/>
  <c r="I289" i="1"/>
  <c r="A289" i="1"/>
  <c r="N288" i="1"/>
  <c r="I288" i="1"/>
  <c r="A288" i="1"/>
  <c r="N287" i="1"/>
  <c r="I287" i="1"/>
  <c r="A287" i="1"/>
  <c r="N286" i="1"/>
  <c r="I286" i="1"/>
  <c r="A286" i="1"/>
  <c r="N285" i="1"/>
  <c r="I285" i="1"/>
  <c r="A285" i="1"/>
  <c r="N284" i="1"/>
  <c r="I284" i="1"/>
  <c r="A284" i="1"/>
  <c r="N283" i="1"/>
  <c r="I283" i="1"/>
  <c r="A283" i="1"/>
  <c r="N282" i="1"/>
  <c r="I282" i="1"/>
  <c r="A282" i="1"/>
  <c r="N281" i="1"/>
  <c r="I281" i="1"/>
  <c r="A281" i="1"/>
  <c r="N280" i="1"/>
  <c r="I280" i="1"/>
  <c r="A280" i="1"/>
  <c r="N279" i="1"/>
  <c r="I279" i="1"/>
  <c r="A279" i="1"/>
  <c r="N278" i="1"/>
  <c r="I278" i="1"/>
  <c r="A278" i="1"/>
  <c r="N277" i="1"/>
  <c r="I277" i="1"/>
  <c r="A277" i="1"/>
  <c r="N276" i="1"/>
  <c r="I276" i="1"/>
  <c r="A276" i="1"/>
  <c r="N275" i="1"/>
  <c r="I275" i="1"/>
  <c r="A275" i="1"/>
  <c r="N274" i="1"/>
  <c r="I274" i="1"/>
  <c r="A274" i="1"/>
  <c r="N273" i="1"/>
  <c r="I273" i="1"/>
  <c r="A273" i="1"/>
  <c r="N272" i="1"/>
  <c r="I272" i="1"/>
  <c r="A272" i="1"/>
  <c r="N271" i="1"/>
  <c r="I271" i="1"/>
  <c r="A271" i="1"/>
  <c r="N270" i="1"/>
  <c r="I270" i="1"/>
  <c r="A270" i="1"/>
  <c r="N269" i="1"/>
  <c r="I269" i="1"/>
  <c r="A269" i="1"/>
  <c r="N268" i="1"/>
  <c r="I268" i="1"/>
  <c r="A268" i="1"/>
  <c r="N267" i="1"/>
  <c r="I267" i="1"/>
  <c r="A267" i="1"/>
  <c r="N266" i="1"/>
  <c r="I266" i="1"/>
  <c r="A266" i="1"/>
  <c r="N265" i="1"/>
  <c r="I265" i="1"/>
  <c r="A265" i="1"/>
  <c r="N264" i="1"/>
  <c r="I264" i="1"/>
  <c r="A264" i="1"/>
  <c r="N263" i="1"/>
  <c r="I263" i="1"/>
  <c r="A263" i="1"/>
  <c r="N262" i="1"/>
  <c r="I262" i="1"/>
  <c r="A262" i="1"/>
  <c r="N261" i="1"/>
  <c r="I261" i="1"/>
  <c r="A261" i="1"/>
  <c r="N260" i="1"/>
  <c r="I260" i="1"/>
  <c r="A260" i="1"/>
  <c r="N259" i="1"/>
  <c r="I259" i="1"/>
  <c r="A259" i="1"/>
  <c r="N258" i="1"/>
  <c r="I258" i="1"/>
  <c r="A258" i="1"/>
  <c r="N257" i="1"/>
  <c r="I257" i="1"/>
  <c r="A257" i="1"/>
  <c r="N256" i="1"/>
  <c r="I256" i="1"/>
  <c r="A256" i="1"/>
  <c r="N255" i="1"/>
  <c r="I255" i="1"/>
  <c r="A255" i="1"/>
  <c r="N254" i="1"/>
  <c r="I254" i="1"/>
  <c r="A254" i="1"/>
  <c r="N253" i="1"/>
  <c r="I253" i="1"/>
  <c r="A253" i="1"/>
  <c r="N252" i="1"/>
  <c r="I252" i="1"/>
  <c r="A252" i="1"/>
  <c r="N251" i="1"/>
  <c r="I251" i="1"/>
  <c r="A251" i="1"/>
  <c r="N250" i="1"/>
  <c r="I250" i="1"/>
  <c r="A250" i="1"/>
  <c r="N249" i="1"/>
  <c r="I249" i="1"/>
  <c r="A249" i="1"/>
  <c r="N248" i="1"/>
  <c r="I248" i="1"/>
  <c r="A248" i="1"/>
  <c r="N247" i="1"/>
  <c r="I247" i="1"/>
  <c r="A247" i="1"/>
  <c r="N246" i="1"/>
  <c r="I246" i="1"/>
  <c r="A246" i="1"/>
  <c r="N245" i="1"/>
  <c r="I245" i="1"/>
  <c r="A245" i="1"/>
  <c r="N244" i="1"/>
  <c r="I244" i="1"/>
  <c r="A244" i="1"/>
  <c r="N243" i="1"/>
  <c r="I243" i="1"/>
  <c r="A243" i="1"/>
  <c r="N242" i="1"/>
  <c r="I242" i="1"/>
  <c r="A242" i="1"/>
  <c r="N241" i="1"/>
  <c r="I241" i="1"/>
  <c r="A241" i="1"/>
  <c r="N240" i="1"/>
  <c r="I240" i="1"/>
  <c r="A240" i="1"/>
  <c r="N239" i="1"/>
  <c r="I239" i="1"/>
  <c r="A239" i="1"/>
  <c r="N238" i="1"/>
  <c r="I238" i="1"/>
  <c r="A238" i="1"/>
  <c r="N237" i="1"/>
  <c r="I237" i="1"/>
  <c r="A237" i="1"/>
  <c r="N236" i="1"/>
  <c r="I236" i="1"/>
  <c r="A236" i="1"/>
  <c r="N235" i="1"/>
  <c r="I235" i="1"/>
  <c r="A235" i="1"/>
  <c r="N234" i="1"/>
  <c r="I234" i="1"/>
  <c r="A234" i="1"/>
  <c r="N233" i="1"/>
  <c r="I233" i="1"/>
  <c r="A233" i="1"/>
  <c r="N232" i="1"/>
  <c r="I232" i="1"/>
  <c r="A232" i="1"/>
  <c r="N231" i="1"/>
  <c r="I231" i="1"/>
  <c r="A231" i="1"/>
  <c r="N230" i="1"/>
  <c r="I230" i="1"/>
  <c r="A230" i="1"/>
  <c r="N229" i="1"/>
  <c r="I229" i="1"/>
  <c r="A229" i="1"/>
  <c r="N228" i="1"/>
  <c r="I228" i="1"/>
  <c r="A228" i="1"/>
  <c r="N227" i="1"/>
  <c r="I227" i="1"/>
  <c r="A227" i="1"/>
  <c r="N226" i="1"/>
  <c r="I226" i="1"/>
  <c r="A226" i="1"/>
  <c r="N225" i="1"/>
  <c r="I225" i="1"/>
  <c r="A225" i="1"/>
  <c r="N224" i="1"/>
  <c r="I224" i="1"/>
  <c r="A224" i="1"/>
  <c r="N223" i="1"/>
  <c r="I223" i="1"/>
  <c r="A223" i="1"/>
  <c r="N222" i="1"/>
  <c r="I222" i="1"/>
  <c r="A222" i="1"/>
  <c r="N221" i="1"/>
  <c r="I221" i="1"/>
  <c r="A221" i="1"/>
  <c r="N220" i="1"/>
  <c r="I220" i="1"/>
  <c r="A220" i="1"/>
  <c r="N219" i="1"/>
  <c r="I219" i="1"/>
  <c r="A219" i="1"/>
  <c r="N218" i="1"/>
  <c r="I218" i="1"/>
  <c r="A218" i="1"/>
  <c r="N217" i="1"/>
  <c r="I217" i="1"/>
  <c r="A217" i="1"/>
  <c r="N216" i="1"/>
  <c r="I216" i="1"/>
  <c r="A216" i="1"/>
  <c r="N215" i="1"/>
  <c r="I215" i="1"/>
  <c r="A215" i="1"/>
  <c r="N214" i="1"/>
  <c r="I214" i="1"/>
  <c r="A214" i="1"/>
  <c r="N213" i="1"/>
  <c r="I213" i="1"/>
  <c r="A213" i="1"/>
  <c r="N212" i="1"/>
  <c r="I212" i="1"/>
  <c r="A212" i="1"/>
  <c r="N211" i="1"/>
  <c r="I211" i="1"/>
  <c r="A211" i="1"/>
  <c r="N210" i="1"/>
  <c r="I210" i="1"/>
  <c r="A210" i="1"/>
  <c r="N209" i="1"/>
  <c r="I209" i="1"/>
  <c r="A209" i="1"/>
  <c r="N208" i="1"/>
  <c r="I208" i="1"/>
  <c r="A208" i="1"/>
  <c r="N207" i="1"/>
  <c r="I207" i="1"/>
  <c r="A207" i="1"/>
  <c r="N206" i="1"/>
  <c r="I206" i="1"/>
  <c r="A206" i="1"/>
  <c r="N205" i="1"/>
  <c r="I205" i="1"/>
  <c r="A205" i="1"/>
  <c r="N204" i="1"/>
  <c r="I204" i="1"/>
  <c r="A204" i="1"/>
  <c r="N203" i="1"/>
  <c r="I203" i="1"/>
  <c r="A203" i="1"/>
  <c r="N202" i="1"/>
  <c r="I202" i="1"/>
  <c r="A202" i="1"/>
  <c r="N201" i="1"/>
  <c r="I201" i="1"/>
  <c r="A201" i="1"/>
  <c r="N200" i="1"/>
  <c r="I200" i="1"/>
  <c r="A200" i="1"/>
  <c r="N199" i="1"/>
  <c r="I199" i="1"/>
  <c r="A199" i="1"/>
  <c r="N198" i="1"/>
  <c r="I198" i="1"/>
  <c r="A198" i="1"/>
  <c r="N197" i="1"/>
  <c r="I197" i="1"/>
  <c r="A197" i="1"/>
  <c r="N196" i="1"/>
  <c r="I196" i="1"/>
  <c r="A196" i="1"/>
  <c r="N195" i="1"/>
  <c r="I195" i="1"/>
  <c r="A195" i="1"/>
  <c r="N194" i="1"/>
  <c r="I194" i="1"/>
  <c r="A194" i="1"/>
  <c r="N193" i="1"/>
  <c r="I193" i="1"/>
  <c r="A193" i="1"/>
  <c r="N192" i="1"/>
  <c r="I192" i="1"/>
  <c r="A192" i="1"/>
  <c r="N191" i="1"/>
  <c r="I191" i="1"/>
  <c r="A191" i="1"/>
  <c r="N190" i="1"/>
  <c r="I190" i="1"/>
  <c r="A190" i="1"/>
  <c r="N189" i="1"/>
  <c r="I189" i="1"/>
  <c r="A189" i="1"/>
  <c r="N188" i="1"/>
  <c r="I188" i="1"/>
  <c r="A188" i="1"/>
  <c r="N187" i="1"/>
  <c r="I187" i="1"/>
  <c r="A187" i="1"/>
  <c r="N186" i="1"/>
  <c r="I186" i="1"/>
  <c r="A186" i="1"/>
  <c r="N185" i="1"/>
  <c r="I185" i="1"/>
  <c r="A185" i="1"/>
  <c r="N184" i="1"/>
  <c r="I184" i="1"/>
  <c r="A184" i="1"/>
  <c r="N183" i="1"/>
  <c r="I183" i="1"/>
  <c r="A183" i="1"/>
  <c r="N182" i="1"/>
  <c r="I182" i="1"/>
  <c r="A182" i="1"/>
  <c r="N181" i="1"/>
  <c r="I181" i="1"/>
  <c r="A181" i="1"/>
  <c r="N180" i="1"/>
  <c r="I180" i="1"/>
  <c r="A180" i="1"/>
  <c r="N179" i="1"/>
  <c r="I179" i="1"/>
  <c r="A179" i="1"/>
  <c r="N178" i="1"/>
  <c r="I178" i="1"/>
  <c r="A178" i="1"/>
  <c r="N177" i="1"/>
  <c r="I177" i="1"/>
  <c r="A177" i="1"/>
  <c r="N176" i="1"/>
  <c r="I176" i="1"/>
  <c r="A176" i="1"/>
  <c r="N175" i="1"/>
  <c r="I175" i="1"/>
  <c r="A175" i="1"/>
  <c r="N174" i="1"/>
  <c r="I174" i="1"/>
  <c r="A174" i="1"/>
  <c r="N173" i="1"/>
  <c r="I173" i="1"/>
  <c r="A173" i="1"/>
  <c r="N172" i="1"/>
  <c r="I172" i="1"/>
  <c r="A172" i="1"/>
  <c r="N171" i="1"/>
  <c r="I171" i="1"/>
  <c r="A171" i="1"/>
  <c r="N170" i="1"/>
  <c r="I170" i="1"/>
  <c r="A170" i="1"/>
  <c r="N169" i="1"/>
  <c r="I169" i="1"/>
  <c r="A169" i="1"/>
  <c r="N168" i="1"/>
  <c r="I168" i="1"/>
  <c r="A168" i="1"/>
  <c r="N167" i="1"/>
  <c r="I167" i="1"/>
  <c r="A167" i="1"/>
  <c r="N166" i="1"/>
  <c r="I166" i="1"/>
  <c r="A166" i="1"/>
  <c r="N165" i="1"/>
  <c r="I165" i="1"/>
  <c r="A165" i="1"/>
  <c r="N164" i="1"/>
  <c r="I164" i="1"/>
  <c r="A164" i="1"/>
  <c r="N163" i="1"/>
  <c r="I163" i="1"/>
  <c r="A163" i="1"/>
  <c r="N162" i="1"/>
  <c r="I162" i="1"/>
  <c r="A162" i="1"/>
  <c r="N161" i="1"/>
  <c r="I161" i="1"/>
  <c r="A161" i="1"/>
  <c r="N160" i="1"/>
  <c r="I160" i="1"/>
  <c r="A160" i="1"/>
  <c r="N159" i="1"/>
  <c r="I159" i="1"/>
  <c r="A159" i="1"/>
  <c r="N158" i="1"/>
  <c r="I158" i="1"/>
  <c r="A158" i="1"/>
  <c r="N157" i="1"/>
  <c r="I157" i="1"/>
  <c r="A157" i="1"/>
  <c r="N156" i="1"/>
  <c r="I156" i="1"/>
  <c r="A156" i="1"/>
  <c r="N155" i="1"/>
  <c r="I155" i="1"/>
  <c r="A155" i="1"/>
  <c r="N154" i="1"/>
  <c r="I154" i="1"/>
  <c r="A154" i="1"/>
  <c r="N153" i="1"/>
  <c r="J153" i="1"/>
  <c r="I153" i="1"/>
  <c r="A153" i="1"/>
  <c r="N152" i="1"/>
  <c r="I152" i="1"/>
  <c r="A152" i="1"/>
  <c r="N151" i="1"/>
  <c r="I151" i="1"/>
  <c r="A151" i="1"/>
  <c r="N150" i="1"/>
  <c r="I150" i="1"/>
  <c r="A150" i="1"/>
  <c r="N149" i="1"/>
  <c r="I149" i="1"/>
  <c r="A149" i="1"/>
  <c r="N148" i="1"/>
  <c r="I148" i="1"/>
  <c r="A148" i="1"/>
  <c r="N147" i="1"/>
  <c r="I147" i="1"/>
  <c r="A147" i="1"/>
  <c r="N146" i="1"/>
  <c r="I146" i="1"/>
  <c r="A146" i="1"/>
  <c r="N145" i="1"/>
  <c r="I145" i="1"/>
  <c r="A145" i="1"/>
  <c r="N144" i="1"/>
  <c r="I144" i="1"/>
  <c r="A144" i="1"/>
  <c r="N143" i="1"/>
  <c r="I143" i="1"/>
  <c r="A143" i="1"/>
  <c r="N142" i="1"/>
  <c r="I142" i="1"/>
  <c r="A142" i="1"/>
  <c r="N141" i="1"/>
  <c r="J141" i="1"/>
  <c r="I141" i="1"/>
  <c r="A141" i="1"/>
  <c r="N140" i="1"/>
  <c r="I140" i="1"/>
  <c r="A140" i="1"/>
  <c r="N139" i="1"/>
  <c r="I139" i="1"/>
  <c r="A139" i="1"/>
  <c r="N138" i="1"/>
  <c r="I138" i="1"/>
  <c r="A138" i="1"/>
  <c r="N137" i="1"/>
  <c r="I137" i="1"/>
  <c r="A137" i="1"/>
  <c r="N136" i="1"/>
  <c r="I136" i="1"/>
  <c r="A136" i="1"/>
  <c r="N135" i="1"/>
  <c r="I135" i="1"/>
  <c r="A135" i="1"/>
  <c r="N134" i="1"/>
  <c r="I134" i="1"/>
  <c r="A134" i="1"/>
  <c r="N133" i="1"/>
  <c r="I133" i="1"/>
  <c r="A133" i="1"/>
  <c r="N132" i="1"/>
  <c r="I132" i="1"/>
  <c r="A132" i="1"/>
  <c r="N131" i="1"/>
  <c r="I131" i="1"/>
  <c r="A131" i="1"/>
  <c r="N130" i="1"/>
  <c r="I130" i="1"/>
  <c r="A130" i="1"/>
  <c r="N129" i="1"/>
  <c r="J129" i="1"/>
  <c r="I129" i="1"/>
  <c r="A129" i="1"/>
  <c r="N128" i="1"/>
  <c r="I128" i="1"/>
  <c r="A128" i="1"/>
  <c r="N127" i="1"/>
  <c r="I127" i="1"/>
  <c r="A127" i="1"/>
  <c r="N126" i="1"/>
  <c r="I126" i="1"/>
  <c r="A126" i="1"/>
  <c r="N125" i="1"/>
  <c r="I125" i="1"/>
  <c r="A125" i="1"/>
  <c r="N124" i="1"/>
  <c r="I124" i="1"/>
  <c r="A124" i="1"/>
  <c r="N123" i="1"/>
  <c r="I123" i="1"/>
  <c r="A123" i="1"/>
  <c r="N122" i="1"/>
  <c r="I122" i="1"/>
  <c r="A122" i="1"/>
  <c r="N121" i="1"/>
  <c r="I121" i="1"/>
  <c r="A121" i="1"/>
  <c r="N120" i="1"/>
  <c r="I120" i="1"/>
  <c r="A120" i="1"/>
  <c r="N119" i="1"/>
  <c r="I119" i="1"/>
  <c r="A119" i="1"/>
  <c r="N118" i="1"/>
  <c r="I118" i="1"/>
  <c r="A118" i="1"/>
  <c r="N117" i="1"/>
  <c r="J117" i="1"/>
  <c r="I117" i="1"/>
  <c r="A117" i="1"/>
  <c r="N116" i="1"/>
  <c r="I116" i="1"/>
  <c r="A116" i="1"/>
  <c r="N115" i="1"/>
  <c r="I115" i="1"/>
  <c r="A115" i="1"/>
  <c r="N114" i="1"/>
  <c r="I114" i="1"/>
  <c r="A114" i="1"/>
  <c r="N113" i="1"/>
  <c r="I113" i="1"/>
  <c r="A113" i="1"/>
  <c r="N112" i="1"/>
  <c r="I112" i="1"/>
  <c r="A112" i="1"/>
  <c r="N111" i="1"/>
  <c r="I111" i="1"/>
  <c r="A111" i="1"/>
  <c r="N110" i="1"/>
  <c r="I110" i="1"/>
  <c r="A110" i="1"/>
  <c r="N109" i="1"/>
  <c r="I109" i="1"/>
  <c r="A109" i="1"/>
  <c r="N108" i="1"/>
  <c r="I108" i="1"/>
  <c r="A108" i="1"/>
  <c r="N107" i="1"/>
  <c r="I107" i="1"/>
  <c r="A107" i="1"/>
  <c r="N106" i="1"/>
  <c r="I106" i="1"/>
  <c r="A106" i="1"/>
  <c r="N105" i="1"/>
  <c r="J105" i="1"/>
  <c r="I105" i="1"/>
  <c r="A105" i="1"/>
  <c r="N104" i="1"/>
  <c r="I104" i="1"/>
  <c r="A104" i="1"/>
  <c r="N103" i="1"/>
  <c r="I103" i="1"/>
  <c r="A103" i="1"/>
  <c r="N102" i="1"/>
  <c r="I102" i="1"/>
  <c r="A102" i="1"/>
  <c r="N101" i="1"/>
  <c r="I101" i="1"/>
  <c r="A101" i="1"/>
  <c r="N100" i="1"/>
  <c r="I100" i="1"/>
  <c r="A100" i="1"/>
  <c r="N99" i="1"/>
  <c r="I99" i="1"/>
  <c r="A99" i="1"/>
  <c r="N98" i="1"/>
  <c r="J98" i="1"/>
  <c r="I98" i="1"/>
  <c r="A98" i="1"/>
  <c r="N97" i="1"/>
  <c r="I97" i="1"/>
  <c r="A97" i="1"/>
  <c r="N96" i="1"/>
  <c r="I96" i="1"/>
  <c r="A96" i="1"/>
  <c r="N95" i="1"/>
  <c r="I95" i="1"/>
  <c r="A95" i="1"/>
  <c r="N94" i="1"/>
  <c r="I94" i="1"/>
  <c r="A94" i="1"/>
  <c r="N93" i="1"/>
  <c r="J93" i="1"/>
  <c r="I93" i="1"/>
  <c r="A93" i="1"/>
  <c r="N92" i="1"/>
  <c r="I92" i="1"/>
  <c r="A92" i="1"/>
  <c r="N91" i="1"/>
  <c r="I91" i="1"/>
  <c r="A91" i="1"/>
  <c r="N90" i="1"/>
  <c r="I90" i="1"/>
  <c r="A90" i="1"/>
  <c r="N89" i="1"/>
  <c r="I89" i="1"/>
  <c r="A89" i="1"/>
  <c r="N88" i="1"/>
  <c r="I88" i="1"/>
  <c r="A88" i="1"/>
  <c r="N87" i="1"/>
  <c r="I87" i="1"/>
  <c r="A87" i="1"/>
  <c r="N86" i="1"/>
  <c r="J86" i="1"/>
  <c r="I86" i="1"/>
  <c r="A86" i="1"/>
  <c r="N85" i="1"/>
  <c r="I85" i="1"/>
  <c r="A85" i="1"/>
  <c r="N84" i="1"/>
  <c r="I84" i="1"/>
  <c r="A84" i="1"/>
  <c r="N83" i="1"/>
  <c r="I83" i="1"/>
  <c r="A83" i="1"/>
  <c r="N82" i="1"/>
  <c r="I82" i="1"/>
  <c r="A82" i="1"/>
  <c r="N81" i="1"/>
  <c r="J81" i="1"/>
  <c r="I81" i="1"/>
  <c r="A81" i="1"/>
  <c r="N80" i="1"/>
  <c r="I80" i="1"/>
  <c r="A80" i="1"/>
  <c r="N79" i="1"/>
  <c r="I79" i="1"/>
  <c r="A79" i="1"/>
  <c r="N78" i="1"/>
  <c r="I78" i="1"/>
  <c r="A78" i="1"/>
  <c r="N77" i="1"/>
  <c r="I77" i="1"/>
  <c r="A77" i="1"/>
  <c r="N76" i="1"/>
  <c r="I76" i="1"/>
  <c r="A76" i="1"/>
  <c r="N75" i="1"/>
  <c r="I75" i="1"/>
  <c r="A75" i="1"/>
  <c r="N74" i="1"/>
  <c r="J74" i="1"/>
  <c r="I74" i="1"/>
  <c r="A74" i="1"/>
  <c r="N73" i="1"/>
  <c r="I73" i="1"/>
  <c r="A73" i="1"/>
  <c r="N72" i="1"/>
  <c r="I72" i="1"/>
  <c r="A72" i="1"/>
  <c r="N71" i="1"/>
  <c r="I71" i="1"/>
  <c r="A71" i="1"/>
  <c r="N70" i="1"/>
  <c r="I70" i="1"/>
  <c r="A70" i="1"/>
  <c r="N69" i="1"/>
  <c r="J69" i="1"/>
  <c r="I69" i="1"/>
  <c r="A69" i="1"/>
  <c r="N68" i="1"/>
  <c r="I68" i="1"/>
  <c r="A68" i="1"/>
  <c r="N67" i="1"/>
  <c r="I67" i="1"/>
  <c r="A67" i="1"/>
  <c r="N66" i="1"/>
  <c r="I66" i="1"/>
  <c r="A66" i="1"/>
  <c r="N65" i="1"/>
  <c r="I65" i="1"/>
  <c r="A65" i="1"/>
  <c r="N64" i="1"/>
  <c r="I64" i="1"/>
  <c r="A64" i="1"/>
  <c r="N63" i="1"/>
  <c r="I63" i="1"/>
  <c r="A63" i="1"/>
  <c r="N62" i="1"/>
  <c r="J62" i="1"/>
  <c r="I62" i="1"/>
  <c r="A62" i="1"/>
  <c r="N61" i="1"/>
  <c r="I61" i="1"/>
  <c r="A61" i="1"/>
  <c r="N60" i="1"/>
  <c r="I60" i="1"/>
  <c r="A60" i="1"/>
  <c r="N59" i="1"/>
  <c r="I59" i="1"/>
  <c r="A59" i="1"/>
  <c r="N58" i="1"/>
  <c r="I58" i="1"/>
  <c r="A58" i="1"/>
  <c r="N57" i="1"/>
  <c r="J57" i="1"/>
  <c r="I57" i="1"/>
  <c r="A57" i="1"/>
  <c r="N56" i="1"/>
  <c r="I56" i="1"/>
  <c r="A56" i="1"/>
  <c r="N55" i="1"/>
  <c r="I55" i="1"/>
  <c r="A55" i="1"/>
  <c r="N54" i="1"/>
  <c r="I54" i="1"/>
  <c r="A54" i="1"/>
  <c r="N53" i="1"/>
  <c r="I53" i="1"/>
  <c r="A53" i="1"/>
  <c r="N52" i="1"/>
  <c r="I52" i="1"/>
  <c r="A52" i="1"/>
  <c r="N51" i="1"/>
  <c r="I51" i="1"/>
  <c r="A51" i="1"/>
  <c r="N50" i="1"/>
  <c r="J50" i="1"/>
  <c r="I50" i="1"/>
  <c r="A50" i="1"/>
  <c r="N49" i="1"/>
  <c r="I49" i="1"/>
  <c r="A49" i="1"/>
  <c r="N48" i="1"/>
  <c r="I48" i="1"/>
  <c r="A48" i="1"/>
  <c r="N47" i="1"/>
  <c r="I47" i="1"/>
  <c r="A47" i="1"/>
  <c r="N46" i="1"/>
  <c r="I46" i="1"/>
  <c r="A46" i="1"/>
  <c r="N45" i="1"/>
  <c r="J45" i="1"/>
  <c r="I45" i="1"/>
  <c r="A45" i="1"/>
  <c r="N44" i="1"/>
  <c r="I44" i="1"/>
  <c r="A44" i="1"/>
  <c r="N43" i="1"/>
  <c r="I43" i="1"/>
  <c r="A43" i="1"/>
  <c r="N42" i="1"/>
  <c r="I42" i="1"/>
  <c r="A42" i="1"/>
  <c r="N41" i="1"/>
  <c r="I41" i="1"/>
  <c r="A41" i="1"/>
  <c r="N40" i="1"/>
  <c r="I40" i="1"/>
  <c r="A40" i="1"/>
  <c r="N39" i="1"/>
  <c r="I39" i="1"/>
  <c r="A39" i="1"/>
  <c r="N38" i="1"/>
  <c r="J38" i="1"/>
  <c r="I38" i="1"/>
  <c r="A38" i="1"/>
  <c r="N37" i="1"/>
  <c r="I37" i="1"/>
  <c r="A37" i="1"/>
  <c r="N36" i="1"/>
  <c r="I36" i="1"/>
  <c r="A36" i="1"/>
  <c r="N35" i="1"/>
  <c r="I35" i="1"/>
  <c r="A35" i="1"/>
  <c r="N34" i="1"/>
  <c r="I34" i="1"/>
  <c r="A34" i="1"/>
  <c r="N33" i="1"/>
  <c r="J33" i="1"/>
  <c r="I33" i="1"/>
  <c r="A33" i="1"/>
  <c r="N32" i="1"/>
  <c r="I32" i="1"/>
  <c r="A32" i="1"/>
  <c r="N31" i="1"/>
  <c r="I31" i="1"/>
  <c r="A31" i="1"/>
  <c r="N30" i="1"/>
  <c r="I30" i="1"/>
  <c r="A30" i="1"/>
  <c r="N29" i="1"/>
  <c r="I29" i="1"/>
  <c r="A29" i="1"/>
  <c r="N28" i="1"/>
  <c r="I28" i="1"/>
  <c r="A28" i="1"/>
  <c r="N27" i="1"/>
  <c r="I27" i="1"/>
  <c r="A27" i="1"/>
  <c r="N26" i="1"/>
  <c r="J26" i="1"/>
  <c r="I26" i="1"/>
  <c r="A26" i="1"/>
  <c r="N25" i="1"/>
  <c r="I25" i="1"/>
  <c r="A25" i="1"/>
  <c r="N24" i="1"/>
  <c r="I24" i="1"/>
  <c r="A24" i="1"/>
  <c r="N23" i="1"/>
  <c r="I23" i="1"/>
  <c r="A23" i="1"/>
  <c r="N22" i="1"/>
  <c r="I22" i="1"/>
  <c r="A22" i="1"/>
  <c r="N21" i="1"/>
  <c r="J21" i="1"/>
  <c r="I21" i="1"/>
  <c r="A21" i="1"/>
  <c r="N20" i="1"/>
  <c r="I20" i="1"/>
  <c r="A20" i="1"/>
  <c r="N19" i="1"/>
  <c r="J19" i="1"/>
  <c r="I19" i="1"/>
  <c r="A19" i="1"/>
  <c r="N18" i="1"/>
  <c r="I18" i="1"/>
  <c r="A18" i="1"/>
  <c r="N17" i="1"/>
  <c r="I17" i="1"/>
  <c r="A17" i="1"/>
  <c r="N16" i="1"/>
  <c r="I16" i="1"/>
  <c r="A16" i="1"/>
  <c r="N15" i="1"/>
  <c r="I15" i="1"/>
  <c r="A15" i="1"/>
  <c r="N14" i="1"/>
  <c r="J14" i="1"/>
  <c r="I14" i="1"/>
  <c r="A14" i="1"/>
  <c r="N13" i="1"/>
  <c r="I13" i="1"/>
  <c r="A13" i="1"/>
  <c r="N12" i="1"/>
  <c r="I12" i="1"/>
  <c r="A12" i="1"/>
  <c r="N11" i="1"/>
  <c r="J11" i="1"/>
  <c r="I11" i="1"/>
  <c r="A11" i="1"/>
  <c r="N10" i="1"/>
  <c r="I10" i="1"/>
  <c r="A10" i="1"/>
  <c r="N9" i="1"/>
  <c r="J9" i="1"/>
  <c r="I9" i="1"/>
  <c r="A9" i="1"/>
  <c r="N8" i="1"/>
  <c r="I8" i="1"/>
  <c r="A8" i="1"/>
  <c r="N7" i="1"/>
  <c r="J7" i="1"/>
  <c r="I7" i="1"/>
  <c r="A7" i="1"/>
  <c r="O5" i="1"/>
  <c r="M5" i="1"/>
  <c r="J4" i="1"/>
  <c r="J446" i="1" s="1"/>
  <c r="M3" i="1"/>
  <c r="N3" i="1" s="1"/>
  <c r="L3" i="1"/>
  <c r="M1" i="1"/>
  <c r="L1" i="1"/>
  <c r="J1" i="1"/>
  <c r="B1" i="1"/>
  <c r="N5" i="1" l="1"/>
  <c r="J31" i="1"/>
  <c r="J43" i="1"/>
  <c r="J55" i="1"/>
  <c r="J67" i="1"/>
  <c r="J79" i="1"/>
  <c r="J91" i="1"/>
  <c r="J103" i="1"/>
  <c r="J115" i="1"/>
  <c r="J127" i="1"/>
  <c r="J139" i="1"/>
  <c r="J151" i="1"/>
  <c r="J163" i="1"/>
  <c r="J175" i="1"/>
  <c r="J187" i="1"/>
  <c r="J199" i="1"/>
  <c r="J211" i="1"/>
  <c r="J223" i="1"/>
  <c r="J235" i="1"/>
  <c r="J247" i="1"/>
  <c r="J259" i="1"/>
  <c r="J271" i="1"/>
  <c r="J283" i="1"/>
  <c r="J295" i="1"/>
  <c r="J307" i="1"/>
  <c r="J319" i="1"/>
  <c r="J331" i="1"/>
  <c r="J343" i="1"/>
  <c r="J355" i="1"/>
  <c r="J367" i="1"/>
  <c r="J379" i="1"/>
  <c r="J391" i="1"/>
  <c r="J403" i="1"/>
  <c r="J415" i="1"/>
  <c r="J427" i="1"/>
  <c r="J439" i="1"/>
  <c r="J451" i="1"/>
  <c r="J12" i="1"/>
  <c r="J24" i="1"/>
  <c r="J36" i="1"/>
  <c r="J48" i="1"/>
  <c r="J60" i="1"/>
  <c r="J72" i="1"/>
  <c r="J84" i="1"/>
  <c r="J96" i="1"/>
  <c r="J108" i="1"/>
  <c r="J120" i="1"/>
  <c r="J132" i="1"/>
  <c r="J144" i="1"/>
  <c r="J156" i="1"/>
  <c r="J168" i="1"/>
  <c r="J180" i="1"/>
  <c r="J192" i="1"/>
  <c r="J204" i="1"/>
  <c r="J216" i="1"/>
  <c r="J228" i="1"/>
  <c r="J240" i="1"/>
  <c r="J252" i="1"/>
  <c r="J264" i="1"/>
  <c r="J276" i="1"/>
  <c r="J288" i="1"/>
  <c r="J300" i="1"/>
  <c r="J312" i="1"/>
  <c r="J324" i="1"/>
  <c r="J336" i="1"/>
  <c r="J348" i="1"/>
  <c r="J360" i="1"/>
  <c r="J372" i="1"/>
  <c r="J384" i="1"/>
  <c r="J396" i="1"/>
  <c r="J408" i="1"/>
  <c r="J420" i="1"/>
  <c r="J432" i="1"/>
  <c r="J444" i="1"/>
  <c r="J17" i="1"/>
  <c r="J29" i="1"/>
  <c r="J41" i="1"/>
  <c r="J53" i="1"/>
  <c r="J65" i="1"/>
  <c r="J77" i="1"/>
  <c r="J89" i="1"/>
  <c r="J101" i="1"/>
  <c r="J113" i="1"/>
  <c r="J125" i="1"/>
  <c r="J137" i="1"/>
  <c r="J149" i="1"/>
  <c r="J161" i="1"/>
  <c r="J173" i="1"/>
  <c r="J185" i="1"/>
  <c r="J197" i="1"/>
  <c r="J209" i="1"/>
  <c r="J221" i="1"/>
  <c r="J233" i="1"/>
  <c r="J245" i="1"/>
  <c r="J257" i="1"/>
  <c r="J269" i="1"/>
  <c r="J281" i="1"/>
  <c r="J293" i="1"/>
  <c r="J305" i="1"/>
  <c r="J317" i="1"/>
  <c r="J329" i="1"/>
  <c r="J341" i="1"/>
  <c r="J353" i="1"/>
  <c r="J365" i="1"/>
  <c r="J377" i="1"/>
  <c r="J389" i="1"/>
  <c r="J401" i="1"/>
  <c r="J413" i="1"/>
  <c r="J425" i="1"/>
  <c r="J437" i="1"/>
  <c r="J449" i="1"/>
  <c r="J22" i="1"/>
  <c r="J34" i="1"/>
  <c r="J46" i="1"/>
  <c r="J58" i="1"/>
  <c r="J70" i="1"/>
  <c r="J82" i="1"/>
  <c r="J94" i="1"/>
  <c r="J106" i="1"/>
  <c r="J118" i="1"/>
  <c r="J130" i="1"/>
  <c r="J142" i="1"/>
  <c r="J154" i="1"/>
  <c r="J166" i="1"/>
  <c r="J178" i="1"/>
  <c r="J190" i="1"/>
  <c r="J202" i="1"/>
  <c r="J214" i="1"/>
  <c r="J226" i="1"/>
  <c r="J238" i="1"/>
  <c r="J250" i="1"/>
  <c r="J262" i="1"/>
  <c r="J274" i="1"/>
  <c r="J286" i="1"/>
  <c r="J298" i="1"/>
  <c r="J310" i="1"/>
  <c r="J322" i="1"/>
  <c r="J334" i="1"/>
  <c r="J346" i="1"/>
  <c r="J358" i="1"/>
  <c r="J370" i="1"/>
  <c r="J382" i="1"/>
  <c r="J394" i="1"/>
  <c r="J406" i="1"/>
  <c r="J418" i="1"/>
  <c r="J430" i="1"/>
  <c r="J442" i="1"/>
  <c r="J10" i="1"/>
  <c r="J15" i="1"/>
  <c r="J27" i="1"/>
  <c r="J39" i="1"/>
  <c r="J51" i="1"/>
  <c r="J63" i="1"/>
  <c r="J75" i="1"/>
  <c r="J87" i="1"/>
  <c r="J99" i="1"/>
  <c r="J111" i="1"/>
  <c r="J123" i="1"/>
  <c r="J135" i="1"/>
  <c r="J147" i="1"/>
  <c r="J159" i="1"/>
  <c r="J171" i="1"/>
  <c r="J183" i="1"/>
  <c r="J195" i="1"/>
  <c r="J207" i="1"/>
  <c r="J219" i="1"/>
  <c r="J231" i="1"/>
  <c r="J243" i="1"/>
  <c r="J255" i="1"/>
  <c r="J267" i="1"/>
  <c r="J279" i="1"/>
  <c r="J291" i="1"/>
  <c r="J303" i="1"/>
  <c r="J315" i="1"/>
  <c r="J327" i="1"/>
  <c r="J339" i="1"/>
  <c r="J351" i="1"/>
  <c r="J363" i="1"/>
  <c r="J375" i="1"/>
  <c r="J387" i="1"/>
  <c r="J399" i="1"/>
  <c r="J411" i="1"/>
  <c r="J423" i="1"/>
  <c r="J435" i="1"/>
  <c r="J447" i="1"/>
  <c r="J20" i="1"/>
  <c r="J32" i="1"/>
  <c r="J44" i="1"/>
  <c r="J56" i="1"/>
  <c r="J68" i="1"/>
  <c r="J80" i="1"/>
  <c r="J92" i="1"/>
  <c r="J104" i="1"/>
  <c r="J116" i="1"/>
  <c r="J128" i="1"/>
  <c r="J140" i="1"/>
  <c r="J152" i="1"/>
  <c r="J164" i="1"/>
  <c r="J176" i="1"/>
  <c r="J188" i="1"/>
  <c r="J200" i="1"/>
  <c r="J212" i="1"/>
  <c r="J224" i="1"/>
  <c r="J236" i="1"/>
  <c r="J248" i="1"/>
  <c r="J260" i="1"/>
  <c r="J272" i="1"/>
  <c r="J284" i="1"/>
  <c r="J296" i="1"/>
  <c r="J308" i="1"/>
  <c r="J320" i="1"/>
  <c r="J332" i="1"/>
  <c r="J344" i="1"/>
  <c r="J356" i="1"/>
  <c r="J368" i="1"/>
  <c r="J380" i="1"/>
  <c r="J392" i="1"/>
  <c r="J404" i="1"/>
  <c r="J416" i="1"/>
  <c r="J428" i="1"/>
  <c r="J440" i="1"/>
  <c r="J452" i="1"/>
  <c r="K4" i="1"/>
  <c r="J8" i="1"/>
  <c r="J5" i="1" s="1"/>
  <c r="L5" i="1"/>
  <c r="J13" i="1"/>
  <c r="J25" i="1"/>
  <c r="J37" i="1"/>
  <c r="J49" i="1"/>
  <c r="J61" i="1"/>
  <c r="J73" i="1"/>
  <c r="J85" i="1"/>
  <c r="J97" i="1"/>
  <c r="J109" i="1"/>
  <c r="J121" i="1"/>
  <c r="J133" i="1"/>
  <c r="J145" i="1"/>
  <c r="J157" i="1"/>
  <c r="J169" i="1"/>
  <c r="J181" i="1"/>
  <c r="J193" i="1"/>
  <c r="J205" i="1"/>
  <c r="J217" i="1"/>
  <c r="J229" i="1"/>
  <c r="J241" i="1"/>
  <c r="J253" i="1"/>
  <c r="J265" i="1"/>
  <c r="J277" i="1"/>
  <c r="J289" i="1"/>
  <c r="J301" i="1"/>
  <c r="J313" i="1"/>
  <c r="J325" i="1"/>
  <c r="J337" i="1"/>
  <c r="J349" i="1"/>
  <c r="J361" i="1"/>
  <c r="J373" i="1"/>
  <c r="J385" i="1"/>
  <c r="J397" i="1"/>
  <c r="J409" i="1"/>
  <c r="J421" i="1"/>
  <c r="J433" i="1"/>
  <c r="J445" i="1"/>
  <c r="J18" i="1"/>
  <c r="J30" i="1"/>
  <c r="J42" i="1"/>
  <c r="J54" i="1"/>
  <c r="J66" i="1"/>
  <c r="J78" i="1"/>
  <c r="J90" i="1"/>
  <c r="J102" i="1"/>
  <c r="J114" i="1"/>
  <c r="J126" i="1"/>
  <c r="J138" i="1"/>
  <c r="J150" i="1"/>
  <c r="J162" i="1"/>
  <c r="J174" i="1"/>
  <c r="J186" i="1"/>
  <c r="J198" i="1"/>
  <c r="J210" i="1"/>
  <c r="J222" i="1"/>
  <c r="J234" i="1"/>
  <c r="J246" i="1"/>
  <c r="J258" i="1"/>
  <c r="J270" i="1"/>
  <c r="J282" i="1"/>
  <c r="J294" i="1"/>
  <c r="J306" i="1"/>
  <c r="J318" i="1"/>
  <c r="J330" i="1"/>
  <c r="J342" i="1"/>
  <c r="J354" i="1"/>
  <c r="J366" i="1"/>
  <c r="J378" i="1"/>
  <c r="J390" i="1"/>
  <c r="J402" i="1"/>
  <c r="J414" i="1"/>
  <c r="J426" i="1"/>
  <c r="J438" i="1"/>
  <c r="J450" i="1"/>
  <c r="J23" i="1"/>
  <c r="J35" i="1"/>
  <c r="J47" i="1"/>
  <c r="J59" i="1"/>
  <c r="J71" i="1"/>
  <c r="J83" i="1"/>
  <c r="J95" i="1"/>
  <c r="J107" i="1"/>
  <c r="J119" i="1"/>
  <c r="J131" i="1"/>
  <c r="J143" i="1"/>
  <c r="J155" i="1"/>
  <c r="J167" i="1"/>
  <c r="J179" i="1"/>
  <c r="J191" i="1"/>
  <c r="J203" i="1"/>
  <c r="J215" i="1"/>
  <c r="J227" i="1"/>
  <c r="J239" i="1"/>
  <c r="J251" i="1"/>
  <c r="J263" i="1"/>
  <c r="J275" i="1"/>
  <c r="J287" i="1"/>
  <c r="J299" i="1"/>
  <c r="J311" i="1"/>
  <c r="J323" i="1"/>
  <c r="J335" i="1"/>
  <c r="J347" i="1"/>
  <c r="J359" i="1"/>
  <c r="J371" i="1"/>
  <c r="J383" i="1"/>
  <c r="J395" i="1"/>
  <c r="J407" i="1"/>
  <c r="J419" i="1"/>
  <c r="J431" i="1"/>
  <c r="J443" i="1"/>
  <c r="J16" i="1"/>
  <c r="J28" i="1"/>
  <c r="J40" i="1"/>
  <c r="J52" i="1"/>
  <c r="J64" i="1"/>
  <c r="J76" i="1"/>
  <c r="J88" i="1"/>
  <c r="J100" i="1"/>
  <c r="J112" i="1"/>
  <c r="J124" i="1"/>
  <c r="J136" i="1"/>
  <c r="J148" i="1"/>
  <c r="J160" i="1"/>
  <c r="J172" i="1"/>
  <c r="J184" i="1"/>
  <c r="J196" i="1"/>
  <c r="J208" i="1"/>
  <c r="J220" i="1"/>
  <c r="J232" i="1"/>
  <c r="J244" i="1"/>
  <c r="J256" i="1"/>
  <c r="J268" i="1"/>
  <c r="J280" i="1"/>
  <c r="J292" i="1"/>
  <c r="J304" i="1"/>
  <c r="J316" i="1"/>
  <c r="J328" i="1"/>
  <c r="J340" i="1"/>
  <c r="J352" i="1"/>
  <c r="J364" i="1"/>
  <c r="J376" i="1"/>
  <c r="J388" i="1"/>
  <c r="J400" i="1"/>
  <c r="J412" i="1"/>
  <c r="J424" i="1"/>
  <c r="J436" i="1"/>
  <c r="J448" i="1"/>
  <c r="J165" i="1"/>
  <c r="J177" i="1"/>
  <c r="J189" i="1"/>
  <c r="J201" i="1"/>
  <c r="J213" i="1"/>
  <c r="J225" i="1"/>
  <c r="J237" i="1"/>
  <c r="J249" i="1"/>
  <c r="J261" i="1"/>
  <c r="J273" i="1"/>
  <c r="J285" i="1"/>
  <c r="J297" i="1"/>
  <c r="J309" i="1"/>
  <c r="J321" i="1"/>
  <c r="J333" i="1"/>
  <c r="J345" i="1"/>
  <c r="J357" i="1"/>
  <c r="J369" i="1"/>
  <c r="J381" i="1"/>
  <c r="J393" i="1"/>
  <c r="J405" i="1"/>
  <c r="J417" i="1"/>
  <c r="J429" i="1"/>
  <c r="J441" i="1"/>
  <c r="J110" i="1"/>
  <c r="J122" i="1"/>
  <c r="J134" i="1"/>
  <c r="J146" i="1"/>
  <c r="J158" i="1"/>
  <c r="J170" i="1"/>
  <c r="J182" i="1"/>
  <c r="J194" i="1"/>
  <c r="J206" i="1"/>
  <c r="J218" i="1"/>
  <c r="J230" i="1"/>
  <c r="J242" i="1"/>
  <c r="J254" i="1"/>
  <c r="J266" i="1"/>
  <c r="J278" i="1"/>
  <c r="J290" i="1"/>
  <c r="J302" i="1"/>
  <c r="J314" i="1"/>
  <c r="J326" i="1"/>
  <c r="J338" i="1"/>
  <c r="J350" i="1"/>
  <c r="J362" i="1"/>
  <c r="J374" i="1"/>
  <c r="J386" i="1"/>
  <c r="J398" i="1"/>
  <c r="J410" i="1"/>
  <c r="J422" i="1"/>
  <c r="J434" i="1"/>
  <c r="K441" i="1" l="1"/>
  <c r="K429" i="1"/>
  <c r="K417" i="1"/>
  <c r="K405" i="1"/>
  <c r="K393" i="1"/>
  <c r="K381" i="1"/>
  <c r="K369" i="1"/>
  <c r="K357" i="1"/>
  <c r="K345" i="1"/>
  <c r="K333" i="1"/>
  <c r="K321" i="1"/>
  <c r="K309" i="1"/>
  <c r="K297" i="1"/>
  <c r="K285" i="1"/>
  <c r="K273" i="1"/>
  <c r="K261" i="1"/>
  <c r="K249" i="1"/>
  <c r="K237" i="1"/>
  <c r="K225" i="1"/>
  <c r="K213" i="1"/>
  <c r="K201" i="1"/>
  <c r="K189" i="1"/>
  <c r="K177" i="1"/>
  <c r="K165" i="1"/>
  <c r="K153" i="1"/>
  <c r="K141" i="1"/>
  <c r="K129" i="1"/>
  <c r="K117" i="1"/>
  <c r="K105" i="1"/>
  <c r="K21" i="1"/>
  <c r="K64" i="1"/>
  <c r="K448" i="1"/>
  <c r="K436" i="1"/>
  <c r="K424" i="1"/>
  <c r="K412" i="1"/>
  <c r="K400" i="1"/>
  <c r="K388" i="1"/>
  <c r="K376" i="1"/>
  <c r="K364" i="1"/>
  <c r="K352" i="1"/>
  <c r="K340" i="1"/>
  <c r="K328" i="1"/>
  <c r="K316" i="1"/>
  <c r="K304" i="1"/>
  <c r="K292" i="1"/>
  <c r="K280" i="1"/>
  <c r="K268" i="1"/>
  <c r="K256" i="1"/>
  <c r="K244" i="1"/>
  <c r="K232" i="1"/>
  <c r="K220" i="1"/>
  <c r="K208" i="1"/>
  <c r="K196" i="1"/>
  <c r="K184" i="1"/>
  <c r="K172" i="1"/>
  <c r="K160" i="1"/>
  <c r="K443" i="1"/>
  <c r="K431" i="1"/>
  <c r="K419" i="1"/>
  <c r="K407" i="1"/>
  <c r="K395" i="1"/>
  <c r="K383" i="1"/>
  <c r="K371" i="1"/>
  <c r="K359" i="1"/>
  <c r="K347" i="1"/>
  <c r="K335" i="1"/>
  <c r="K323" i="1"/>
  <c r="K311" i="1"/>
  <c r="K299" i="1"/>
  <c r="K287" i="1"/>
  <c r="K275" i="1"/>
  <c r="K263" i="1"/>
  <c r="K251" i="1"/>
  <c r="K239" i="1"/>
  <c r="K227" i="1"/>
  <c r="K215" i="1"/>
  <c r="K203" i="1"/>
  <c r="K191" i="1"/>
  <c r="K179" i="1"/>
  <c r="K167" i="1"/>
  <c r="K155" i="1"/>
  <c r="K143" i="1"/>
  <c r="K131" i="1"/>
  <c r="K119" i="1"/>
  <c r="K107" i="1"/>
  <c r="K95" i="1"/>
  <c r="K83" i="1"/>
  <c r="K71" i="1"/>
  <c r="K59" i="1"/>
  <c r="K47" i="1"/>
  <c r="K35" i="1"/>
  <c r="K23" i="1"/>
  <c r="K11" i="1"/>
  <c r="K450" i="1"/>
  <c r="K438" i="1"/>
  <c r="K426" i="1"/>
  <c r="K414" i="1"/>
  <c r="K402" i="1"/>
  <c r="K390" i="1"/>
  <c r="K378" i="1"/>
  <c r="K366" i="1"/>
  <c r="K354" i="1"/>
  <c r="K342" i="1"/>
  <c r="K330" i="1"/>
  <c r="K318" i="1"/>
  <c r="K306" i="1"/>
  <c r="K294" i="1"/>
  <c r="K282" i="1"/>
  <c r="K270" i="1"/>
  <c r="K258" i="1"/>
  <c r="K246" i="1"/>
  <c r="K234" i="1"/>
  <c r="K222" i="1"/>
  <c r="K210" i="1"/>
  <c r="K198" i="1"/>
  <c r="K186" i="1"/>
  <c r="K174" i="1"/>
  <c r="K162" i="1"/>
  <c r="K150" i="1"/>
  <c r="K138" i="1"/>
  <c r="K126" i="1"/>
  <c r="K114" i="1"/>
  <c r="K102" i="1"/>
  <c r="K90" i="1"/>
  <c r="K78" i="1"/>
  <c r="K66" i="1"/>
  <c r="K54" i="1"/>
  <c r="K42" i="1"/>
  <c r="K30" i="1"/>
  <c r="K18" i="1"/>
  <c r="K445" i="1"/>
  <c r="K433" i="1"/>
  <c r="K421" i="1"/>
  <c r="K409" i="1"/>
  <c r="K397" i="1"/>
  <c r="K385" i="1"/>
  <c r="K373" i="1"/>
  <c r="K361" i="1"/>
  <c r="K349" i="1"/>
  <c r="K337" i="1"/>
  <c r="K325" i="1"/>
  <c r="K313" i="1"/>
  <c r="K301" i="1"/>
  <c r="K289" i="1"/>
  <c r="K277" i="1"/>
  <c r="K265" i="1"/>
  <c r="K253" i="1"/>
  <c r="K241" i="1"/>
  <c r="K229" i="1"/>
  <c r="K217" i="1"/>
  <c r="K205" i="1"/>
  <c r="K193" i="1"/>
  <c r="K181" i="1"/>
  <c r="K169" i="1"/>
  <c r="K157" i="1"/>
  <c r="K145" i="1"/>
  <c r="K133" i="1"/>
  <c r="K121" i="1"/>
  <c r="K109" i="1"/>
  <c r="K97" i="1"/>
  <c r="K85" i="1"/>
  <c r="K73" i="1"/>
  <c r="K61" i="1"/>
  <c r="K49" i="1"/>
  <c r="K37" i="1"/>
  <c r="K25" i="1"/>
  <c r="K13" i="1"/>
  <c r="K28" i="1"/>
  <c r="K16" i="1"/>
  <c r="K452" i="1"/>
  <c r="K440" i="1"/>
  <c r="K428" i="1"/>
  <c r="K416" i="1"/>
  <c r="K404" i="1"/>
  <c r="K392" i="1"/>
  <c r="K380" i="1"/>
  <c r="K368" i="1"/>
  <c r="K356" i="1"/>
  <c r="K344" i="1"/>
  <c r="K332" i="1"/>
  <c r="K320" i="1"/>
  <c r="K308" i="1"/>
  <c r="K296" i="1"/>
  <c r="K284" i="1"/>
  <c r="K272" i="1"/>
  <c r="K260" i="1"/>
  <c r="K248" i="1"/>
  <c r="K236" i="1"/>
  <c r="K224" i="1"/>
  <c r="K212" i="1"/>
  <c r="K200" i="1"/>
  <c r="K188" i="1"/>
  <c r="K176" i="1"/>
  <c r="K164" i="1"/>
  <c r="K152" i="1"/>
  <c r="K140" i="1"/>
  <c r="K128" i="1"/>
  <c r="K116" i="1"/>
  <c r="K104" i="1"/>
  <c r="K92" i="1"/>
  <c r="K80" i="1"/>
  <c r="K68" i="1"/>
  <c r="K56" i="1"/>
  <c r="K44" i="1"/>
  <c r="K32" i="1"/>
  <c r="K20" i="1"/>
  <c r="K8" i="1"/>
  <c r="K5" i="1" s="1"/>
  <c r="K81" i="1"/>
  <c r="K69" i="1"/>
  <c r="K9" i="1"/>
  <c r="K447" i="1"/>
  <c r="K435" i="1"/>
  <c r="K423" i="1"/>
  <c r="K411" i="1"/>
  <c r="K399" i="1"/>
  <c r="K387" i="1"/>
  <c r="K375" i="1"/>
  <c r="K363" i="1"/>
  <c r="K351" i="1"/>
  <c r="K339" i="1"/>
  <c r="K327" i="1"/>
  <c r="K315" i="1"/>
  <c r="K303" i="1"/>
  <c r="K291" i="1"/>
  <c r="K279" i="1"/>
  <c r="K267" i="1"/>
  <c r="K255" i="1"/>
  <c r="K243" i="1"/>
  <c r="K231" i="1"/>
  <c r="K219" i="1"/>
  <c r="K207" i="1"/>
  <c r="K195" i="1"/>
  <c r="K183" i="1"/>
  <c r="K171" i="1"/>
  <c r="K159" i="1"/>
  <c r="K147" i="1"/>
  <c r="K135" i="1"/>
  <c r="K123" i="1"/>
  <c r="K111" i="1"/>
  <c r="K99" i="1"/>
  <c r="K87" i="1"/>
  <c r="K75" i="1"/>
  <c r="K63" i="1"/>
  <c r="K51" i="1"/>
  <c r="K39" i="1"/>
  <c r="K27" i="1"/>
  <c r="K15" i="1"/>
  <c r="K10" i="1"/>
  <c r="K17" i="1"/>
  <c r="K93" i="1"/>
  <c r="K57" i="1"/>
  <c r="K442" i="1"/>
  <c r="K430" i="1"/>
  <c r="K418" i="1"/>
  <c r="K406" i="1"/>
  <c r="K394" i="1"/>
  <c r="K382" i="1"/>
  <c r="K370" i="1"/>
  <c r="K358" i="1"/>
  <c r="K346" i="1"/>
  <c r="K334" i="1"/>
  <c r="K322" i="1"/>
  <c r="K310" i="1"/>
  <c r="K298" i="1"/>
  <c r="K286" i="1"/>
  <c r="K274" i="1"/>
  <c r="K262" i="1"/>
  <c r="K250" i="1"/>
  <c r="K238" i="1"/>
  <c r="K226" i="1"/>
  <c r="K214" i="1"/>
  <c r="K202" i="1"/>
  <c r="K190" i="1"/>
  <c r="K178" i="1"/>
  <c r="K166" i="1"/>
  <c r="K154" i="1"/>
  <c r="K142" i="1"/>
  <c r="K130" i="1"/>
  <c r="K118" i="1"/>
  <c r="K106" i="1"/>
  <c r="K94" i="1"/>
  <c r="K82" i="1"/>
  <c r="K70" i="1"/>
  <c r="K58" i="1"/>
  <c r="K46" i="1"/>
  <c r="K34" i="1"/>
  <c r="K22" i="1"/>
  <c r="K33" i="1"/>
  <c r="K52" i="1"/>
  <c r="K40" i="1"/>
  <c r="K449" i="1"/>
  <c r="K437" i="1"/>
  <c r="K425" i="1"/>
  <c r="K413" i="1"/>
  <c r="K401" i="1"/>
  <c r="K389" i="1"/>
  <c r="K377" i="1"/>
  <c r="K365" i="1"/>
  <c r="K353" i="1"/>
  <c r="K341" i="1"/>
  <c r="K329" i="1"/>
  <c r="K317" i="1"/>
  <c r="K305" i="1"/>
  <c r="K293" i="1"/>
  <c r="K281" i="1"/>
  <c r="K269" i="1"/>
  <c r="K257" i="1"/>
  <c r="K245" i="1"/>
  <c r="K233" i="1"/>
  <c r="K221" i="1"/>
  <c r="K209" i="1"/>
  <c r="K197" i="1"/>
  <c r="K185" i="1"/>
  <c r="K173" i="1"/>
  <c r="K161" i="1"/>
  <c r="K149" i="1"/>
  <c r="K137" i="1"/>
  <c r="K125" i="1"/>
  <c r="K113" i="1"/>
  <c r="K101" i="1"/>
  <c r="K89" i="1"/>
  <c r="K77" i="1"/>
  <c r="K65" i="1"/>
  <c r="K53" i="1"/>
  <c r="K41" i="1"/>
  <c r="K29" i="1"/>
  <c r="K14" i="1"/>
  <c r="K45" i="1"/>
  <c r="K112" i="1"/>
  <c r="K76" i="1"/>
  <c r="K444" i="1"/>
  <c r="K432" i="1"/>
  <c r="K420" i="1"/>
  <c r="K408" i="1"/>
  <c r="K396" i="1"/>
  <c r="K384" i="1"/>
  <c r="K372" i="1"/>
  <c r="K360" i="1"/>
  <c r="K348" i="1"/>
  <c r="K336" i="1"/>
  <c r="K324" i="1"/>
  <c r="K312" i="1"/>
  <c r="K300" i="1"/>
  <c r="K288" i="1"/>
  <c r="K276" i="1"/>
  <c r="K264" i="1"/>
  <c r="K252" i="1"/>
  <c r="K240" i="1"/>
  <c r="K228" i="1"/>
  <c r="K216" i="1"/>
  <c r="K204" i="1"/>
  <c r="K192" i="1"/>
  <c r="K180" i="1"/>
  <c r="K168" i="1"/>
  <c r="K156" i="1"/>
  <c r="K144" i="1"/>
  <c r="K132" i="1"/>
  <c r="K120" i="1"/>
  <c r="K108" i="1"/>
  <c r="K96" i="1"/>
  <c r="K84" i="1"/>
  <c r="K72" i="1"/>
  <c r="K60" i="1"/>
  <c r="K48" i="1"/>
  <c r="K36" i="1"/>
  <c r="K24" i="1"/>
  <c r="K12" i="1"/>
  <c r="K148" i="1"/>
  <c r="K136" i="1"/>
  <c r="K124" i="1"/>
  <c r="K88" i="1"/>
  <c r="K451" i="1"/>
  <c r="K439" i="1"/>
  <c r="K427" i="1"/>
  <c r="K415" i="1"/>
  <c r="K403" i="1"/>
  <c r="K391" i="1"/>
  <c r="K379" i="1"/>
  <c r="K367" i="1"/>
  <c r="K355" i="1"/>
  <c r="K343" i="1"/>
  <c r="K331" i="1"/>
  <c r="K319" i="1"/>
  <c r="K307" i="1"/>
  <c r="K295" i="1"/>
  <c r="K283" i="1"/>
  <c r="K271" i="1"/>
  <c r="K259" i="1"/>
  <c r="K247" i="1"/>
  <c r="K235" i="1"/>
  <c r="K223" i="1"/>
  <c r="K211" i="1"/>
  <c r="K199" i="1"/>
  <c r="K187" i="1"/>
  <c r="K175" i="1"/>
  <c r="K163" i="1"/>
  <c r="K151" i="1"/>
  <c r="K139" i="1"/>
  <c r="K127" i="1"/>
  <c r="K115" i="1"/>
  <c r="K103" i="1"/>
  <c r="K91" i="1"/>
  <c r="K79" i="1"/>
  <c r="K67" i="1"/>
  <c r="K55" i="1"/>
  <c r="K43" i="1"/>
  <c r="K31" i="1"/>
  <c r="K19" i="1"/>
  <c r="K7" i="1"/>
  <c r="K26" i="1"/>
  <c r="K446" i="1"/>
  <c r="K434" i="1"/>
  <c r="K422" i="1"/>
  <c r="K410" i="1"/>
  <c r="K398" i="1"/>
  <c r="K386" i="1"/>
  <c r="K374" i="1"/>
  <c r="K362" i="1"/>
  <c r="K350" i="1"/>
  <c r="K338" i="1"/>
  <c r="K326" i="1"/>
  <c r="K314" i="1"/>
  <c r="K302" i="1"/>
  <c r="K290" i="1"/>
  <c r="K278" i="1"/>
  <c r="K266" i="1"/>
  <c r="K254" i="1"/>
  <c r="K242" i="1"/>
  <c r="K230" i="1"/>
  <c r="K218" i="1"/>
  <c r="K206" i="1"/>
  <c r="K194" i="1"/>
  <c r="K182" i="1"/>
  <c r="K170" i="1"/>
  <c r="K158" i="1"/>
  <c r="K146" i="1"/>
  <c r="K134" i="1"/>
  <c r="K122" i="1"/>
  <c r="K110" i="1"/>
  <c r="K98" i="1"/>
  <c r="K86" i="1"/>
  <c r="K74" i="1"/>
  <c r="K62" i="1"/>
  <c r="K50" i="1"/>
  <c r="K38" i="1"/>
  <c r="K100" i="1"/>
</calcChain>
</file>

<file path=xl/sharedStrings.xml><?xml version="1.0" encoding="utf-8"?>
<sst xmlns="http://schemas.openxmlformats.org/spreadsheetml/2006/main" count="1850" uniqueCount="538">
  <si>
    <t>Rev.</t>
  </si>
  <si>
    <t>G</t>
  </si>
  <si>
    <t>x</t>
  </si>
  <si>
    <t>Junior v roce:</t>
  </si>
  <si>
    <t>Poznámka</t>
  </si>
  <si>
    <t>(RD)</t>
  </si>
  <si>
    <t>(RV)</t>
  </si>
  <si>
    <t>(WRV)</t>
  </si>
  <si>
    <t>Pořadí</t>
  </si>
  <si>
    <t>Data</t>
  </si>
  <si>
    <t>Jméno</t>
  </si>
  <si>
    <t>Rok narození</t>
  </si>
  <si>
    <t>M/F</t>
  </si>
  <si>
    <t>Aeroklub</t>
  </si>
  <si>
    <t>Region</t>
  </si>
  <si>
    <t>Součet z Bi×Kinp</t>
  </si>
  <si>
    <t>Počet G</t>
  </si>
  <si>
    <t>Jan Pavlik</t>
  </si>
  <si>
    <t>M</t>
  </si>
  <si>
    <t>Křižanov</t>
  </si>
  <si>
    <t>CZ/M</t>
  </si>
  <si>
    <t>RV 2026</t>
  </si>
  <si>
    <t>Tomas Suchanek</t>
  </si>
  <si>
    <t>GAC Benešov</t>
  </si>
  <si>
    <t>CZ/C1</t>
  </si>
  <si>
    <t>Lukas Kriz</t>
  </si>
  <si>
    <t>Radek Krejcirik</t>
  </si>
  <si>
    <t>Hranice</t>
  </si>
  <si>
    <t>Miloslav Cink</t>
  </si>
  <si>
    <t>Letkov</t>
  </si>
  <si>
    <t>Jaroslav Tomana</t>
  </si>
  <si>
    <t>Zbraslavice</t>
  </si>
  <si>
    <t>Jan Stastny</t>
  </si>
  <si>
    <t>Medlánky</t>
  </si>
  <si>
    <t>Petr Tichy</t>
  </si>
  <si>
    <t>Michal Lesinger</t>
  </si>
  <si>
    <t>Moravská Třebová</t>
  </si>
  <si>
    <t>Karel Novak</t>
  </si>
  <si>
    <t>Mladá Boleslav</t>
  </si>
  <si>
    <t>Pavel Trybenekr</t>
  </si>
  <si>
    <t>Hořice</t>
  </si>
  <si>
    <t>CZ/C2</t>
  </si>
  <si>
    <t>Pavel Louzecky</t>
  </si>
  <si>
    <t>Přibyslav</t>
  </si>
  <si>
    <t>Ivan Harasta 65</t>
  </si>
  <si>
    <t>Toužim</t>
  </si>
  <si>
    <t>Jiri Kusbach</t>
  </si>
  <si>
    <t>Luhačovice</t>
  </si>
  <si>
    <t>Michaela Krizova</t>
  </si>
  <si>
    <t>F</t>
  </si>
  <si>
    <t>Petr Krejcirik</t>
  </si>
  <si>
    <t>Michaela Rendlova</t>
  </si>
  <si>
    <t>Ivan Novak</t>
  </si>
  <si>
    <t>Vit Morkovsky</t>
  </si>
  <si>
    <t>Polička</t>
  </si>
  <si>
    <t>Tomas Rendla</t>
  </si>
  <si>
    <t>Jan Kotan</t>
  </si>
  <si>
    <t>Letňany</t>
  </si>
  <si>
    <t>Hana Treslova</t>
  </si>
  <si>
    <t>Raná</t>
  </si>
  <si>
    <t>Ondrej Dupal</t>
  </si>
  <si>
    <t>Pavel Rericha</t>
  </si>
  <si>
    <t>Tereza Koubkova</t>
  </si>
  <si>
    <t>Vysoké Mýto</t>
  </si>
  <si>
    <t>Tomas Hynek</t>
  </si>
  <si>
    <t>Dvůr Králové</t>
  </si>
  <si>
    <t>Radek Kucirek</t>
  </si>
  <si>
    <t>Havlíčkův Brod</t>
  </si>
  <si>
    <t>Martin Hrivna</t>
  </si>
  <si>
    <t>Jindrich Svorc</t>
  </si>
  <si>
    <t>David Mach</t>
  </si>
  <si>
    <t>Hronov</t>
  </si>
  <si>
    <t>Petr Masik</t>
  </si>
  <si>
    <t>Zábřeh</t>
  </si>
  <si>
    <t>Petr Koutny</t>
  </si>
  <si>
    <t>Ondrej Bordovsky</t>
  </si>
  <si>
    <t>Krnov</t>
  </si>
  <si>
    <t>Jan Boruvka</t>
  </si>
  <si>
    <t>Jičín</t>
  </si>
  <si>
    <t>Radek Hybl</t>
  </si>
  <si>
    <t>Šumperk</t>
  </si>
  <si>
    <t>Jan Viskot</t>
  </si>
  <si>
    <t>Břeclav</t>
  </si>
  <si>
    <t>Jaromir Macoun</t>
  </si>
  <si>
    <t>Lukas Capek</t>
  </si>
  <si>
    <t>Petr Hofman</t>
  </si>
  <si>
    <t>Jan Kantor</t>
  </si>
  <si>
    <t>Pavel Jiranek</t>
  </si>
  <si>
    <t>Roman Jokl</t>
  </si>
  <si>
    <t>Alena Netusilova</t>
  </si>
  <si>
    <t>Frantisek Vancura</t>
  </si>
  <si>
    <t>Marek Blatak</t>
  </si>
  <si>
    <t>Stepan Bartos</t>
  </si>
  <si>
    <t>Kolín</t>
  </si>
  <si>
    <t>Jan Hruska</t>
  </si>
  <si>
    <t>Tábor</t>
  </si>
  <si>
    <t>Jiri Vondracek</t>
  </si>
  <si>
    <t>Kladno</t>
  </si>
  <si>
    <t>Josef Busek</t>
  </si>
  <si>
    <t>Hosín</t>
  </si>
  <si>
    <t>Jiri Steiger</t>
  </si>
  <si>
    <t>Olomouc</t>
  </si>
  <si>
    <t>Vaclav Marel</t>
  </si>
  <si>
    <t>Jaroměř</t>
  </si>
  <si>
    <t>Michal Cechmanek</t>
  </si>
  <si>
    <t>Kroměříž</t>
  </si>
  <si>
    <t>Jan Beran</t>
  </si>
  <si>
    <t>Petr Panek</t>
  </si>
  <si>
    <t>Jan Louda</t>
  </si>
  <si>
    <t>Milan Svoboda 80</t>
  </si>
  <si>
    <t>Rene Hudak</t>
  </si>
  <si>
    <t>Kunovice</t>
  </si>
  <si>
    <t>Dana Novakova</t>
  </si>
  <si>
    <t>Josef Novak</t>
  </si>
  <si>
    <t>Alex Gulich</t>
  </si>
  <si>
    <t>Slaný</t>
  </si>
  <si>
    <t>Stepan Filakovsky</t>
  </si>
  <si>
    <t>Barbora Moravcova</t>
  </si>
  <si>
    <t>Martin Urner</t>
  </si>
  <si>
    <t>Jana Treslova</t>
  </si>
  <si>
    <t>Jiri Fousek</t>
  </si>
  <si>
    <t>Jan Simon</t>
  </si>
  <si>
    <t>Kralupy</t>
  </si>
  <si>
    <t>Vratislav Sram</t>
  </si>
  <si>
    <t>Broumov</t>
  </si>
  <si>
    <t>David Zapletal</t>
  </si>
  <si>
    <t>Petr Hotovy</t>
  </si>
  <si>
    <t>Česká Lípa</t>
  </si>
  <si>
    <t>Jaroslav Buryan</t>
  </si>
  <si>
    <t>David Sachl</t>
  </si>
  <si>
    <t>Radek Zima 78</t>
  </si>
  <si>
    <t>Hodkovice</t>
  </si>
  <si>
    <t>Jan Smekal</t>
  </si>
  <si>
    <t>Martin Ficnar</t>
  </si>
  <si>
    <t>Zdenek Balcarek</t>
  </si>
  <si>
    <t>Jan Dersak 69</t>
  </si>
  <si>
    <t>Petr Stepanek</t>
  </si>
  <si>
    <t>Eliska Kudejova</t>
  </si>
  <si>
    <t>Strakonice</t>
  </si>
  <si>
    <t>Martin Urban</t>
  </si>
  <si>
    <t>Frýdlant</t>
  </si>
  <si>
    <t>Jiri Stepanek</t>
  </si>
  <si>
    <t>Zdenek Boruvka 86</t>
  </si>
  <si>
    <t>Michal Cupak</t>
  </si>
  <si>
    <t>Petr Jiranek 91</t>
  </si>
  <si>
    <t>Katerina Vojtova</t>
  </si>
  <si>
    <t>Jiri Prochazka</t>
  </si>
  <si>
    <t>Lukas Koukal</t>
  </si>
  <si>
    <t>Radim Sobek</t>
  </si>
  <si>
    <t>Petr Bartak</t>
  </si>
  <si>
    <t>Daniel Dvorak</t>
  </si>
  <si>
    <t>Martin Hejny</t>
  </si>
  <si>
    <t>Jan Muknsnabl</t>
  </si>
  <si>
    <t>Jan Smaha</t>
  </si>
  <si>
    <t>Vojtech Vach 03</t>
  </si>
  <si>
    <t>Vrchlabí</t>
  </si>
  <si>
    <t>Jan Vozeh</t>
  </si>
  <si>
    <t>Rakovník</t>
  </si>
  <si>
    <t>Martin Picka</t>
  </si>
  <si>
    <t>Jiri Koudela</t>
  </si>
  <si>
    <t>Vyškov</t>
  </si>
  <si>
    <t>Michal Drab</t>
  </si>
  <si>
    <t>Leos Strnadek</t>
  </si>
  <si>
    <t>Zdenek Boruvka 54</t>
  </si>
  <si>
    <t>Pavlina Horackova</t>
  </si>
  <si>
    <t>Frantisek Myska</t>
  </si>
  <si>
    <t>Most</t>
  </si>
  <si>
    <t>Josef Kolman</t>
  </si>
  <si>
    <t>Martin Kriz</t>
  </si>
  <si>
    <t>Pavel Liska</t>
  </si>
  <si>
    <t>Roudnice</t>
  </si>
  <si>
    <t>Martin Zahalka</t>
  </si>
  <si>
    <t>Staňkov</t>
  </si>
  <si>
    <t>Zdenek Schenk</t>
  </si>
  <si>
    <t>Petr Havelka</t>
  </si>
  <si>
    <t>Jan Horak</t>
  </si>
  <si>
    <t>Rostislav Stryk</t>
  </si>
  <si>
    <t>Adam Sugl</t>
  </si>
  <si>
    <t>Marek Kornec</t>
  </si>
  <si>
    <t>Lubomir Motl</t>
  </si>
  <si>
    <t>Kyjov</t>
  </si>
  <si>
    <t>Petr Babak</t>
  </si>
  <si>
    <t>Martin Svarc</t>
  </si>
  <si>
    <t>Jiri Hula</t>
  </si>
  <si>
    <t>Petr Jiranek 63</t>
  </si>
  <si>
    <t>Josef Beran</t>
  </si>
  <si>
    <t>Jan Pazour</t>
  </si>
  <si>
    <t>Tomas Kulhavy</t>
  </si>
  <si>
    <t>Liberec</t>
  </si>
  <si>
    <t>Vaclav Svoboda</t>
  </si>
  <si>
    <t>Filip Mrstny</t>
  </si>
  <si>
    <t>Beroun</t>
  </si>
  <si>
    <t>David Riha</t>
  </si>
  <si>
    <t>Vlašim</t>
  </si>
  <si>
    <t>Marek Svancara</t>
  </si>
  <si>
    <t>Ondrej Teichman</t>
  </si>
  <si>
    <t>Wolfgang Sluka</t>
  </si>
  <si>
    <t>Miloslav Hulmak</t>
  </si>
  <si>
    <t>Jaroslav Sima</t>
  </si>
  <si>
    <t>Chomutov</t>
  </si>
  <si>
    <t>Ladislav Prokes</t>
  </si>
  <si>
    <t>Frantisek Suna</t>
  </si>
  <si>
    <t>Jan Florian</t>
  </si>
  <si>
    <t>Josef Novotny</t>
  </si>
  <si>
    <t>Tibor Hezina</t>
  </si>
  <si>
    <t>Radim Tomala</t>
  </si>
  <si>
    <t>Prostějov</t>
  </si>
  <si>
    <t>Jaroslav Potmesil</t>
  </si>
  <si>
    <t>Jakub Kohn</t>
  </si>
  <si>
    <t>Jan Mareth</t>
  </si>
  <si>
    <t>Radek Bares</t>
  </si>
  <si>
    <t>Ales Vyhnal</t>
  </si>
  <si>
    <t>Jan Hybner</t>
  </si>
  <si>
    <t>Milan Meisner</t>
  </si>
  <si>
    <t>David Popovsky</t>
  </si>
  <si>
    <t>Katerina Vancurova</t>
  </si>
  <si>
    <t>Jakub Malik</t>
  </si>
  <si>
    <t>Petr Starek</t>
  </si>
  <si>
    <t>Jan Zahradka</t>
  </si>
  <si>
    <t>Tomas Prikryl</t>
  </si>
  <si>
    <t>Jiri Maier 66</t>
  </si>
  <si>
    <t>Jan Zanda</t>
  </si>
  <si>
    <t>Miroslav Koci</t>
  </si>
  <si>
    <t>Žamberk</t>
  </si>
  <si>
    <t>Petr Rozhon</t>
  </si>
  <si>
    <t>Vladimir Hammer</t>
  </si>
  <si>
    <t>Martin Stastny</t>
  </si>
  <si>
    <t>Premysl Muzik</t>
  </si>
  <si>
    <t>Tomas Ditrt</t>
  </si>
  <si>
    <t>Podhořany</t>
  </si>
  <si>
    <t>Frantisek Komarek</t>
  </si>
  <si>
    <t>Petr Havrlant</t>
  </si>
  <si>
    <t>Olga Mokosova</t>
  </si>
  <si>
    <t>Jihlava</t>
  </si>
  <si>
    <t>Marek Pechanec</t>
  </si>
  <si>
    <t>Radoslav Pur</t>
  </si>
  <si>
    <t>Matej Plch</t>
  </si>
  <si>
    <t>Karel Benisek 76</t>
  </si>
  <si>
    <t>Matej Bartos</t>
  </si>
  <si>
    <t>Miroslav Sklenar</t>
  </si>
  <si>
    <t>Jan Svestka</t>
  </si>
  <si>
    <t>Karel Mares</t>
  </si>
  <si>
    <t>Martin Cicvarek</t>
  </si>
  <si>
    <t>Vojtech Hajek</t>
  </si>
  <si>
    <t>Slavomir Piskaty 84</t>
  </si>
  <si>
    <t>Vojtech Pavek</t>
  </si>
  <si>
    <t>Petr Lonsky</t>
  </si>
  <si>
    <t>Stepan Obrovsky</t>
  </si>
  <si>
    <t>David Vrchota</t>
  </si>
  <si>
    <t>Lukas Volek</t>
  </si>
  <si>
    <t>Pavel Haluza</t>
  </si>
  <si>
    <t>Petr Setka</t>
  </si>
  <si>
    <t>Roman Schotli</t>
  </si>
  <si>
    <t>Jan Sponer</t>
  </si>
  <si>
    <t>Petr Kolomaznik</t>
  </si>
  <si>
    <t>Pavel Koudelka</t>
  </si>
  <si>
    <t>Vojtech Pivonka</t>
  </si>
  <si>
    <t>Ivo Burda</t>
  </si>
  <si>
    <t>Jan Hejret</t>
  </si>
  <si>
    <t>Lubomir Doupal</t>
  </si>
  <si>
    <t>Vit Prokop</t>
  </si>
  <si>
    <t>Milos Matejka</t>
  </si>
  <si>
    <t>Jaromir Pauer</t>
  </si>
  <si>
    <t>Vaclav Hruza</t>
  </si>
  <si>
    <t>Danes Grula</t>
  </si>
  <si>
    <t>Frantisek Filandr</t>
  </si>
  <si>
    <t>Daniel Ryba</t>
  </si>
  <si>
    <t>Martin Fric</t>
  </si>
  <si>
    <t>David Benda</t>
  </si>
  <si>
    <t>Martin Suchy</t>
  </si>
  <si>
    <t>Karel Horalek</t>
  </si>
  <si>
    <t>Pavel Foldyna</t>
  </si>
  <si>
    <t>Radek Zima 75</t>
  </si>
  <si>
    <t>Jiri Holcman</t>
  </si>
  <si>
    <t>Jan Podhrazsky</t>
  </si>
  <si>
    <t>Ivan Morkovsky</t>
  </si>
  <si>
    <t>Petra Piskata</t>
  </si>
  <si>
    <t>Michal Kares</t>
  </si>
  <si>
    <t>Ústí nad Orlicí</t>
  </si>
  <si>
    <t>Lukas Plocek</t>
  </si>
  <si>
    <t>Jakub Hlavacek</t>
  </si>
  <si>
    <t>Jiri Krofta</t>
  </si>
  <si>
    <t>Petr Styblo</t>
  </si>
  <si>
    <t>Milan Dvorak</t>
  </si>
  <si>
    <t>Jan Kohout</t>
  </si>
  <si>
    <t>Pavel Trojan</t>
  </si>
  <si>
    <t>Chrudim</t>
  </si>
  <si>
    <t>Filip Riabec</t>
  </si>
  <si>
    <t>Jan Zapletal</t>
  </si>
  <si>
    <t>Slavomir Tanglmajer</t>
  </si>
  <si>
    <t>Petr Malcek</t>
  </si>
  <si>
    <t>Martin Neuvirt</t>
  </si>
  <si>
    <t>Dalibor Pek</t>
  </si>
  <si>
    <t>Tomas Mezera</t>
  </si>
  <si>
    <t>Jaromir Vlk</t>
  </si>
  <si>
    <t>Radek Tobolka</t>
  </si>
  <si>
    <t>Lukas Maly</t>
  </si>
  <si>
    <t>Roman Lanzendorf</t>
  </si>
  <si>
    <t>Antonin Kutalek</t>
  </si>
  <si>
    <t>Petr Brezina</t>
  </si>
  <si>
    <t>Sarka Lochova</t>
  </si>
  <si>
    <t>Leos Nosek</t>
  </si>
  <si>
    <t>Martin Holik</t>
  </si>
  <si>
    <t>Jiri Maier 99</t>
  </si>
  <si>
    <t>Milan Minarik</t>
  </si>
  <si>
    <t>Milan Bado</t>
  </si>
  <si>
    <t>Jan Ratz</t>
  </si>
  <si>
    <t>Matej Krestes</t>
  </si>
  <si>
    <t>Zdenek Mach</t>
  </si>
  <si>
    <t>Vladimir Jirka</t>
  </si>
  <si>
    <t>Karel Policky</t>
  </si>
  <si>
    <t>Michael Fik</t>
  </si>
  <si>
    <t>Rudolf Jung</t>
  </si>
  <si>
    <t>Petr Benes</t>
  </si>
  <si>
    <t>Petr Jedlicka</t>
  </si>
  <si>
    <t>Lukas Petrzela</t>
  </si>
  <si>
    <t>Tomas Novak</t>
  </si>
  <si>
    <t>Petr Omelka</t>
  </si>
  <si>
    <t>Filip Sirc</t>
  </si>
  <si>
    <t>Richard Jensen</t>
  </si>
  <si>
    <t>Miroslav Mitrus</t>
  </si>
  <si>
    <t>Slavomir Valecko</t>
  </si>
  <si>
    <t>Vladislav Cadsky</t>
  </si>
  <si>
    <t>Tomas Zamecnik</t>
  </si>
  <si>
    <t>Vaclav Petru</t>
  </si>
  <si>
    <t>Jana Mezerova</t>
  </si>
  <si>
    <t>Petr Hosek</t>
  </si>
  <si>
    <t>Matous Schmidt</t>
  </si>
  <si>
    <t>Radovan Otto</t>
  </si>
  <si>
    <t>Ústí nad Labem</t>
  </si>
  <si>
    <t>Beat Albrecht</t>
  </si>
  <si>
    <t>Martin Markl</t>
  </si>
  <si>
    <t>Adam Hepal</t>
  </si>
  <si>
    <t>Roman Cerny</t>
  </si>
  <si>
    <t>Daniel Devecka</t>
  </si>
  <si>
    <t>Filip Malik</t>
  </si>
  <si>
    <t>Tomas Ptacovsky</t>
  </si>
  <si>
    <t>Jan Kristof</t>
  </si>
  <si>
    <t>Eduard Niko</t>
  </si>
  <si>
    <t>Jiri Donat</t>
  </si>
  <si>
    <t>Martin Valenta</t>
  </si>
  <si>
    <t>Tomas Holenda</t>
  </si>
  <si>
    <t>Antonin Novotny</t>
  </si>
  <si>
    <t>Petr Seibrt</t>
  </si>
  <si>
    <t>Náchod</t>
  </si>
  <si>
    <t>Adela Vachova</t>
  </si>
  <si>
    <t>Michal Prochazka</t>
  </si>
  <si>
    <t>Lukas Hynek</t>
  </si>
  <si>
    <t>Vit Tvrdik</t>
  </si>
  <si>
    <t>Jan Sobotka</t>
  </si>
  <si>
    <t>Oldrich Bartonik</t>
  </si>
  <si>
    <t>Michal Navratil</t>
  </si>
  <si>
    <t>Rostislav Fric</t>
  </si>
  <si>
    <t>Jakub Sachl</t>
  </si>
  <si>
    <t>Yvona Vyhnankova</t>
  </si>
  <si>
    <t>Milos Dedera</t>
  </si>
  <si>
    <t>Jiri Cincera</t>
  </si>
  <si>
    <t>Vojtech Bystricky</t>
  </si>
  <si>
    <t>Tim Raasch</t>
  </si>
  <si>
    <t>Michal Posluzny</t>
  </si>
  <si>
    <t>Jan Zezula</t>
  </si>
  <si>
    <t>Vit Grossmann</t>
  </si>
  <si>
    <t>Jiri Janda</t>
  </si>
  <si>
    <t>Tomas Jung</t>
  </si>
  <si>
    <t>Ladislav Jozsa</t>
  </si>
  <si>
    <t>David Tejnora</t>
  </si>
  <si>
    <t>Adam Laburda</t>
  </si>
  <si>
    <t>Jiri Slemr</t>
  </si>
  <si>
    <t>Oldrich Slavicek</t>
  </si>
  <si>
    <t>Oldrich Kounovsky</t>
  </si>
  <si>
    <t>Jan Hlavacek 65</t>
  </si>
  <si>
    <t>Jiri Hodan</t>
  </si>
  <si>
    <t>Radim Zielinski</t>
  </si>
  <si>
    <t>Petr Rygl</t>
  </si>
  <si>
    <t>Dalibor Daricek</t>
  </si>
  <si>
    <t>Tomas Seifert</t>
  </si>
  <si>
    <t>Vojtech Novotny</t>
  </si>
  <si>
    <t>Jan Vavrin</t>
  </si>
  <si>
    <t>Miroslav Burdych</t>
  </si>
  <si>
    <t>Nové Město nad Metují</t>
  </si>
  <si>
    <t>Stanislav Poslusny</t>
  </si>
  <si>
    <t>Jiri Pelucha</t>
  </si>
  <si>
    <t>Petr Tax</t>
  </si>
  <si>
    <t>Peter Kaspar</t>
  </si>
  <si>
    <t>Ivan Kuzelka</t>
  </si>
  <si>
    <t>Robin Stichenwirth</t>
  </si>
  <si>
    <t>Martin Benesovsky</t>
  </si>
  <si>
    <t>Vaclav Zak</t>
  </si>
  <si>
    <t>Tereza Ludvikova</t>
  </si>
  <si>
    <t>Vladimir Abraham</t>
  </si>
  <si>
    <t>Lubos Muknsnabl</t>
  </si>
  <si>
    <t>Josef Kreutzer</t>
  </si>
  <si>
    <t>Michal Maly</t>
  </si>
  <si>
    <t>Ales Holoubek</t>
  </si>
  <si>
    <t>Lubomir Svoboda</t>
  </si>
  <si>
    <t>Lumir Motyka</t>
  </si>
  <si>
    <t>Michal Janda</t>
  </si>
  <si>
    <t>Marek Novotny</t>
  </si>
  <si>
    <t>Michal Vranek</t>
  </si>
  <si>
    <t>Daniel Novak</t>
  </si>
  <si>
    <t>Miroslav Stepan</t>
  </si>
  <si>
    <t>Vaclav Kult</t>
  </si>
  <si>
    <t>Jan Vacik</t>
  </si>
  <si>
    <t>Miroslav Macik</t>
  </si>
  <si>
    <t>Vaclav Sehnal</t>
  </si>
  <si>
    <t>Dusan Gadas</t>
  </si>
  <si>
    <t>Jiri Vojta</t>
  </si>
  <si>
    <t>Roman Michalek</t>
  </si>
  <si>
    <t>Milos Nyvlt</t>
  </si>
  <si>
    <t>Martin Stepanek</t>
  </si>
  <si>
    <t>Matyas John</t>
  </si>
  <si>
    <t>Anna Lanzendorfova</t>
  </si>
  <si>
    <t>Klara Teichmannova</t>
  </si>
  <si>
    <t>Jakub Jezek</t>
  </si>
  <si>
    <t>Antonin Klika</t>
  </si>
  <si>
    <t>David Brunclik</t>
  </si>
  <si>
    <t>Martin Koci</t>
  </si>
  <si>
    <t>Jan Sobek</t>
  </si>
  <si>
    <t>Tomas Meier</t>
  </si>
  <si>
    <t>Jan Konecny</t>
  </si>
  <si>
    <t>Jan Manhal</t>
  </si>
  <si>
    <t>Tomas Talanda</t>
  </si>
  <si>
    <t>Petr Vodicka</t>
  </si>
  <si>
    <t>Jakub Vlk</t>
  </si>
  <si>
    <t>Lukas Hykl</t>
  </si>
  <si>
    <t>Tomas Profeld</t>
  </si>
  <si>
    <t>Libor Bednarik</t>
  </si>
  <si>
    <t>Eva Klapkova</t>
  </si>
  <si>
    <t>Petr Herold</t>
  </si>
  <si>
    <t>Jan Matejovsky</t>
  </si>
  <si>
    <t>Daniel Marek</t>
  </si>
  <si>
    <t>Jakub Safar</t>
  </si>
  <si>
    <t>Tomas Wodeckij</t>
  </si>
  <si>
    <t>Vojtech Kostejn</t>
  </si>
  <si>
    <t>Pavel Svetlik</t>
  </si>
  <si>
    <t>Radek Bartos</t>
  </si>
  <si>
    <t>Petr Fisar</t>
  </si>
  <si>
    <t>Zdenek Votava</t>
  </si>
  <si>
    <t>Josef Hlusek</t>
  </si>
  <si>
    <t>Jaromir Jedlicka</t>
  </si>
  <si>
    <t>Ondrej Hurina</t>
  </si>
  <si>
    <t>Dusan Patocka</t>
  </si>
  <si>
    <t>Josef Plechac</t>
  </si>
  <si>
    <t>Jaroslav Sefc</t>
  </si>
  <si>
    <t>David Kraus</t>
  </si>
  <si>
    <t>Martin Viteznik</t>
  </si>
  <si>
    <t>Viktorie Kusa</t>
  </si>
  <si>
    <t>Jaroslav Simek</t>
  </si>
  <si>
    <t>Ondrej Stepan</t>
  </si>
  <si>
    <t>Fabian Curda</t>
  </si>
  <si>
    <t>Michal Ondracek</t>
  </si>
  <si>
    <t>Milos Pajr</t>
  </si>
  <si>
    <t>Vit Pavelka</t>
  </si>
  <si>
    <t>Jaroslav Koudelka 95</t>
  </si>
  <si>
    <t>Marie Vesela</t>
  </si>
  <si>
    <t>Lukas Kotek</t>
  </si>
  <si>
    <t>Martin Stransky</t>
  </si>
  <si>
    <t>Michal Hemrle</t>
  </si>
  <si>
    <t>Pavel Derda</t>
  </si>
  <si>
    <t>Jiri Bergman</t>
  </si>
  <si>
    <t>Daniel Suchy</t>
  </si>
  <si>
    <t>Petr Sindelar 80</t>
  </si>
  <si>
    <t>Michal Nutil</t>
  </si>
  <si>
    <t>Boris Guic</t>
  </si>
  <si>
    <t>Michal Fortik</t>
  </si>
  <si>
    <t>Točná</t>
  </si>
  <si>
    <t>Jiri Lenik</t>
  </si>
  <si>
    <t>Jaroslav Hot</t>
  </si>
  <si>
    <t>Martin Soucek</t>
  </si>
  <si>
    <t>Martin Krizovic</t>
  </si>
  <si>
    <t>Petr Vezda</t>
  </si>
  <si>
    <t>Michal Linhart</t>
  </si>
  <si>
    <t>Frantisek Pycha</t>
  </si>
  <si>
    <t>Milos Hrabe</t>
  </si>
  <si>
    <t>Dalibor Bucha</t>
  </si>
  <si>
    <t>Oldrich Hlavacek</t>
  </si>
  <si>
    <t>Pavel Mracek</t>
  </si>
  <si>
    <t>Pavel Svrcek</t>
  </si>
  <si>
    <t>Miroslav Major</t>
  </si>
  <si>
    <t>Jan Karas</t>
  </si>
  <si>
    <t>Petr Weinhauer</t>
  </si>
  <si>
    <t>Lubomir Mekota</t>
  </si>
  <si>
    <t>Plasy</t>
  </si>
  <si>
    <t>Pavel Zakravsky</t>
  </si>
  <si>
    <t>Daniel Sirmer</t>
  </si>
  <si>
    <t>Tereza Novakova</t>
  </si>
  <si>
    <t>Petra Ctibor</t>
  </si>
  <si>
    <t>Kamil Sohr</t>
  </si>
  <si>
    <t>Jan Platenik</t>
  </si>
  <si>
    <t>Lukas Zach</t>
  </si>
  <si>
    <t>Jaroslav Dvorak</t>
  </si>
  <si>
    <t>Jiri Pajer</t>
  </si>
  <si>
    <t>Vladislav Panek</t>
  </si>
  <si>
    <t>Martin Marek</t>
  </si>
  <si>
    <t>Ales Nestrojil</t>
  </si>
  <si>
    <t>Krystof Mimra</t>
  </si>
  <si>
    <t>Miroslav Kus</t>
  </si>
  <si>
    <t>Martin Piskacek</t>
  </si>
  <si>
    <t>Zuzana Novakova</t>
  </si>
  <si>
    <t>Petr Houstek 79</t>
  </si>
  <si>
    <t>Jiri Bartunek</t>
  </si>
  <si>
    <t>Radim Hahn</t>
  </si>
  <si>
    <t>Albert Schneider</t>
  </si>
  <si>
    <t>Karel Ertl</t>
  </si>
  <si>
    <t>LK Břeclav</t>
  </si>
  <si>
    <t>Jan Heroudek</t>
  </si>
  <si>
    <t>Jiri Veprek</t>
  </si>
  <si>
    <t>Vladimir Spilka</t>
  </si>
  <si>
    <t>Miroslav Odlozilik</t>
  </si>
  <si>
    <t>Jan Hirs</t>
  </si>
  <si>
    <t>Karel Lang</t>
  </si>
  <si>
    <t>Frantisek Kriz</t>
  </si>
  <si>
    <t>Petr Cernicky</t>
  </si>
  <si>
    <t>Jan Hlavacek 04</t>
  </si>
  <si>
    <t>Jan Mrozek</t>
  </si>
  <si>
    <t>Radek Jaksa</t>
  </si>
  <si>
    <t>Zbynek Bican</t>
  </si>
  <si>
    <t>Marek Hlavaty</t>
  </si>
  <si>
    <t>Tomas Vaclavik</t>
  </si>
  <si>
    <t>Roman Bradac</t>
  </si>
  <si>
    <t>Stanislav Vrabec</t>
  </si>
  <si>
    <t>Miloslav Cindr</t>
  </si>
  <si>
    <t>Frantisek Brozman</t>
  </si>
  <si>
    <t>Tachov</t>
  </si>
  <si>
    <t>Pavel Melichar</t>
  </si>
  <si>
    <t>Lubos Stiburek</t>
  </si>
  <si>
    <t>Pavel Handl</t>
  </si>
  <si>
    <t>Karel Mrazek</t>
  </si>
  <si>
    <t>Jiri Pixa</t>
  </si>
  <si>
    <t>Ales Valenta</t>
  </si>
  <si>
    <t>Ales Sokolik</t>
  </si>
  <si>
    <t>Ondrej Dostal</t>
  </si>
  <si>
    <t>CZ</t>
  </si>
  <si>
    <t>Jan Hrbatsch</t>
  </si>
  <si>
    <t>Ludek Mikl</t>
  </si>
  <si>
    <t>Jiri Tomicek</t>
  </si>
  <si>
    <t>Bohus Marcinik</t>
  </si>
  <si>
    <t>Příbram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</si>
</sst>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name val="Arial"/>
      <family val="2"/>
      <charset val="238"/>
    </font>
    <font>
      <sz val="10"/>
      <color indexed="62"/>
      <name val="Arial"/>
      <family val="2"/>
      <charset val="238"/>
    </font>
    <font>
      <b/>
      <sz val="12"/>
      <color indexed="62"/>
      <name val="Arial"/>
      <family val="2"/>
      <charset val="238"/>
    </font>
    <font>
      <sz val="10"/>
      <color rgb="FF002060"/>
      <name val="Arial"/>
      <family val="2"/>
      <charset val="238"/>
    </font>
    <font>
      <b/>
      <sz val="10"/>
      <color indexed="62"/>
      <name val="Arial"/>
      <family val="2"/>
      <charset val="238"/>
    </font>
    <font>
      <b/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>
      <alignment horizontal="left" vertical="top"/>
    </xf>
  </cellStyleXfs>
  <cellXfs count="26">
    <xf numFmtId="0" fontId="0" fillId="0" borderId="0" xfId="0">
      <alignment horizontal="left" vertical="top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1" fontId="3" fillId="0" borderId="0" xfId="0" quotePrefix="1" applyNumberFormat="1" applyFont="1" applyAlignment="1">
      <alignment horizontal="left" vertical="center"/>
    </xf>
    <xf numFmtId="0" fontId="6" fillId="0" borderId="0" xfId="0" applyFont="1" applyAlignment="1">
      <alignment horizontal="center"/>
    </xf>
    <xf numFmtId="0" fontId="3" fillId="0" borderId="0" xfId="0" applyFont="1">
      <alignment horizontal="left" vertical="top"/>
    </xf>
    <xf numFmtId="0" fontId="6" fillId="0" borderId="0" xfId="0" applyFont="1">
      <alignment horizontal="left" vertical="top"/>
    </xf>
    <xf numFmtId="0" fontId="3" fillId="0" borderId="0" xfId="0" applyFont="1" applyAlignment="1">
      <alignment horizontal="left"/>
    </xf>
    <xf numFmtId="0" fontId="0" fillId="0" borderId="1" xfId="0" applyBorder="1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" xfId="0" applyBorder="1">
      <alignment horizontal="left" vertical="top"/>
    </xf>
    <xf numFmtId="0" fontId="0" fillId="0" borderId="3" xfId="0" applyBorder="1">
      <alignment horizontal="left" vertical="top"/>
    </xf>
    <xf numFmtId="0" fontId="0" fillId="0" borderId="4" xfId="0" applyBorder="1">
      <alignment horizontal="left" vertical="top"/>
    </xf>
    <xf numFmtId="0" fontId="6" fillId="0" borderId="0" xfId="0" applyFont="1" applyAlignment="1">
      <alignment horizontal="center" vertical="top"/>
    </xf>
    <xf numFmtId="0" fontId="0" fillId="0" borderId="5" xfId="0" applyBorder="1">
      <alignment horizontal="left" vertical="top"/>
    </xf>
    <xf numFmtId="0" fontId="7" fillId="0" borderId="0" xfId="0" applyFont="1" applyAlignment="1">
      <alignment horizontal="center"/>
    </xf>
    <xf numFmtId="0" fontId="5" fillId="0" borderId="0" xfId="0" applyFont="1">
      <alignment horizontal="left" vertical="top"/>
    </xf>
    <xf numFmtId="0" fontId="2" fillId="0" borderId="0" xfId="0" applyFont="1" applyAlignment="1">
      <alignment horizontal="left"/>
    </xf>
    <xf numFmtId="0" fontId="0" fillId="0" borderId="6" xfId="0" applyBorder="1">
      <alignment horizontal="left" vertical="top"/>
    </xf>
    <xf numFmtId="0" fontId="0" fillId="0" borderId="7" xfId="0" applyBorder="1">
      <alignment horizontal="left" vertical="top"/>
    </xf>
  </cellXfs>
  <cellStyles count="1">
    <cellStyle name="Normální" xfId="0" builtinId="0"/>
  </cellStyles>
  <dxfs count="3">
    <dxf>
      <font>
        <name val="Arial"/>
        <scheme val="none"/>
      </font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</xdr:row>
          <xdr:rowOff>0</xdr:rowOff>
        </xdr:from>
        <xdr:to>
          <xdr:col>10</xdr:col>
          <xdr:colOff>0</xdr:colOff>
          <xdr:row>2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C1C93185-4718-40B5-9BBE-C86D0E583D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cs-CZ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Aktualizovat</a:t>
              </a:r>
            </a:p>
            <a:p>
              <a:pPr algn="ctr" rtl="0">
                <a:defRPr sz="1000"/>
              </a:pPr>
              <a:endParaRPr lang="cs-CZ" sz="1000" b="0" i="0" u="none" strike="noStrike" baseline="0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rastai\Downloads\Zebrik.PK.AeCR.2025.xlsm" TargetMode="External"/><Relationship Id="rId1" Type="http://schemas.openxmlformats.org/officeDocument/2006/relationships/externalLinkPath" Target="file:///C:\Users\harastai\Downloads\Zebrik.PK.AeCR.2025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kout\Documents\Doc\Fly\PK%20AeCR\Zebrik\Zebrik.PK.AeCR.2023.xlsm" TargetMode="External"/><Relationship Id="rId1" Type="http://schemas.openxmlformats.org/officeDocument/2006/relationships/externalLinkPath" Target="file:///C:\Users\pkout\Documents\Doc\Fly\PK%20AeCR\Zebrik\Zebrik.PK.AeCR.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Zmeny"/>
      <sheetName val="Soutez"/>
      <sheetName val="Kp"/>
      <sheetName val="Pilot"/>
      <sheetName val="Region"/>
      <sheetName val="Temp"/>
      <sheetName val="Data"/>
      <sheetName val="Zebrik G"/>
      <sheetName val="Zebrik W"/>
      <sheetName val="KB PMRg 2023"/>
      <sheetName val="KB PMRg 2024"/>
      <sheetName val="KB PMRg 2025"/>
      <sheetName val="N PMČR 2026"/>
      <sheetName val="N PMČRj 2026"/>
    </sheetNames>
    <definedNames>
      <definedName name="SeraditZebrik_G"/>
    </definedNames>
    <sheetDataSet>
      <sheetData sheetId="0">
        <row r="4">
          <cell r="A4">
            <v>46004</v>
          </cell>
          <cell r="B4" t="str">
            <v>01</v>
          </cell>
          <cell r="C4" t="str">
            <v>Doplněny chybějící koeficienty soutěží, rozšířen W/RV 2026</v>
          </cell>
        </row>
      </sheetData>
      <sheetData sheetId="1">
        <row r="1">
          <cell r="A1" t="str">
            <v>Soutěž</v>
          </cell>
          <cell r="B1" t="str">
            <v>Stát</v>
          </cell>
          <cell r="C1" t="str">
            <v>Rok</v>
          </cell>
          <cell r="D1" t="str">
            <v>Místo</v>
          </cell>
          <cell r="E1" t="str">
            <v>Termín</v>
          </cell>
          <cell r="F1" t="str">
            <v>Poč. disc.</v>
          </cell>
          <cell r="G1" t="str">
            <v>Poč. pilotů</v>
          </cell>
          <cell r="H1" t="str">
            <v>Ki</v>
          </cell>
          <cell r="I1" t="str">
            <v>Kn1</v>
          </cell>
          <cell r="J1" t="str">
            <v>Kn2</v>
          </cell>
          <cell r="K1" t="str">
            <v>Kp</v>
          </cell>
          <cell r="L1" t="str">
            <v>Kinp</v>
          </cell>
          <cell r="M1" t="str">
            <v>dKinp</v>
          </cell>
        </row>
        <row r="2">
          <cell r="A2" t="str">
            <v>Zařazené soutěže 2023:</v>
          </cell>
        </row>
        <row r="3">
          <cell r="A3" t="str">
            <v>SGP Final 2023</v>
          </cell>
          <cell r="B3" t="str">
            <v>IT</v>
          </cell>
          <cell r="C3">
            <v>2023</v>
          </cell>
          <cell r="D3" t="str">
            <v>Pavullo</v>
          </cell>
          <cell r="E3" t="str">
            <v>16.4.-27.4.23</v>
          </cell>
          <cell r="F3">
            <v>4</v>
          </cell>
          <cell r="G3">
            <v>19</v>
          </cell>
          <cell r="H3">
            <v>1</v>
          </cell>
          <cell r="I3">
            <v>3.5000000000000003E-2</v>
          </cell>
          <cell r="J3">
            <v>0.03</v>
          </cell>
          <cell r="K3">
            <v>0</v>
          </cell>
          <cell r="L3">
            <v>1.0649999999999999</v>
          </cell>
          <cell r="M3">
            <v>6.4999999999999947E-2</v>
          </cell>
        </row>
        <row r="4">
          <cell r="A4" t="str">
            <v>FCC Gliding 2023 - Klub</v>
          </cell>
          <cell r="B4" t="str">
            <v>SK</v>
          </cell>
          <cell r="C4">
            <v>2023</v>
          </cell>
          <cell r="D4" t="str">
            <v>Prievidza</v>
          </cell>
          <cell r="E4" t="str">
            <v>16.4.-27.4.23</v>
          </cell>
          <cell r="F4">
            <v>7</v>
          </cell>
          <cell r="G4">
            <v>21</v>
          </cell>
          <cell r="H4">
            <v>0.9</v>
          </cell>
          <cell r="I4">
            <v>0.01</v>
          </cell>
          <cell r="J4">
            <v>0.01</v>
          </cell>
          <cell r="K4">
            <v>1.4999999999999999E-2</v>
          </cell>
          <cell r="L4">
            <v>0.93500000000000005</v>
          </cell>
          <cell r="M4">
            <v>3.5000000000000031E-2</v>
          </cell>
        </row>
        <row r="5">
          <cell r="A5" t="str">
            <v>FCC Gliding 2023 - Kombi 15m</v>
          </cell>
          <cell r="B5" t="str">
            <v>SK</v>
          </cell>
          <cell r="C5">
            <v>2023</v>
          </cell>
          <cell r="D5" t="str">
            <v>Prievidza</v>
          </cell>
          <cell r="E5" t="str">
            <v>16.4.-27.4.23</v>
          </cell>
          <cell r="F5">
            <v>7</v>
          </cell>
          <cell r="G5">
            <v>31</v>
          </cell>
          <cell r="H5">
            <v>0.9</v>
          </cell>
          <cell r="I5">
            <v>0.05</v>
          </cell>
          <cell r="J5">
            <v>0.02</v>
          </cell>
          <cell r="K5">
            <v>1.4999999999999999E-2</v>
          </cell>
          <cell r="L5">
            <v>0.9850000000000001</v>
          </cell>
          <cell r="M5">
            <v>8.5000000000000075E-2</v>
          </cell>
        </row>
        <row r="6">
          <cell r="A6" t="str">
            <v>FCC Gliding 2023 - Kombi Open</v>
          </cell>
          <cell r="B6" t="str">
            <v>SK</v>
          </cell>
          <cell r="C6">
            <v>2023</v>
          </cell>
          <cell r="D6" t="str">
            <v>Prievidza</v>
          </cell>
          <cell r="E6" t="str">
            <v>16.4.-27.4.23</v>
          </cell>
          <cell r="F6">
            <v>7</v>
          </cell>
          <cell r="G6">
            <v>39</v>
          </cell>
          <cell r="H6">
            <v>0.9</v>
          </cell>
          <cell r="I6">
            <v>0.02</v>
          </cell>
          <cell r="J6">
            <v>0.02</v>
          </cell>
          <cell r="K6">
            <v>1.4999999999999999E-2</v>
          </cell>
          <cell r="L6">
            <v>0.95500000000000007</v>
          </cell>
          <cell r="M6">
            <v>5.5000000000000049E-2</v>
          </cell>
        </row>
        <row r="7">
          <cell r="A7" t="str">
            <v>Fatraglide 2023 - Klub</v>
          </cell>
          <cell r="B7" t="str">
            <v>SK</v>
          </cell>
          <cell r="C7">
            <v>2023</v>
          </cell>
          <cell r="D7" t="str">
            <v>Martin</v>
          </cell>
          <cell r="E7" t="str">
            <v>29.4.-6.5.23</v>
          </cell>
          <cell r="F7">
            <v>4</v>
          </cell>
          <cell r="G7">
            <v>19</v>
          </cell>
          <cell r="H7">
            <v>0.75</v>
          </cell>
          <cell r="I7">
            <v>5.0000000000000001E-3</v>
          </cell>
          <cell r="J7">
            <v>0</v>
          </cell>
          <cell r="K7">
            <v>0</v>
          </cell>
          <cell r="L7">
            <v>0.755</v>
          </cell>
          <cell r="M7">
            <v>5.0000000000000044E-3</v>
          </cell>
        </row>
        <row r="8">
          <cell r="A8" t="str">
            <v>Fatraglide 2023 - Kombi</v>
          </cell>
          <cell r="B8" t="str">
            <v>SK</v>
          </cell>
          <cell r="C8">
            <v>2023</v>
          </cell>
          <cell r="D8" t="str">
            <v>Martin</v>
          </cell>
          <cell r="E8" t="str">
            <v>29.4.-6.5.23</v>
          </cell>
          <cell r="F8">
            <v>4</v>
          </cell>
          <cell r="G8">
            <v>15</v>
          </cell>
          <cell r="H8">
            <v>0.75</v>
          </cell>
          <cell r="I8">
            <v>5.0000000000000001E-3</v>
          </cell>
          <cell r="J8">
            <v>0</v>
          </cell>
          <cell r="K8">
            <v>0</v>
          </cell>
          <cell r="L8">
            <v>0.755</v>
          </cell>
          <cell r="M8">
            <v>5.0000000000000044E-3</v>
          </cell>
        </row>
        <row r="9">
          <cell r="A9" t="str">
            <v>AZ Cup 2023 - Klub</v>
          </cell>
          <cell r="B9" t="str">
            <v>CZ</v>
          </cell>
          <cell r="C9">
            <v>2023</v>
          </cell>
          <cell r="D9" t="str">
            <v>Zbraslavice</v>
          </cell>
          <cell r="E9" t="str">
            <v>25.5.-3.6.23</v>
          </cell>
          <cell r="F9">
            <v>9</v>
          </cell>
          <cell r="G9">
            <v>27</v>
          </cell>
          <cell r="H9">
            <v>0.9</v>
          </cell>
          <cell r="I9">
            <v>0.02</v>
          </cell>
          <cell r="J9">
            <v>0.01</v>
          </cell>
          <cell r="K9">
            <v>2.5000000000000001E-2</v>
          </cell>
          <cell r="L9">
            <v>0.95500000000000007</v>
          </cell>
          <cell r="M9">
            <v>5.5000000000000049E-2</v>
          </cell>
        </row>
        <row r="10">
          <cell r="A10" t="str">
            <v xml:space="preserve">AZ Cup 2023 - Kombi </v>
          </cell>
          <cell r="B10" t="str">
            <v>CZ</v>
          </cell>
          <cell r="C10">
            <v>2023</v>
          </cell>
          <cell r="D10" t="str">
            <v>Zbraslavice</v>
          </cell>
          <cell r="E10" t="str">
            <v>25.5.-3.6.23</v>
          </cell>
          <cell r="F10">
            <v>9</v>
          </cell>
          <cell r="G10">
            <v>32</v>
          </cell>
          <cell r="H10">
            <v>0.9</v>
          </cell>
          <cell r="I10">
            <v>4.4999999999999998E-2</v>
          </cell>
          <cell r="J10">
            <v>0.03</v>
          </cell>
          <cell r="K10">
            <v>2.5000000000000001E-2</v>
          </cell>
          <cell r="L10">
            <v>1</v>
          </cell>
          <cell r="M10">
            <v>9.9999999999999978E-2</v>
          </cell>
        </row>
        <row r="11">
          <cell r="A11" t="str">
            <v>FL 2023 - Kombi</v>
          </cell>
          <cell r="B11" t="str">
            <v>CZ</v>
          </cell>
          <cell r="C11">
            <v>2023</v>
          </cell>
          <cell r="D11" t="str">
            <v>Frýdlant n/Ostr.</v>
          </cell>
          <cell r="E11" t="str">
            <v>30.6.-9.7.23</v>
          </cell>
          <cell r="F11">
            <v>7</v>
          </cell>
          <cell r="G11">
            <v>11</v>
          </cell>
          <cell r="H11">
            <v>0.9</v>
          </cell>
          <cell r="I11">
            <v>0</v>
          </cell>
          <cell r="J11">
            <v>0</v>
          </cell>
          <cell r="K11">
            <v>1.4999999999999999E-2</v>
          </cell>
          <cell r="L11">
            <v>0.91500000000000004</v>
          </cell>
          <cell r="M11">
            <v>1.5000000000000013E-2</v>
          </cell>
        </row>
        <row r="12">
          <cell r="A12" t="str">
            <v>FL 2023 - Klub</v>
          </cell>
          <cell r="B12" t="str">
            <v>CZ</v>
          </cell>
          <cell r="C12">
            <v>2023</v>
          </cell>
          <cell r="D12" t="str">
            <v>Frýdlant n/Ostr.</v>
          </cell>
          <cell r="E12" t="str">
            <v>30.6.-9.7.23</v>
          </cell>
          <cell r="F12">
            <v>7</v>
          </cell>
          <cell r="G12">
            <v>9</v>
          </cell>
          <cell r="H12">
            <v>0</v>
          </cell>
          <cell r="I12">
            <v>0</v>
          </cell>
          <cell r="J12">
            <v>0</v>
          </cell>
          <cell r="K12">
            <v>1.4999999999999999E-2</v>
          </cell>
          <cell r="L12">
            <v>0</v>
          </cell>
          <cell r="M12">
            <v>0</v>
          </cell>
        </row>
        <row r="13">
          <cell r="A13" t="str">
            <v>JPJ 2023 - Klub</v>
          </cell>
          <cell r="B13" t="str">
            <v>CZ</v>
          </cell>
          <cell r="C13">
            <v>2023</v>
          </cell>
          <cell r="D13" t="str">
            <v>Šumperk</v>
          </cell>
          <cell r="E13" t="str">
            <v>6.5.-13.5.23</v>
          </cell>
          <cell r="F13">
            <v>4</v>
          </cell>
          <cell r="G13">
            <v>40</v>
          </cell>
          <cell r="H13">
            <v>0.9</v>
          </cell>
          <cell r="I13">
            <v>5.0000000000000001E-3</v>
          </cell>
          <cell r="J13">
            <v>0</v>
          </cell>
          <cell r="K13">
            <v>0</v>
          </cell>
          <cell r="L13">
            <v>0.90500000000000003</v>
          </cell>
          <cell r="M13">
            <v>5.0000000000000044E-3</v>
          </cell>
        </row>
        <row r="14">
          <cell r="A14" t="str">
            <v>JPJ 2023 - Kombi</v>
          </cell>
          <cell r="B14" t="str">
            <v>CZ</v>
          </cell>
          <cell r="C14">
            <v>2023</v>
          </cell>
          <cell r="D14" t="str">
            <v>Šumperk</v>
          </cell>
          <cell r="E14" t="str">
            <v>6.5.-13.5.23</v>
          </cell>
          <cell r="F14">
            <v>4</v>
          </cell>
          <cell r="G14">
            <v>19</v>
          </cell>
          <cell r="H14">
            <v>0.9</v>
          </cell>
          <cell r="I14">
            <v>5.0000000000000001E-3</v>
          </cell>
          <cell r="J14">
            <v>0.01</v>
          </cell>
          <cell r="K14">
            <v>0</v>
          </cell>
          <cell r="L14">
            <v>0.91500000000000004</v>
          </cell>
          <cell r="M14">
            <v>1.5000000000000013E-2</v>
          </cell>
        </row>
        <row r="15">
          <cell r="A15" t="str">
            <v>Alpe Adria Cup 2023 - 113</v>
          </cell>
          <cell r="B15" t="str">
            <v>AT</v>
          </cell>
          <cell r="C15">
            <v>2023</v>
          </cell>
          <cell r="D15" t="str">
            <v>Feldkirchen</v>
          </cell>
          <cell r="E15" t="str">
            <v>10.6.-17.6.23</v>
          </cell>
          <cell r="F15">
            <v>5</v>
          </cell>
          <cell r="G15">
            <v>17</v>
          </cell>
          <cell r="H15">
            <v>0.75</v>
          </cell>
          <cell r="I15">
            <v>0</v>
          </cell>
          <cell r="J15">
            <v>0</v>
          </cell>
          <cell r="K15">
            <v>5.0000000000000001E-3</v>
          </cell>
          <cell r="L15">
            <v>0.755</v>
          </cell>
          <cell r="M15">
            <v>5.0000000000000044E-3</v>
          </cell>
        </row>
        <row r="16">
          <cell r="A16" t="str">
            <v>Alpe Adria Cup 2023 - Kombi Open</v>
          </cell>
          <cell r="B16" t="str">
            <v>AT</v>
          </cell>
          <cell r="C16">
            <v>2023</v>
          </cell>
          <cell r="D16" t="str">
            <v>Feldkirchen</v>
          </cell>
          <cell r="E16" t="str">
            <v>10.6.-17.6.23</v>
          </cell>
          <cell r="F16">
            <v>5</v>
          </cell>
          <cell r="G16">
            <v>24</v>
          </cell>
          <cell r="H16">
            <v>0.75</v>
          </cell>
          <cell r="I16">
            <v>0</v>
          </cell>
          <cell r="J16">
            <v>0</v>
          </cell>
          <cell r="K16">
            <v>5.0000000000000001E-3</v>
          </cell>
          <cell r="L16">
            <v>0.755</v>
          </cell>
          <cell r="M16">
            <v>5.0000000000000044E-3</v>
          </cell>
        </row>
        <row r="17">
          <cell r="A17" t="str">
            <v>PMRg 2023 - Klub</v>
          </cell>
          <cell r="B17" t="str">
            <v>CZ</v>
          </cell>
          <cell r="C17">
            <v>2023</v>
          </cell>
          <cell r="D17" t="str">
            <v>Hosín</v>
          </cell>
          <cell r="E17" t="str">
            <v>1.7.-15.7.23</v>
          </cell>
          <cell r="F17">
            <v>10</v>
          </cell>
          <cell r="G17">
            <v>13</v>
          </cell>
          <cell r="H17">
            <v>0.9</v>
          </cell>
          <cell r="I17">
            <v>0</v>
          </cell>
          <cell r="J17">
            <v>0</v>
          </cell>
          <cell r="K17">
            <v>0.03</v>
          </cell>
          <cell r="L17">
            <v>0.93</v>
          </cell>
          <cell r="M17">
            <v>3.0000000000000027E-2</v>
          </cell>
        </row>
        <row r="18">
          <cell r="A18" t="str">
            <v>PMRg, PMČRj 2023 - Kombi</v>
          </cell>
          <cell r="B18" t="str">
            <v>CZ</v>
          </cell>
          <cell r="C18">
            <v>2023</v>
          </cell>
          <cell r="D18" t="str">
            <v>Hosín</v>
          </cell>
          <cell r="E18" t="str">
            <v>1.7.-15.7.23</v>
          </cell>
          <cell r="F18">
            <v>10</v>
          </cell>
          <cell r="G18">
            <v>11</v>
          </cell>
          <cell r="H18">
            <v>0.9</v>
          </cell>
          <cell r="I18">
            <v>0.02</v>
          </cell>
          <cell r="J18">
            <v>0</v>
          </cell>
          <cell r="K18">
            <v>0.03</v>
          </cell>
          <cell r="L18">
            <v>0.95000000000000007</v>
          </cell>
          <cell r="M18">
            <v>5.0000000000000044E-2</v>
          </cell>
        </row>
        <row r="19">
          <cell r="A19" t="str">
            <v>PMČRj 2023 - Klub</v>
          </cell>
          <cell r="B19" t="str">
            <v>CZ</v>
          </cell>
          <cell r="C19">
            <v>2023</v>
          </cell>
          <cell r="D19" t="str">
            <v>Hosín</v>
          </cell>
          <cell r="E19" t="str">
            <v>1.7.-15.7.23</v>
          </cell>
          <cell r="F19">
            <v>10</v>
          </cell>
          <cell r="G19">
            <v>25</v>
          </cell>
          <cell r="H19">
            <v>0.9</v>
          </cell>
          <cell r="I19">
            <v>0.01</v>
          </cell>
          <cell r="J19">
            <v>0</v>
          </cell>
          <cell r="K19">
            <v>0.03</v>
          </cell>
          <cell r="L19">
            <v>0.94000000000000006</v>
          </cell>
          <cell r="M19">
            <v>4.0000000000000036E-2</v>
          </cell>
        </row>
        <row r="20">
          <cell r="A20" t="str">
            <v>WWGC 2023 - Klub</v>
          </cell>
          <cell r="B20" t="str">
            <v>SP</v>
          </cell>
          <cell r="C20">
            <v>2023</v>
          </cell>
          <cell r="D20" t="str">
            <v>Garray</v>
          </cell>
          <cell r="E20" t="str">
            <v>2.7.-14.7.23</v>
          </cell>
          <cell r="F20">
            <v>8</v>
          </cell>
          <cell r="G20">
            <v>19</v>
          </cell>
          <cell r="H20">
            <v>1</v>
          </cell>
          <cell r="I20">
            <v>1.4999999999999999E-2</v>
          </cell>
          <cell r="J20">
            <v>0.01</v>
          </cell>
          <cell r="K20">
            <v>0.02</v>
          </cell>
          <cell r="L20">
            <v>1.0449999999999999</v>
          </cell>
          <cell r="M20">
            <v>4.4999999999999929E-2</v>
          </cell>
        </row>
        <row r="21">
          <cell r="A21" t="str">
            <v>WWGC 2023 - Std</v>
          </cell>
          <cell r="B21" t="str">
            <v>SP</v>
          </cell>
          <cell r="C21">
            <v>2023</v>
          </cell>
          <cell r="D21" t="str">
            <v>Garray</v>
          </cell>
          <cell r="E21" t="str">
            <v>2.7.-14.7.23</v>
          </cell>
          <cell r="F21">
            <v>10</v>
          </cell>
          <cell r="G21">
            <v>16</v>
          </cell>
          <cell r="H21">
            <v>1</v>
          </cell>
          <cell r="I21">
            <v>1.4999999999999999E-2</v>
          </cell>
          <cell r="J21">
            <v>0.01</v>
          </cell>
          <cell r="K21">
            <v>0.03</v>
          </cell>
          <cell r="L21">
            <v>1.0549999999999999</v>
          </cell>
          <cell r="M21">
            <v>5.4999999999999938E-2</v>
          </cell>
        </row>
        <row r="22">
          <cell r="A22" t="str">
            <v>WWGC 2023 - 18m</v>
          </cell>
          <cell r="B22" t="str">
            <v>SP</v>
          </cell>
          <cell r="C22">
            <v>2023</v>
          </cell>
          <cell r="D22" t="str">
            <v>Garray</v>
          </cell>
          <cell r="E22" t="str">
            <v>2.7.-14.7.23</v>
          </cell>
          <cell r="F22">
            <v>10</v>
          </cell>
          <cell r="G22">
            <v>12</v>
          </cell>
          <cell r="H22">
            <v>1</v>
          </cell>
          <cell r="I22">
            <v>0.01</v>
          </cell>
          <cell r="J22" t="str">
            <v>0, 03</v>
          </cell>
          <cell r="K22">
            <v>0.03</v>
          </cell>
          <cell r="L22">
            <v>1.04</v>
          </cell>
          <cell r="M22">
            <v>4.0000000000000036E-2</v>
          </cell>
        </row>
        <row r="23">
          <cell r="A23" t="str">
            <v>Safari Cup 2023 - Klub</v>
          </cell>
          <cell r="B23" t="str">
            <v>CZ</v>
          </cell>
          <cell r="C23">
            <v>2023</v>
          </cell>
          <cell r="D23" t="str">
            <v>Dvůr Králové</v>
          </cell>
          <cell r="E23" t="str">
            <v>2.7.-15.7.23</v>
          </cell>
          <cell r="F23">
            <v>9</v>
          </cell>
          <cell r="G23">
            <v>25</v>
          </cell>
          <cell r="H23">
            <v>0.75</v>
          </cell>
          <cell r="I23">
            <v>0</v>
          </cell>
          <cell r="J23">
            <v>0</v>
          </cell>
          <cell r="K23">
            <v>2.5000000000000001E-2</v>
          </cell>
          <cell r="L23">
            <v>0.77500000000000002</v>
          </cell>
          <cell r="M23">
            <v>2.5000000000000022E-2</v>
          </cell>
        </row>
        <row r="24">
          <cell r="A24" t="str">
            <v>Safari Cup 2023 - Kombi</v>
          </cell>
          <cell r="B24" t="str">
            <v>CZ</v>
          </cell>
          <cell r="C24">
            <v>2023</v>
          </cell>
          <cell r="D24" t="str">
            <v>Dvůr Králové</v>
          </cell>
          <cell r="E24" t="str">
            <v>2.7.-15.7.23</v>
          </cell>
          <cell r="F24">
            <v>9</v>
          </cell>
          <cell r="G24">
            <v>10</v>
          </cell>
          <cell r="H24">
            <v>0.75</v>
          </cell>
          <cell r="I24">
            <v>0</v>
          </cell>
          <cell r="J24">
            <v>0</v>
          </cell>
          <cell r="K24">
            <v>2.5000000000000001E-2</v>
          </cell>
          <cell r="L24">
            <v>0.77500000000000002</v>
          </cell>
          <cell r="M24">
            <v>2.5000000000000022E-2</v>
          </cell>
        </row>
        <row r="25">
          <cell r="A25" t="str">
            <v>Toužim Cup 2023 - Klub</v>
          </cell>
          <cell r="B25" t="str">
            <v>CZ</v>
          </cell>
          <cell r="C25">
            <v>2023</v>
          </cell>
          <cell r="D25" t="str">
            <v>Toužim</v>
          </cell>
          <cell r="E25" t="str">
            <v>8.7.-16.7.23</v>
          </cell>
          <cell r="F25">
            <v>6</v>
          </cell>
          <cell r="G25">
            <v>18</v>
          </cell>
          <cell r="H25">
            <v>0.9</v>
          </cell>
          <cell r="I25">
            <v>5.0000000000000001E-3</v>
          </cell>
          <cell r="J25">
            <v>0</v>
          </cell>
          <cell r="K25">
            <v>0.01</v>
          </cell>
          <cell r="L25">
            <v>0.91500000000000004</v>
          </cell>
          <cell r="M25">
            <v>1.5000000000000013E-2</v>
          </cell>
        </row>
        <row r="26">
          <cell r="A26" t="str">
            <v>Toužim Cup 2023 - Kombi</v>
          </cell>
          <cell r="B26" t="str">
            <v>CZ</v>
          </cell>
          <cell r="C26">
            <v>2023</v>
          </cell>
          <cell r="D26" t="str">
            <v>Toužim</v>
          </cell>
          <cell r="E26" t="str">
            <v>8.7.-16.7.23</v>
          </cell>
          <cell r="F26">
            <v>6</v>
          </cell>
          <cell r="G26">
            <v>26</v>
          </cell>
          <cell r="H26">
            <v>0.9</v>
          </cell>
          <cell r="I26">
            <v>1.4999999999999999E-2</v>
          </cell>
          <cell r="J26">
            <v>0</v>
          </cell>
          <cell r="K26">
            <v>0.01</v>
          </cell>
          <cell r="L26">
            <v>0.92500000000000004</v>
          </cell>
          <cell r="M26">
            <v>2.5000000000000022E-2</v>
          </cell>
        </row>
        <row r="27">
          <cell r="A27" t="str">
            <v>PMSR 2023 - Kombi Open</v>
          </cell>
          <cell r="B27" t="str">
            <v>SK</v>
          </cell>
          <cell r="C27">
            <v>2023</v>
          </cell>
          <cell r="D27" t="str">
            <v>Prievidza</v>
          </cell>
          <cell r="E27" t="str">
            <v>9.7.-22.7.23</v>
          </cell>
          <cell r="F27">
            <v>10</v>
          </cell>
          <cell r="G27">
            <v>14</v>
          </cell>
          <cell r="H27">
            <v>0.9</v>
          </cell>
          <cell r="I27">
            <v>0.02</v>
          </cell>
          <cell r="J27">
            <v>0</v>
          </cell>
          <cell r="K27">
            <v>0.03</v>
          </cell>
          <cell r="L27">
            <v>0.95000000000000007</v>
          </cell>
          <cell r="M27">
            <v>5.0000000000000044E-2</v>
          </cell>
        </row>
        <row r="28">
          <cell r="A28" t="str">
            <v>Cirrus GP 2023 - Klub</v>
          </cell>
          <cell r="B28" t="str">
            <v>CZ</v>
          </cell>
          <cell r="C28">
            <v>2023</v>
          </cell>
          <cell r="D28" t="str">
            <v>Křižanov</v>
          </cell>
          <cell r="E28" t="str">
            <v>15.7.-22.7.23</v>
          </cell>
          <cell r="F28">
            <v>5</v>
          </cell>
          <cell r="G28">
            <v>12</v>
          </cell>
          <cell r="H28">
            <v>0.75</v>
          </cell>
          <cell r="I28">
            <v>0</v>
          </cell>
          <cell r="J28">
            <v>0</v>
          </cell>
          <cell r="K28">
            <v>5.0000000000000001E-3</v>
          </cell>
          <cell r="L28">
            <v>0.755</v>
          </cell>
          <cell r="M28">
            <v>5.0000000000000044E-3</v>
          </cell>
        </row>
        <row r="29">
          <cell r="A29" t="str">
            <v>Cirrus GP 2023 - Kombi 15m</v>
          </cell>
          <cell r="B29" t="str">
            <v>CZ</v>
          </cell>
          <cell r="C29">
            <v>2023</v>
          </cell>
          <cell r="D29" t="str">
            <v>Křižanov</v>
          </cell>
          <cell r="E29" t="str">
            <v>15.7.-22.7.23</v>
          </cell>
          <cell r="F29">
            <v>4</v>
          </cell>
          <cell r="G29">
            <v>9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A30" t="str">
            <v>PPV 2023 - Klub</v>
          </cell>
          <cell r="B30" t="str">
            <v>CZ</v>
          </cell>
          <cell r="C30">
            <v>2023</v>
          </cell>
          <cell r="D30" t="str">
            <v>Havlíčkův Brod</v>
          </cell>
          <cell r="E30" t="str">
            <v>22.7-30.7.23</v>
          </cell>
          <cell r="F30">
            <v>4</v>
          </cell>
          <cell r="G30">
            <v>42</v>
          </cell>
          <cell r="H30">
            <v>0.9</v>
          </cell>
          <cell r="I30">
            <v>0</v>
          </cell>
          <cell r="J30">
            <v>0</v>
          </cell>
          <cell r="K30">
            <v>0</v>
          </cell>
          <cell r="L30">
            <v>0.9</v>
          </cell>
          <cell r="M30">
            <v>0</v>
          </cell>
        </row>
        <row r="31">
          <cell r="A31" t="str">
            <v>PPV 2023 - Kombi</v>
          </cell>
          <cell r="B31" t="str">
            <v>CZ</v>
          </cell>
          <cell r="C31">
            <v>2023</v>
          </cell>
          <cell r="D31" t="str">
            <v>Havlíčkův Brod</v>
          </cell>
          <cell r="E31" t="str">
            <v>22.7-30.7.23</v>
          </cell>
          <cell r="F31">
            <v>4</v>
          </cell>
          <cell r="G31">
            <v>19</v>
          </cell>
          <cell r="H31">
            <v>0.9</v>
          </cell>
          <cell r="I31">
            <v>0.02</v>
          </cell>
          <cell r="J31">
            <v>0</v>
          </cell>
          <cell r="K31">
            <v>0</v>
          </cell>
          <cell r="L31">
            <v>0.92</v>
          </cell>
          <cell r="M31">
            <v>2.0000000000000018E-2</v>
          </cell>
        </row>
        <row r="32">
          <cell r="A32" t="str">
            <v>EGC 2023 - 18m</v>
          </cell>
          <cell r="B32" t="str">
            <v>PL</v>
          </cell>
          <cell r="C32">
            <v>2023</v>
          </cell>
          <cell r="D32" t="str">
            <v>Leszno</v>
          </cell>
          <cell r="E32" t="str">
            <v>26.7.-11.8.23</v>
          </cell>
          <cell r="F32">
            <v>7</v>
          </cell>
          <cell r="G32">
            <v>36</v>
          </cell>
          <cell r="H32">
            <v>1</v>
          </cell>
          <cell r="I32">
            <v>0.06</v>
          </cell>
          <cell r="J32">
            <v>0.02</v>
          </cell>
          <cell r="K32">
            <v>1.4999999999999999E-2</v>
          </cell>
          <cell r="L32">
            <v>1.095</v>
          </cell>
          <cell r="M32">
            <v>9.4999999999999973E-2</v>
          </cell>
        </row>
        <row r="33">
          <cell r="A33" t="str">
            <v>EGC 2023 - Open</v>
          </cell>
          <cell r="B33" t="str">
            <v>PL</v>
          </cell>
          <cell r="C33">
            <v>2023</v>
          </cell>
          <cell r="D33" t="str">
            <v>Leszno</v>
          </cell>
          <cell r="E33" t="str">
            <v>26.7.-11.8.23</v>
          </cell>
          <cell r="F33">
            <v>8</v>
          </cell>
          <cell r="G33">
            <v>15</v>
          </cell>
          <cell r="H33">
            <v>1</v>
          </cell>
          <cell r="I33">
            <v>0.03</v>
          </cell>
          <cell r="J33">
            <v>0.01</v>
          </cell>
          <cell r="K33">
            <v>0.02</v>
          </cell>
          <cell r="L33">
            <v>1.06</v>
          </cell>
          <cell r="M33">
            <v>6.0000000000000053E-2</v>
          </cell>
        </row>
        <row r="34">
          <cell r="A34" t="str">
            <v>EGC 2023 - Duo 20m</v>
          </cell>
          <cell r="B34" t="str">
            <v>PL</v>
          </cell>
          <cell r="C34">
            <v>2023</v>
          </cell>
          <cell r="D34" t="str">
            <v>Leszno</v>
          </cell>
          <cell r="E34" t="str">
            <v>26.7.-11.8.23</v>
          </cell>
          <cell r="F34">
            <v>8</v>
          </cell>
          <cell r="G34">
            <v>22</v>
          </cell>
          <cell r="H34">
            <v>1</v>
          </cell>
          <cell r="I34">
            <v>3.5000000000000003E-2</v>
          </cell>
          <cell r="J34">
            <v>0.03</v>
          </cell>
          <cell r="K34">
            <v>0.02</v>
          </cell>
          <cell r="L34">
            <v>1.085</v>
          </cell>
          <cell r="M34">
            <v>8.4999999999999964E-2</v>
          </cell>
        </row>
        <row r="35">
          <cell r="A35" t="str">
            <v>JEGC 2023 - Klub</v>
          </cell>
          <cell r="B35" t="str">
            <v>DK</v>
          </cell>
          <cell r="C35">
            <v>2023</v>
          </cell>
          <cell r="D35" t="str">
            <v>Arnborg</v>
          </cell>
          <cell r="E35" t="str">
            <v>29.7.-12.8.23</v>
          </cell>
          <cell r="F35">
            <v>4</v>
          </cell>
          <cell r="G35">
            <v>36</v>
          </cell>
          <cell r="H35">
            <v>1</v>
          </cell>
          <cell r="I35">
            <v>0.01</v>
          </cell>
          <cell r="J35">
            <v>0.01</v>
          </cell>
          <cell r="K35">
            <v>0</v>
          </cell>
          <cell r="L35">
            <v>1.02</v>
          </cell>
          <cell r="M35">
            <v>2.0000000000000018E-2</v>
          </cell>
        </row>
        <row r="36">
          <cell r="A36" t="str">
            <v>JEGC 2023 - Std</v>
          </cell>
          <cell r="B36" t="str">
            <v>DK</v>
          </cell>
          <cell r="C36">
            <v>2023</v>
          </cell>
          <cell r="D36" t="str">
            <v>Arnborg</v>
          </cell>
          <cell r="E36" t="str">
            <v>29.7.-12.8.23</v>
          </cell>
          <cell r="F36">
            <v>4</v>
          </cell>
          <cell r="G36">
            <v>20</v>
          </cell>
          <cell r="H36">
            <v>1</v>
          </cell>
          <cell r="I36">
            <v>0</v>
          </cell>
          <cell r="J36">
            <v>0.02</v>
          </cell>
          <cell r="K36">
            <v>0</v>
          </cell>
          <cell r="L36">
            <v>1.02</v>
          </cell>
          <cell r="M36">
            <v>2.0000000000000018E-2</v>
          </cell>
        </row>
        <row r="37">
          <cell r="A37" t="str">
            <v>PMČR 2023 - Klub</v>
          </cell>
          <cell r="B37" t="str">
            <v>CZ</v>
          </cell>
          <cell r="C37">
            <v>2023</v>
          </cell>
          <cell r="D37" t="str">
            <v>Moravská Třebová</v>
          </cell>
          <cell r="E37" t="str">
            <v>14.8.-25.8.23</v>
          </cell>
          <cell r="F37">
            <v>9</v>
          </cell>
          <cell r="G37">
            <v>16</v>
          </cell>
          <cell r="H37">
            <v>1</v>
          </cell>
          <cell r="I37">
            <v>1.4999999999999999E-2</v>
          </cell>
          <cell r="J37">
            <v>0.01</v>
          </cell>
          <cell r="K37">
            <v>2.5000000000000001E-2</v>
          </cell>
          <cell r="L37">
            <v>1.0499999999999998</v>
          </cell>
          <cell r="M37">
            <v>4.9999999999999822E-2</v>
          </cell>
        </row>
        <row r="38">
          <cell r="A38" t="str">
            <v>PMČR 2023 - Kombi 15m</v>
          </cell>
          <cell r="B38" t="str">
            <v>CZ</v>
          </cell>
          <cell r="C38">
            <v>2023</v>
          </cell>
          <cell r="D38" t="str">
            <v>Moravská Třebová</v>
          </cell>
          <cell r="E38" t="str">
            <v>14.8.-25.8.23</v>
          </cell>
          <cell r="F38">
            <v>9</v>
          </cell>
          <cell r="G38">
            <v>10</v>
          </cell>
          <cell r="H38">
            <v>1</v>
          </cell>
          <cell r="I38">
            <v>0.02</v>
          </cell>
          <cell r="J38">
            <v>0</v>
          </cell>
          <cell r="K38">
            <v>2.5000000000000001E-2</v>
          </cell>
          <cell r="L38">
            <v>1.0449999999999999</v>
          </cell>
          <cell r="M38">
            <v>4.4999999999999929E-2</v>
          </cell>
        </row>
        <row r="39">
          <cell r="A39" t="str">
            <v>PMČR 2023 - Kombi Open</v>
          </cell>
          <cell r="B39" t="str">
            <v>CZ</v>
          </cell>
          <cell r="C39">
            <v>2023</v>
          </cell>
          <cell r="D39" t="str">
            <v>Moravská Třebová</v>
          </cell>
          <cell r="E39" t="str">
            <v>14.8.-25.8.23</v>
          </cell>
          <cell r="F39">
            <v>9</v>
          </cell>
          <cell r="G39">
            <v>11</v>
          </cell>
          <cell r="H39">
            <v>1</v>
          </cell>
          <cell r="I39">
            <v>2.5000000000000001E-2</v>
          </cell>
          <cell r="J39">
            <v>0.01</v>
          </cell>
          <cell r="K39">
            <v>2.5000000000000001E-2</v>
          </cell>
          <cell r="L39">
            <v>1.0599999999999998</v>
          </cell>
          <cell r="M39">
            <v>5.9999999999999831E-2</v>
          </cell>
        </row>
        <row r="40">
          <cell r="A40" t="str">
            <v>WGC 2023 - Klub</v>
          </cell>
          <cell r="B40" t="str">
            <v>AU</v>
          </cell>
          <cell r="C40">
            <v>2023</v>
          </cell>
          <cell r="D40" t="str">
            <v>Narromine</v>
          </cell>
          <cell r="E40" t="str">
            <v>2.12.-17.12.23</v>
          </cell>
          <cell r="F40">
            <v>10</v>
          </cell>
          <cell r="G40">
            <v>30</v>
          </cell>
          <cell r="H40">
            <v>1</v>
          </cell>
          <cell r="I40">
            <v>0.05</v>
          </cell>
          <cell r="J40">
            <v>0.03</v>
          </cell>
          <cell r="K40">
            <v>0.03</v>
          </cell>
          <cell r="L40">
            <v>1.1100000000000001</v>
          </cell>
          <cell r="M40">
            <v>0.1100000000000001</v>
          </cell>
        </row>
        <row r="41">
          <cell r="A41" t="str">
            <v>WGC 2023 - Std</v>
          </cell>
          <cell r="B41" t="str">
            <v>AU</v>
          </cell>
          <cell r="C41">
            <v>2023</v>
          </cell>
          <cell r="D41" t="str">
            <v>Narromine</v>
          </cell>
          <cell r="E41" t="str">
            <v>2.12.-17.12.23</v>
          </cell>
          <cell r="F41">
            <v>10</v>
          </cell>
          <cell r="G41">
            <v>21</v>
          </cell>
          <cell r="H41">
            <v>1</v>
          </cell>
          <cell r="I41">
            <v>4.4999999999999998E-2</v>
          </cell>
          <cell r="J41">
            <v>0.03</v>
          </cell>
          <cell r="K41">
            <v>0.03</v>
          </cell>
          <cell r="L41">
            <v>1.105</v>
          </cell>
          <cell r="M41">
            <v>0.10499999999999998</v>
          </cell>
        </row>
        <row r="42">
          <cell r="A42" t="str">
            <v>WGC 2023 - 15m</v>
          </cell>
          <cell r="B42" t="str">
            <v>AU</v>
          </cell>
          <cell r="C42">
            <v>2023</v>
          </cell>
          <cell r="D42" t="str">
            <v>Narromine</v>
          </cell>
          <cell r="E42" t="str">
            <v>2.12.-17.12.23</v>
          </cell>
          <cell r="F42">
            <v>10</v>
          </cell>
          <cell r="G42">
            <v>27</v>
          </cell>
          <cell r="H42">
            <v>1</v>
          </cell>
          <cell r="I42">
            <v>6.5000000000000002E-2</v>
          </cell>
          <cell r="J42">
            <v>0.03</v>
          </cell>
          <cell r="K42">
            <v>0.03</v>
          </cell>
          <cell r="L42">
            <v>1.125</v>
          </cell>
          <cell r="M42">
            <v>0.125</v>
          </cell>
        </row>
        <row r="43">
          <cell r="A43" t="str">
            <v>Zařazené soutěže 2024:</v>
          </cell>
        </row>
        <row r="44">
          <cell r="A44" t="str">
            <v>Podbrdský pohár 2024 - Kombi</v>
          </cell>
          <cell r="B44" t="str">
            <v>CZ</v>
          </cell>
          <cell r="C44">
            <v>2024</v>
          </cell>
          <cell r="D44" t="str">
            <v>Letkov</v>
          </cell>
          <cell r="E44" t="str">
            <v>27.4.-4.5.24</v>
          </cell>
          <cell r="F44">
            <v>3</v>
          </cell>
          <cell r="G44">
            <v>10</v>
          </cell>
          <cell r="H44">
            <v>0.75</v>
          </cell>
          <cell r="I44">
            <v>0</v>
          </cell>
          <cell r="J44">
            <v>0</v>
          </cell>
          <cell r="K44">
            <v>-0.02</v>
          </cell>
          <cell r="L44">
            <v>0.73</v>
          </cell>
          <cell r="M44">
            <v>-2.0000000000000018E-2</v>
          </cell>
        </row>
        <row r="45">
          <cell r="A45" t="str">
            <v>JPJ 2024 - Klub</v>
          </cell>
          <cell r="B45" t="str">
            <v>CZ</v>
          </cell>
          <cell r="C45">
            <v>2024</v>
          </cell>
          <cell r="D45" t="str">
            <v>Šumperk</v>
          </cell>
          <cell r="E45" t="str">
            <v>4.5.-11.5.24</v>
          </cell>
          <cell r="F45">
            <v>4</v>
          </cell>
          <cell r="G45">
            <v>32</v>
          </cell>
          <cell r="H45">
            <v>0.9</v>
          </cell>
          <cell r="I45">
            <v>0</v>
          </cell>
          <cell r="J45">
            <v>0</v>
          </cell>
          <cell r="K45">
            <v>0</v>
          </cell>
          <cell r="L45">
            <v>0.9</v>
          </cell>
          <cell r="M45">
            <v>0</v>
          </cell>
        </row>
        <row r="46">
          <cell r="A46" t="str">
            <v>JPJ 2024 - Kombi</v>
          </cell>
          <cell r="B46" t="str">
            <v>CZ</v>
          </cell>
          <cell r="C46">
            <v>2024</v>
          </cell>
          <cell r="D46" t="str">
            <v>Šumperk</v>
          </cell>
          <cell r="E46" t="str">
            <v>4.5.-11.5.24</v>
          </cell>
          <cell r="F46">
            <v>5</v>
          </cell>
          <cell r="G46">
            <v>24</v>
          </cell>
          <cell r="H46">
            <v>0.9</v>
          </cell>
          <cell r="I46">
            <v>0.01</v>
          </cell>
          <cell r="J46">
            <v>0.01</v>
          </cell>
          <cell r="K46">
            <v>5.0000000000000001E-3</v>
          </cell>
          <cell r="L46">
            <v>0.92500000000000004</v>
          </cell>
          <cell r="M46">
            <v>2.5000000000000022E-2</v>
          </cell>
        </row>
        <row r="47">
          <cell r="A47" t="str">
            <v>AZ Cup 2024 - Klub</v>
          </cell>
          <cell r="B47" t="str">
            <v>CZ</v>
          </cell>
          <cell r="C47">
            <v>2024</v>
          </cell>
          <cell r="D47" t="str">
            <v>Zbraslavice</v>
          </cell>
          <cell r="E47" t="str">
            <v>24.5.-1.6.24</v>
          </cell>
          <cell r="F47">
            <v>3</v>
          </cell>
          <cell r="G47">
            <v>28</v>
          </cell>
          <cell r="H47">
            <v>0.9</v>
          </cell>
          <cell r="I47">
            <v>0.02</v>
          </cell>
          <cell r="J47">
            <v>0.02</v>
          </cell>
          <cell r="K47">
            <v>-0.02</v>
          </cell>
          <cell r="L47">
            <v>0.92</v>
          </cell>
          <cell r="M47">
            <v>2.0000000000000018E-2</v>
          </cell>
        </row>
        <row r="48">
          <cell r="A48" t="str">
            <v>AZ Cup 2024 - Kombi 15m</v>
          </cell>
          <cell r="B48" t="str">
            <v>CZ</v>
          </cell>
          <cell r="C48">
            <v>2024</v>
          </cell>
          <cell r="D48" t="str">
            <v>Zbraslavice</v>
          </cell>
          <cell r="E48" t="str">
            <v>24.5.-1.6.24</v>
          </cell>
          <cell r="F48">
            <v>3</v>
          </cell>
          <cell r="G48">
            <v>15</v>
          </cell>
          <cell r="H48">
            <v>0.9</v>
          </cell>
          <cell r="I48">
            <v>1.4999999999999999E-2</v>
          </cell>
          <cell r="J48">
            <v>0.03</v>
          </cell>
          <cell r="K48">
            <v>-0.02</v>
          </cell>
          <cell r="L48">
            <v>0.92500000000000004</v>
          </cell>
          <cell r="M48">
            <v>2.5000000000000022E-2</v>
          </cell>
        </row>
        <row r="49">
          <cell r="A49" t="str">
            <v>AZ Cup 2024 - Kombi Open</v>
          </cell>
          <cell r="B49" t="str">
            <v>CZ</v>
          </cell>
          <cell r="C49">
            <v>2024</v>
          </cell>
          <cell r="D49" t="str">
            <v>Zbraslavice</v>
          </cell>
          <cell r="E49" t="str">
            <v>24.5.-1.6.24</v>
          </cell>
          <cell r="F49">
            <v>2</v>
          </cell>
          <cell r="G49">
            <v>39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</row>
        <row r="50">
          <cell r="A50" t="str">
            <v>PMČR 2024 - Klub</v>
          </cell>
          <cell r="B50" t="str">
            <v>CZ</v>
          </cell>
          <cell r="C50">
            <v>2024</v>
          </cell>
          <cell r="D50" t="str">
            <v>Toužim</v>
          </cell>
          <cell r="E50" t="str">
            <v>8.6.-21.6.24</v>
          </cell>
          <cell r="F50">
            <v>6</v>
          </cell>
          <cell r="G50">
            <v>27</v>
          </cell>
          <cell r="H50">
            <v>1</v>
          </cell>
          <cell r="I50">
            <v>0.03</v>
          </cell>
          <cell r="J50">
            <v>0.02</v>
          </cell>
          <cell r="K50">
            <v>0.01</v>
          </cell>
          <cell r="L50">
            <v>1.06</v>
          </cell>
          <cell r="M50">
            <v>6.0000000000000053E-2</v>
          </cell>
        </row>
        <row r="51">
          <cell r="A51" t="str">
            <v>PMČR 2024 - Kombi 15m</v>
          </cell>
          <cell r="B51" t="str">
            <v>CZ</v>
          </cell>
          <cell r="C51">
            <v>2024</v>
          </cell>
          <cell r="D51" t="str">
            <v>Toužim</v>
          </cell>
          <cell r="E51" t="str">
            <v>8.6.-21.6.24</v>
          </cell>
          <cell r="F51">
            <v>6</v>
          </cell>
          <cell r="G51">
            <v>11</v>
          </cell>
          <cell r="H51">
            <v>1</v>
          </cell>
          <cell r="I51">
            <v>2.5000000000000001E-2</v>
          </cell>
          <cell r="J51">
            <v>0.01</v>
          </cell>
          <cell r="K51">
            <v>0.01</v>
          </cell>
          <cell r="L51">
            <v>1.0449999999999999</v>
          </cell>
          <cell r="M51">
            <v>4.4999999999999929E-2</v>
          </cell>
        </row>
        <row r="52">
          <cell r="A52" t="str">
            <v>PMČR 2024 - Kombi Open</v>
          </cell>
          <cell r="B52" t="str">
            <v>CZ</v>
          </cell>
          <cell r="C52">
            <v>2024</v>
          </cell>
          <cell r="D52" t="str">
            <v>Toužim</v>
          </cell>
          <cell r="E52" t="str">
            <v>8.6.-21.6.24</v>
          </cell>
          <cell r="F52">
            <v>6</v>
          </cell>
          <cell r="G52">
            <v>21</v>
          </cell>
          <cell r="H52">
            <v>1</v>
          </cell>
          <cell r="I52">
            <v>0.05</v>
          </cell>
          <cell r="J52">
            <v>0.03</v>
          </cell>
          <cell r="K52">
            <v>0.01</v>
          </cell>
          <cell r="L52">
            <v>1.0900000000000001</v>
          </cell>
          <cell r="M52">
            <v>9.000000000000008E-2</v>
          </cell>
        </row>
        <row r="53">
          <cell r="A53" t="str">
            <v>PMRg 2024 - Klub</v>
          </cell>
          <cell r="B53" t="str">
            <v>CZ</v>
          </cell>
          <cell r="C53">
            <v>2024</v>
          </cell>
          <cell r="D53" t="str">
            <v>Hodkovice</v>
          </cell>
          <cell r="E53" t="str">
            <v>27.6.-6.7.24</v>
          </cell>
          <cell r="F53">
            <v>3</v>
          </cell>
          <cell r="G53">
            <v>23</v>
          </cell>
          <cell r="H53">
            <v>0.9</v>
          </cell>
          <cell r="I53">
            <v>0</v>
          </cell>
          <cell r="J53">
            <v>0</v>
          </cell>
          <cell r="K53">
            <v>-0.02</v>
          </cell>
          <cell r="L53">
            <v>0.88</v>
          </cell>
          <cell r="M53">
            <v>-2.0000000000000018E-2</v>
          </cell>
        </row>
        <row r="54">
          <cell r="A54" t="str">
            <v>PMRg 2024 - Kombi</v>
          </cell>
          <cell r="B54" t="str">
            <v>CZ</v>
          </cell>
          <cell r="C54">
            <v>2024</v>
          </cell>
          <cell r="D54" t="str">
            <v>Hodkovice</v>
          </cell>
          <cell r="E54" t="str">
            <v>27.6.-6.7.24</v>
          </cell>
          <cell r="F54">
            <v>3</v>
          </cell>
          <cell r="G54">
            <v>10</v>
          </cell>
          <cell r="H54">
            <v>0.9</v>
          </cell>
          <cell r="I54">
            <v>0.02</v>
          </cell>
          <cell r="J54">
            <v>0</v>
          </cell>
          <cell r="K54">
            <v>-0.02</v>
          </cell>
          <cell r="L54">
            <v>0.9</v>
          </cell>
          <cell r="M54">
            <v>0</v>
          </cell>
        </row>
        <row r="55">
          <cell r="A55" t="str">
            <v>PMČRj 2024 - Klub</v>
          </cell>
          <cell r="B55" t="str">
            <v>CZ</v>
          </cell>
          <cell r="C55">
            <v>2024</v>
          </cell>
          <cell r="D55" t="str">
            <v>Hodkovice</v>
          </cell>
          <cell r="E55" t="str">
            <v>27.6.-6.7.24</v>
          </cell>
          <cell r="F55">
            <v>3</v>
          </cell>
          <cell r="G55">
            <v>34</v>
          </cell>
          <cell r="H55">
            <v>0.9</v>
          </cell>
          <cell r="I55">
            <v>0.01</v>
          </cell>
          <cell r="J55">
            <v>0.02</v>
          </cell>
          <cell r="K55">
            <v>-0.02</v>
          </cell>
          <cell r="L55">
            <v>0.91</v>
          </cell>
          <cell r="M55">
            <v>1.0000000000000009E-2</v>
          </cell>
        </row>
        <row r="56">
          <cell r="A56" t="str">
            <v>FL 2024 - Klub</v>
          </cell>
          <cell r="B56" t="str">
            <v>CZ</v>
          </cell>
          <cell r="C56">
            <v>2024</v>
          </cell>
          <cell r="D56" t="str">
            <v>Frýdlant n/Ostr.</v>
          </cell>
          <cell r="E56" t="str">
            <v>28.6.-6.7.24</v>
          </cell>
          <cell r="F56">
            <v>5</v>
          </cell>
          <cell r="G56">
            <v>16</v>
          </cell>
          <cell r="H56">
            <v>0.75</v>
          </cell>
          <cell r="I56">
            <v>0</v>
          </cell>
          <cell r="J56">
            <v>0</v>
          </cell>
          <cell r="K56">
            <v>5.0000000000000001E-3</v>
          </cell>
          <cell r="L56">
            <v>0.755</v>
          </cell>
          <cell r="M56">
            <v>5.0000000000000044E-3</v>
          </cell>
        </row>
        <row r="57">
          <cell r="A57" t="str">
            <v>FL 2024 - Kombi</v>
          </cell>
          <cell r="B57" t="str">
            <v>CZ</v>
          </cell>
          <cell r="C57">
            <v>2024</v>
          </cell>
          <cell r="D57" t="str">
            <v>Frýdlant n/Ostr.</v>
          </cell>
          <cell r="E57" t="str">
            <v>28.6.-6.7.24</v>
          </cell>
          <cell r="F57">
            <v>3</v>
          </cell>
          <cell r="G57">
            <v>7</v>
          </cell>
          <cell r="H57">
            <v>0</v>
          </cell>
          <cell r="I57">
            <v>0.01</v>
          </cell>
          <cell r="J57">
            <v>0</v>
          </cell>
          <cell r="K57">
            <v>-0.02</v>
          </cell>
          <cell r="L57">
            <v>0</v>
          </cell>
          <cell r="M57">
            <v>0</v>
          </cell>
        </row>
        <row r="58">
          <cell r="A58" t="str">
            <v>Safari Cup 2024 - Klub</v>
          </cell>
          <cell r="B58" t="str">
            <v>CZ</v>
          </cell>
          <cell r="C58">
            <v>2024</v>
          </cell>
          <cell r="D58" t="str">
            <v>Dvůr Králové</v>
          </cell>
          <cell r="E58" t="str">
            <v>4.7.-14.7.24</v>
          </cell>
          <cell r="F58">
            <v>3</v>
          </cell>
          <cell r="G58">
            <v>27</v>
          </cell>
          <cell r="H58">
            <v>0.75</v>
          </cell>
          <cell r="I58">
            <v>0</v>
          </cell>
          <cell r="J58">
            <v>0</v>
          </cell>
          <cell r="K58">
            <v>-0.02</v>
          </cell>
          <cell r="L58">
            <v>0.73</v>
          </cell>
          <cell r="M58">
            <v>-2.0000000000000018E-2</v>
          </cell>
        </row>
        <row r="59">
          <cell r="A59" t="str">
            <v>Safari Cup 2024 - Kombi</v>
          </cell>
          <cell r="B59" t="str">
            <v>CZ</v>
          </cell>
          <cell r="C59">
            <v>2024</v>
          </cell>
          <cell r="D59" t="str">
            <v>Dvůr Králové</v>
          </cell>
          <cell r="E59" t="str">
            <v>4.7.-14.7.24</v>
          </cell>
          <cell r="F59">
            <v>4</v>
          </cell>
          <cell r="G59">
            <v>10</v>
          </cell>
          <cell r="H59">
            <v>0.75</v>
          </cell>
          <cell r="I59">
            <v>0</v>
          </cell>
          <cell r="J59">
            <v>0</v>
          </cell>
          <cell r="K59">
            <v>0</v>
          </cell>
          <cell r="L59">
            <v>0.75</v>
          </cell>
          <cell r="M59">
            <v>0</v>
          </cell>
        </row>
        <row r="60">
          <cell r="A60" t="str">
            <v>Toužim Cup 2024 - Klub</v>
          </cell>
          <cell r="B60" t="str">
            <v>CZ</v>
          </cell>
          <cell r="C60">
            <v>2024</v>
          </cell>
          <cell r="D60" t="str">
            <v>Toužim</v>
          </cell>
          <cell r="E60" t="str">
            <v>5.7.-13.7.24</v>
          </cell>
          <cell r="F60">
            <v>4</v>
          </cell>
          <cell r="G60">
            <v>23</v>
          </cell>
          <cell r="H60">
            <v>0.9</v>
          </cell>
          <cell r="I60">
            <v>0.01</v>
          </cell>
          <cell r="J60">
            <v>0</v>
          </cell>
          <cell r="K60">
            <v>0</v>
          </cell>
          <cell r="L60">
            <v>0.91</v>
          </cell>
          <cell r="M60">
            <v>1.0000000000000009E-2</v>
          </cell>
        </row>
        <row r="61">
          <cell r="A61" t="str">
            <v>Toužim Cup 2024 - Kombi</v>
          </cell>
          <cell r="B61" t="str">
            <v>CZ</v>
          </cell>
          <cell r="C61">
            <v>2024</v>
          </cell>
          <cell r="D61" t="str">
            <v>Toužim</v>
          </cell>
          <cell r="E61" t="str">
            <v>5.7.-13.7.24</v>
          </cell>
          <cell r="F61">
            <v>4</v>
          </cell>
          <cell r="G61">
            <v>32</v>
          </cell>
          <cell r="H61">
            <v>0.9</v>
          </cell>
          <cell r="I61">
            <v>1.4999999999999999E-2</v>
          </cell>
          <cell r="J61">
            <v>0</v>
          </cell>
          <cell r="K61">
            <v>0</v>
          </cell>
          <cell r="L61">
            <v>0.91500000000000004</v>
          </cell>
          <cell r="M61">
            <v>1.5000000000000013E-2</v>
          </cell>
        </row>
        <row r="62">
          <cell r="A62" t="str">
            <v>PPV 2024 - Klub</v>
          </cell>
          <cell r="B62" t="str">
            <v>CZ</v>
          </cell>
          <cell r="C62">
            <v>2024</v>
          </cell>
          <cell r="D62" t="str">
            <v>Havlíčkův Brod</v>
          </cell>
          <cell r="E62" t="str">
            <v>20.7.-27.7.24</v>
          </cell>
          <cell r="F62">
            <v>6</v>
          </cell>
          <cell r="G62">
            <v>30</v>
          </cell>
          <cell r="H62">
            <v>0.9</v>
          </cell>
          <cell r="I62">
            <v>0.05</v>
          </cell>
          <cell r="J62">
            <v>0</v>
          </cell>
          <cell r="K62">
            <v>0.01</v>
          </cell>
          <cell r="L62">
            <v>0.96000000000000008</v>
          </cell>
          <cell r="M62">
            <v>6.0000000000000053E-2</v>
          </cell>
        </row>
        <row r="63">
          <cell r="A63" t="str">
            <v>PPV 2024 - Kombi</v>
          </cell>
          <cell r="B63" t="str">
            <v>CZ</v>
          </cell>
          <cell r="C63">
            <v>2024</v>
          </cell>
          <cell r="D63" t="str">
            <v>Havlíčkův Brod</v>
          </cell>
          <cell r="E63" t="str">
            <v>20.7.-27.7.24</v>
          </cell>
          <cell r="F63">
            <v>6</v>
          </cell>
          <cell r="G63">
            <v>31</v>
          </cell>
          <cell r="H63">
            <v>0.9</v>
          </cell>
          <cell r="I63">
            <v>1.4999999999999999E-2</v>
          </cell>
          <cell r="J63">
            <v>0</v>
          </cell>
          <cell r="K63">
            <v>0.01</v>
          </cell>
          <cell r="L63">
            <v>0.92500000000000004</v>
          </cell>
          <cell r="M63">
            <v>2.5000000000000022E-2</v>
          </cell>
        </row>
        <row r="64">
          <cell r="A64" t="str">
            <v>Pohár Českého Ráje 2024 - Klub</v>
          </cell>
          <cell r="B64" t="str">
            <v>CZ</v>
          </cell>
          <cell r="C64">
            <v>2024</v>
          </cell>
          <cell r="D64" t="str">
            <v>Jičín</v>
          </cell>
          <cell r="E64" t="str">
            <v>26.7.-3.8.24</v>
          </cell>
          <cell r="F64">
            <v>3</v>
          </cell>
          <cell r="G64">
            <v>14</v>
          </cell>
          <cell r="H64">
            <v>0.75</v>
          </cell>
          <cell r="I64">
            <v>0</v>
          </cell>
          <cell r="J64">
            <v>0</v>
          </cell>
          <cell r="K64">
            <v>-0.02</v>
          </cell>
          <cell r="L64">
            <v>0.73</v>
          </cell>
          <cell r="M64">
            <v>-2.0000000000000018E-2</v>
          </cell>
        </row>
        <row r="65">
          <cell r="A65" t="str">
            <v>Ranský pohár 2024 - Klub</v>
          </cell>
          <cell r="B65" t="str">
            <v>CZ</v>
          </cell>
          <cell r="C65">
            <v>2024</v>
          </cell>
          <cell r="D65" t="str">
            <v>Raná</v>
          </cell>
          <cell r="E65" t="str">
            <v>27.7.-3.8.24</v>
          </cell>
          <cell r="F65">
            <v>7</v>
          </cell>
          <cell r="G65">
            <v>22</v>
          </cell>
          <cell r="H65">
            <v>0.75</v>
          </cell>
          <cell r="I65">
            <v>0</v>
          </cell>
          <cell r="J65">
            <v>0</v>
          </cell>
          <cell r="K65">
            <v>1.4999999999999999E-2</v>
          </cell>
          <cell r="L65">
            <v>0.76500000000000001</v>
          </cell>
          <cell r="M65">
            <v>1.5000000000000013E-2</v>
          </cell>
        </row>
        <row r="66">
          <cell r="A66" t="str">
            <v>Rakovnická Dlaždice 2024 - Kombi</v>
          </cell>
          <cell r="B66" t="str">
            <v>CZ</v>
          </cell>
          <cell r="C66">
            <v>2024</v>
          </cell>
          <cell r="D66" t="str">
            <v>Rakovník</v>
          </cell>
          <cell r="E66" t="str">
            <v>3.8.-10.8.24</v>
          </cell>
          <cell r="F66">
            <v>5</v>
          </cell>
          <cell r="G66">
            <v>20</v>
          </cell>
          <cell r="H66">
            <v>0.75</v>
          </cell>
          <cell r="I66">
            <v>0</v>
          </cell>
          <cell r="J66">
            <v>0</v>
          </cell>
          <cell r="K66">
            <v>5.0000000000000001E-3</v>
          </cell>
          <cell r="L66">
            <v>0.755</v>
          </cell>
          <cell r="M66">
            <v>5.0000000000000044E-3</v>
          </cell>
        </row>
        <row r="67">
          <cell r="A67" t="str">
            <v>EGC 2024 - Klub</v>
          </cell>
          <cell r="B67" t="str">
            <v>CZ</v>
          </cell>
          <cell r="C67">
            <v>2024</v>
          </cell>
          <cell r="D67" t="str">
            <v>Tábor</v>
          </cell>
          <cell r="E67" t="str">
            <v>3.8.-17.8.24</v>
          </cell>
          <cell r="F67">
            <v>11</v>
          </cell>
          <cell r="G67">
            <v>40</v>
          </cell>
          <cell r="H67">
            <v>1</v>
          </cell>
          <cell r="I67">
            <v>0.05</v>
          </cell>
          <cell r="J67">
            <v>0.02</v>
          </cell>
          <cell r="K67">
            <v>0.03</v>
          </cell>
          <cell r="L67">
            <v>1.1000000000000001</v>
          </cell>
          <cell r="M67">
            <v>0.10000000000000009</v>
          </cell>
        </row>
        <row r="68">
          <cell r="A68" t="str">
            <v>EGC 2024 - Std</v>
          </cell>
          <cell r="B68" t="str">
            <v>CZ</v>
          </cell>
          <cell r="C68">
            <v>2024</v>
          </cell>
          <cell r="D68" t="str">
            <v>Tábor</v>
          </cell>
          <cell r="E68" t="str">
            <v>3.8.-17.8.24</v>
          </cell>
          <cell r="F68">
            <v>11</v>
          </cell>
          <cell r="G68">
            <v>33</v>
          </cell>
          <cell r="H68">
            <v>1</v>
          </cell>
          <cell r="I68">
            <v>6.5000000000000002E-2</v>
          </cell>
          <cell r="J68">
            <v>0.03</v>
          </cell>
          <cell r="K68">
            <v>0.03</v>
          </cell>
          <cell r="L68">
            <v>1.125</v>
          </cell>
          <cell r="M68">
            <v>0.125</v>
          </cell>
        </row>
        <row r="69">
          <cell r="A69" t="str">
            <v>EGC 2024 - 15m</v>
          </cell>
          <cell r="B69" t="str">
            <v>CZ</v>
          </cell>
          <cell r="C69">
            <v>2024</v>
          </cell>
          <cell r="D69" t="str">
            <v>Tábor</v>
          </cell>
          <cell r="E69" t="str">
            <v>3.8.-17.8.24</v>
          </cell>
          <cell r="F69">
            <v>11</v>
          </cell>
          <cell r="G69">
            <v>27</v>
          </cell>
          <cell r="H69">
            <v>1</v>
          </cell>
          <cell r="I69">
            <v>0.03</v>
          </cell>
          <cell r="J69">
            <v>0.03</v>
          </cell>
          <cell r="K69">
            <v>0.03</v>
          </cell>
          <cell r="L69">
            <v>1.0900000000000001</v>
          </cell>
          <cell r="M69">
            <v>9.000000000000008E-2</v>
          </cell>
        </row>
        <row r="70">
          <cell r="A70" t="str">
            <v>GGP MB 2024 - Klub GP</v>
          </cell>
          <cell r="B70" t="str">
            <v>CZ</v>
          </cell>
          <cell r="C70">
            <v>2024</v>
          </cell>
          <cell r="D70" t="str">
            <v>Mladá Boleslav</v>
          </cell>
          <cell r="E70" t="str">
            <v>24.8.-31.8.24</v>
          </cell>
          <cell r="F70">
            <v>3</v>
          </cell>
          <cell r="G70">
            <v>12</v>
          </cell>
          <cell r="H70">
            <v>0.9</v>
          </cell>
          <cell r="I70">
            <v>0</v>
          </cell>
          <cell r="J70">
            <v>0</v>
          </cell>
          <cell r="K70">
            <v>-0.02</v>
          </cell>
          <cell r="L70">
            <v>0.88</v>
          </cell>
          <cell r="M70">
            <v>-2.0000000000000018E-2</v>
          </cell>
        </row>
        <row r="71">
          <cell r="A71" t="str">
            <v>GGP MB 2024 - Pohár MV - Kombi</v>
          </cell>
          <cell r="B71" t="str">
            <v>CZ</v>
          </cell>
          <cell r="C71">
            <v>2024</v>
          </cell>
          <cell r="D71" t="str">
            <v>Mladá Boleslav</v>
          </cell>
          <cell r="E71" t="str">
            <v>24.8.-31.8.24</v>
          </cell>
          <cell r="F71">
            <v>3</v>
          </cell>
          <cell r="G71">
            <v>13</v>
          </cell>
          <cell r="H71">
            <v>0.75</v>
          </cell>
          <cell r="I71">
            <v>1.4999999999999999E-2</v>
          </cell>
          <cell r="J71">
            <v>0</v>
          </cell>
          <cell r="K71">
            <v>-0.02</v>
          </cell>
          <cell r="L71">
            <v>0.745</v>
          </cell>
          <cell r="M71">
            <v>-5.0000000000000044E-3</v>
          </cell>
        </row>
        <row r="72">
          <cell r="A72" t="str">
            <v>JWGC 2024 - Klub</v>
          </cell>
          <cell r="B72" t="str">
            <v>PL</v>
          </cell>
          <cell r="C72">
            <v>2024</v>
          </cell>
          <cell r="D72" t="str">
            <v>Ostrow Wielkopolski</v>
          </cell>
          <cell r="E72" t="str">
            <v>14.7.-26.7.24</v>
          </cell>
          <cell r="F72">
            <v>11</v>
          </cell>
          <cell r="G72">
            <v>44</v>
          </cell>
          <cell r="H72">
            <v>1</v>
          </cell>
          <cell r="I72">
            <v>0.01</v>
          </cell>
          <cell r="J72">
            <v>0.03</v>
          </cell>
          <cell r="K72">
            <v>0.03</v>
          </cell>
          <cell r="L72">
            <v>1.07</v>
          </cell>
          <cell r="M72">
            <v>7.0000000000000062E-2</v>
          </cell>
        </row>
        <row r="73">
          <cell r="A73" t="str">
            <v>JWGC 2024 - Std</v>
          </cell>
          <cell r="B73" t="str">
            <v>PL</v>
          </cell>
          <cell r="C73">
            <v>2024</v>
          </cell>
          <cell r="D73" t="str">
            <v>Ostrow Wielkopolski</v>
          </cell>
          <cell r="E73" t="str">
            <v>14.7.-26.7.24</v>
          </cell>
          <cell r="F73">
            <v>11</v>
          </cell>
          <cell r="G73">
            <v>23</v>
          </cell>
          <cell r="H73">
            <v>1</v>
          </cell>
          <cell r="I73">
            <v>0.03</v>
          </cell>
          <cell r="J73">
            <v>0.03</v>
          </cell>
          <cell r="K73">
            <v>0.03</v>
          </cell>
          <cell r="L73">
            <v>1.0900000000000001</v>
          </cell>
          <cell r="M73">
            <v>9.000000000000008E-2</v>
          </cell>
        </row>
        <row r="74">
          <cell r="A74" t="str">
            <v>Pribina Cup 2024 - Klub</v>
          </cell>
          <cell r="B74" t="str">
            <v>SK</v>
          </cell>
          <cell r="C74">
            <v>2024</v>
          </cell>
          <cell r="D74" t="str">
            <v>Nitra</v>
          </cell>
          <cell r="E74" t="str">
            <v>29.3.-6.4.24</v>
          </cell>
          <cell r="F74">
            <v>6</v>
          </cell>
          <cell r="G74">
            <v>11</v>
          </cell>
          <cell r="H74">
            <v>0.9</v>
          </cell>
          <cell r="I74">
            <v>5.0000000000000001E-3</v>
          </cell>
          <cell r="J74">
            <v>0</v>
          </cell>
          <cell r="K74">
            <v>0.01</v>
          </cell>
          <cell r="L74">
            <v>0.91500000000000004</v>
          </cell>
          <cell r="M74">
            <v>1.5000000000000013E-2</v>
          </cell>
        </row>
        <row r="75">
          <cell r="A75" t="str">
            <v>Pribina Cup 2024 - Kombi Open</v>
          </cell>
          <cell r="B75" t="str">
            <v>SK</v>
          </cell>
          <cell r="C75">
            <v>2024</v>
          </cell>
          <cell r="D75" t="str">
            <v>Nitra</v>
          </cell>
          <cell r="E75" t="str">
            <v>29.3.-6.4.24</v>
          </cell>
          <cell r="F75">
            <v>6</v>
          </cell>
          <cell r="G75">
            <v>21</v>
          </cell>
          <cell r="H75">
            <v>0.9</v>
          </cell>
          <cell r="I75">
            <v>0.03</v>
          </cell>
          <cell r="J75">
            <v>0.01</v>
          </cell>
          <cell r="K75">
            <v>0.01</v>
          </cell>
          <cell r="L75">
            <v>0.95000000000000007</v>
          </cell>
          <cell r="M75">
            <v>5.0000000000000044E-2</v>
          </cell>
        </row>
        <row r="76">
          <cell r="A76" t="str">
            <v>Fatraglide 2024 - Klub</v>
          </cell>
          <cell r="B76" t="str">
            <v>SK</v>
          </cell>
          <cell r="C76">
            <v>2024</v>
          </cell>
          <cell r="D76" t="str">
            <v>Martin</v>
          </cell>
          <cell r="E76" t="str">
            <v>28.4.-7.5.24</v>
          </cell>
          <cell r="F76">
            <v>7</v>
          </cell>
          <cell r="G76">
            <v>29</v>
          </cell>
          <cell r="H76">
            <v>0.75</v>
          </cell>
          <cell r="I76">
            <v>0</v>
          </cell>
          <cell r="J76">
            <v>0</v>
          </cell>
          <cell r="K76">
            <v>1.4999999999999999E-2</v>
          </cell>
          <cell r="L76">
            <v>0.76500000000000001</v>
          </cell>
          <cell r="M76">
            <v>1.5000000000000013E-2</v>
          </cell>
        </row>
        <row r="77">
          <cell r="A77" t="str">
            <v>Fatraglide 2024 - Kombi</v>
          </cell>
          <cell r="B77" t="str">
            <v>SK</v>
          </cell>
          <cell r="C77">
            <v>2024</v>
          </cell>
          <cell r="D77" t="str">
            <v>Martin</v>
          </cell>
          <cell r="E77" t="str">
            <v>28.4.-7.5.24</v>
          </cell>
          <cell r="F77">
            <v>7</v>
          </cell>
          <cell r="G77">
            <v>28</v>
          </cell>
          <cell r="H77">
            <v>0.75</v>
          </cell>
          <cell r="I77">
            <v>0</v>
          </cell>
          <cell r="J77">
            <v>0</v>
          </cell>
          <cell r="K77">
            <v>1.4999999999999999E-2</v>
          </cell>
          <cell r="L77">
            <v>0.76500000000000001</v>
          </cell>
          <cell r="M77">
            <v>1.5000000000000013E-2</v>
          </cell>
        </row>
        <row r="78">
          <cell r="A78" t="str">
            <v>PMSR 2024 - Kombi</v>
          </cell>
          <cell r="B78" t="str">
            <v>SK</v>
          </cell>
          <cell r="C78">
            <v>2024</v>
          </cell>
          <cell r="D78" t="str">
            <v>Prievidza</v>
          </cell>
          <cell r="E78" t="str">
            <v>23.6.-6.7.24</v>
          </cell>
          <cell r="F78">
            <v>8</v>
          </cell>
          <cell r="G78">
            <v>20</v>
          </cell>
          <cell r="H78">
            <v>0.9</v>
          </cell>
          <cell r="I78">
            <v>5.0000000000000001E-3</v>
          </cell>
          <cell r="J78">
            <v>0.01</v>
          </cell>
          <cell r="K78">
            <v>0.02</v>
          </cell>
          <cell r="L78">
            <v>0.93500000000000005</v>
          </cell>
          <cell r="M78">
            <v>3.5000000000000031E-2</v>
          </cell>
        </row>
        <row r="79">
          <cell r="A79" t="str">
            <v>Lilienthal Glide 2024 - Duo 20m</v>
          </cell>
          <cell r="B79" t="str">
            <v>DE</v>
          </cell>
          <cell r="C79">
            <v>2024</v>
          </cell>
          <cell r="D79" t="str">
            <v>Lüsse</v>
          </cell>
          <cell r="E79" t="str">
            <v>3.8.-11.8.24</v>
          </cell>
          <cell r="F79">
            <v>5</v>
          </cell>
          <cell r="G79">
            <v>28</v>
          </cell>
          <cell r="H79">
            <v>0.75</v>
          </cell>
          <cell r="I79">
            <v>5.0000000000000001E-3</v>
          </cell>
          <cell r="J79">
            <v>0</v>
          </cell>
          <cell r="K79">
            <v>5.0000000000000001E-3</v>
          </cell>
          <cell r="L79">
            <v>0.76</v>
          </cell>
          <cell r="M79">
            <v>1.0000000000000009E-2</v>
          </cell>
        </row>
        <row r="80">
          <cell r="A80" t="str">
            <v>Hahnweide 2024 - Duo 20m</v>
          </cell>
          <cell r="B80" t="str">
            <v>DE</v>
          </cell>
          <cell r="C80">
            <v>2024</v>
          </cell>
          <cell r="D80" t="str">
            <v>Hahnweide</v>
          </cell>
          <cell r="E80" t="str">
            <v>4.5.-11.5.24</v>
          </cell>
          <cell r="F80">
            <v>4</v>
          </cell>
          <cell r="G80">
            <v>20</v>
          </cell>
          <cell r="H80">
            <v>0.9</v>
          </cell>
          <cell r="I80">
            <v>0.03</v>
          </cell>
          <cell r="J80">
            <v>0</v>
          </cell>
          <cell r="K80">
            <v>0</v>
          </cell>
          <cell r="L80">
            <v>0.93</v>
          </cell>
          <cell r="M80">
            <v>3.0000000000000027E-2</v>
          </cell>
        </row>
        <row r="81">
          <cell r="A81" t="str">
            <v>WGC 2024 - 18m</v>
          </cell>
          <cell r="B81" t="str">
            <v>US</v>
          </cell>
          <cell r="C81">
            <v>2024</v>
          </cell>
          <cell r="D81" t="str">
            <v>Uvalde</v>
          </cell>
          <cell r="E81" t="str">
            <v>18.8.-31.8.24</v>
          </cell>
          <cell r="F81">
            <v>11</v>
          </cell>
          <cell r="G81">
            <v>32</v>
          </cell>
          <cell r="H81">
            <v>1</v>
          </cell>
          <cell r="I81">
            <v>7.4999999999999997E-2</v>
          </cell>
          <cell r="J81">
            <v>0.03</v>
          </cell>
          <cell r="K81">
            <v>0.03</v>
          </cell>
          <cell r="L81">
            <v>1.135</v>
          </cell>
          <cell r="M81">
            <v>0.13500000000000001</v>
          </cell>
        </row>
        <row r="82">
          <cell r="A82" t="str">
            <v>WGC 2024 - Duo 20m</v>
          </cell>
          <cell r="B82" t="str">
            <v>US</v>
          </cell>
          <cell r="C82">
            <v>2024</v>
          </cell>
          <cell r="D82" t="str">
            <v>Uvalde</v>
          </cell>
          <cell r="E82" t="str">
            <v>18.8.-31.8.24</v>
          </cell>
          <cell r="F82">
            <v>11</v>
          </cell>
          <cell r="G82">
            <v>16</v>
          </cell>
          <cell r="H82">
            <v>1</v>
          </cell>
          <cell r="I82">
            <v>0.02</v>
          </cell>
          <cell r="J82">
            <v>3.5000000000000003E-2</v>
          </cell>
          <cell r="K82">
            <v>0.03</v>
          </cell>
          <cell r="L82">
            <v>1.085</v>
          </cell>
          <cell r="M82">
            <v>8.4999999999999964E-2</v>
          </cell>
        </row>
        <row r="83">
          <cell r="A83" t="str">
            <v>WGC 2024 - Open</v>
          </cell>
          <cell r="B83" t="str">
            <v>US</v>
          </cell>
          <cell r="C83">
            <v>2024</v>
          </cell>
          <cell r="D83" t="str">
            <v>Uvalde</v>
          </cell>
          <cell r="E83" t="str">
            <v>18.8.-31.8.24</v>
          </cell>
          <cell r="F83">
            <v>12</v>
          </cell>
          <cell r="G83">
            <v>17</v>
          </cell>
          <cell r="H83">
            <v>1</v>
          </cell>
          <cell r="I83">
            <v>0.03</v>
          </cell>
          <cell r="J83">
            <v>0.03</v>
          </cell>
          <cell r="K83">
            <v>0.03</v>
          </cell>
          <cell r="L83">
            <v>1.0900000000000001</v>
          </cell>
          <cell r="M83">
            <v>9.000000000000008E-2</v>
          </cell>
        </row>
        <row r="84">
          <cell r="A84" t="str">
            <v>Zařazené soutěže 2025:</v>
          </cell>
        </row>
        <row r="85">
          <cell r="A85" t="str">
            <v>AZ Cup 2025 - Klub</v>
          </cell>
          <cell r="B85" t="str">
            <v>CZ</v>
          </cell>
          <cell r="C85">
            <v>2025</v>
          </cell>
          <cell r="D85" t="str">
            <v>Zbraslavice</v>
          </cell>
          <cell r="E85" t="str">
            <v>17.4.-26.4.25</v>
          </cell>
          <cell r="F85">
            <v>4</v>
          </cell>
          <cell r="G85">
            <v>27</v>
          </cell>
          <cell r="H85">
            <v>0.9</v>
          </cell>
          <cell r="I85">
            <v>0.02</v>
          </cell>
          <cell r="J85">
            <v>0.01</v>
          </cell>
          <cell r="K85">
            <v>0</v>
          </cell>
          <cell r="L85">
            <v>0.93</v>
          </cell>
          <cell r="M85">
            <v>3.0000000000000027E-2</v>
          </cell>
        </row>
        <row r="86">
          <cell r="A86" t="str">
            <v>AZ Cup 2025 - Kombi 15m</v>
          </cell>
          <cell r="B86" t="str">
            <v>CZ</v>
          </cell>
          <cell r="C86">
            <v>2025</v>
          </cell>
          <cell r="D86" t="str">
            <v>Zbraslavice</v>
          </cell>
          <cell r="E86" t="str">
            <v>17.4.-26.4.25</v>
          </cell>
          <cell r="F86">
            <v>5</v>
          </cell>
          <cell r="G86">
            <v>16</v>
          </cell>
          <cell r="H86">
            <v>0.9</v>
          </cell>
          <cell r="I86">
            <v>3.5000000000000003E-2</v>
          </cell>
          <cell r="J86">
            <v>0.02</v>
          </cell>
          <cell r="K86">
            <v>5.0000000000000001E-3</v>
          </cell>
          <cell r="L86">
            <v>0.96000000000000008</v>
          </cell>
          <cell r="M86">
            <v>6.0000000000000053E-2</v>
          </cell>
        </row>
        <row r="87">
          <cell r="A87" t="str">
            <v>AZ Cup 2025 - Kombi Open</v>
          </cell>
          <cell r="B87" t="str">
            <v>CZ</v>
          </cell>
          <cell r="C87">
            <v>2025</v>
          </cell>
          <cell r="D87" t="str">
            <v>Zbraslavice</v>
          </cell>
          <cell r="E87" t="str">
            <v>17.4.-26.4.25</v>
          </cell>
          <cell r="F87">
            <v>4</v>
          </cell>
          <cell r="G87">
            <v>21</v>
          </cell>
          <cell r="H87">
            <v>0.9</v>
          </cell>
          <cell r="I87">
            <v>0.03</v>
          </cell>
          <cell r="J87">
            <v>0.01</v>
          </cell>
          <cell r="K87">
            <v>0</v>
          </cell>
          <cell r="L87">
            <v>0.94000000000000006</v>
          </cell>
          <cell r="M87">
            <v>4.0000000000000036E-2</v>
          </cell>
        </row>
        <row r="88">
          <cell r="A88" t="str">
            <v>Podbrdský pohár 2025 - Klub</v>
          </cell>
          <cell r="B88" t="str">
            <v>CZ</v>
          </cell>
          <cell r="C88">
            <v>2025</v>
          </cell>
          <cell r="D88" t="str">
            <v>Letkov</v>
          </cell>
          <cell r="E88" t="str">
            <v>26.4.-3.5.25</v>
          </cell>
          <cell r="F88">
            <v>5</v>
          </cell>
          <cell r="G88">
            <v>13</v>
          </cell>
          <cell r="H88">
            <v>0.75</v>
          </cell>
          <cell r="I88">
            <v>0</v>
          </cell>
          <cell r="J88">
            <v>0</v>
          </cell>
          <cell r="K88">
            <v>5.0000000000000001E-3</v>
          </cell>
          <cell r="L88">
            <v>0.755</v>
          </cell>
          <cell r="M88">
            <v>5.0000000000000044E-3</v>
          </cell>
        </row>
        <row r="89">
          <cell r="A89" t="str">
            <v>Podbrdský pohár 2025 - Kombi</v>
          </cell>
          <cell r="B89" t="str">
            <v>CZ</v>
          </cell>
          <cell r="C89">
            <v>2025</v>
          </cell>
          <cell r="D89" t="str">
            <v>Letkov</v>
          </cell>
          <cell r="E89" t="str">
            <v>26.4.-3.5.25</v>
          </cell>
          <cell r="F89">
            <v>6</v>
          </cell>
          <cell r="G89">
            <v>15</v>
          </cell>
          <cell r="H89">
            <v>0.75</v>
          </cell>
          <cell r="I89" t="str">
            <v>0.00</v>
          </cell>
          <cell r="J89">
            <v>0</v>
          </cell>
          <cell r="K89">
            <v>0.01</v>
          </cell>
          <cell r="L89">
            <v>0.76</v>
          </cell>
          <cell r="M89">
            <v>1.0000000000000009E-2</v>
          </cell>
        </row>
        <row r="90">
          <cell r="A90" t="str">
            <v>JPJ 2025 - Klub</v>
          </cell>
          <cell r="B90" t="str">
            <v>CZ</v>
          </cell>
          <cell r="C90">
            <v>2025</v>
          </cell>
          <cell r="D90" t="str">
            <v>Šumperk</v>
          </cell>
          <cell r="E90" t="str">
            <v>1.5.-10.5.25</v>
          </cell>
          <cell r="F90">
            <v>6</v>
          </cell>
          <cell r="G90">
            <v>31</v>
          </cell>
          <cell r="H90">
            <v>0.9</v>
          </cell>
          <cell r="I90">
            <v>0</v>
          </cell>
          <cell r="J90">
            <v>0</v>
          </cell>
          <cell r="K90">
            <v>0.01</v>
          </cell>
          <cell r="L90">
            <v>0.91</v>
          </cell>
          <cell r="M90">
            <v>1.0000000000000009E-2</v>
          </cell>
        </row>
        <row r="91">
          <cell r="A91" t="str">
            <v>JPJ 2025 - Kombi 15m</v>
          </cell>
          <cell r="B91" t="str">
            <v>CZ</v>
          </cell>
          <cell r="C91">
            <v>2025</v>
          </cell>
          <cell r="D91" t="str">
            <v>Šumperk</v>
          </cell>
          <cell r="E91" t="str">
            <v>1.5.-10.5.25</v>
          </cell>
          <cell r="F91">
            <v>6</v>
          </cell>
          <cell r="G91">
            <v>11</v>
          </cell>
          <cell r="H91">
            <v>0.9</v>
          </cell>
          <cell r="I91">
            <v>0</v>
          </cell>
          <cell r="J91">
            <v>0.01</v>
          </cell>
          <cell r="K91">
            <v>0.01</v>
          </cell>
          <cell r="L91">
            <v>0.92</v>
          </cell>
          <cell r="M91">
            <v>2.0000000000000018E-2</v>
          </cell>
        </row>
        <row r="92">
          <cell r="A92" t="str">
            <v>JPJ 2025 - Kombi Open</v>
          </cell>
          <cell r="B92" t="str">
            <v>CZ</v>
          </cell>
          <cell r="C92">
            <v>2025</v>
          </cell>
          <cell r="D92" t="str">
            <v>Šumperk</v>
          </cell>
          <cell r="E92" t="str">
            <v>1.5.-10.5.25</v>
          </cell>
          <cell r="F92">
            <v>6</v>
          </cell>
          <cell r="G92">
            <v>18</v>
          </cell>
          <cell r="H92">
            <v>0.9</v>
          </cell>
          <cell r="I92">
            <v>0</v>
          </cell>
          <cell r="J92">
            <v>0</v>
          </cell>
          <cell r="K92">
            <v>0.01</v>
          </cell>
          <cell r="L92">
            <v>0.91</v>
          </cell>
          <cell r="M92">
            <v>1.0000000000000009E-2</v>
          </cell>
        </row>
        <row r="93">
          <cell r="A93" t="str">
            <v>Ulf Memorial 2025 - Klub</v>
          </cell>
          <cell r="B93" t="str">
            <v>CZ</v>
          </cell>
          <cell r="C93">
            <v>2025</v>
          </cell>
          <cell r="D93" t="str">
            <v>Raná</v>
          </cell>
          <cell r="E93" t="str">
            <v>25.5.-31.5.25</v>
          </cell>
          <cell r="F93">
            <v>4</v>
          </cell>
          <cell r="G93">
            <v>11</v>
          </cell>
          <cell r="H93">
            <v>0.75</v>
          </cell>
          <cell r="I93">
            <v>0</v>
          </cell>
          <cell r="J93">
            <v>0</v>
          </cell>
          <cell r="K93">
            <v>0</v>
          </cell>
          <cell r="L93">
            <v>0.75</v>
          </cell>
          <cell r="M93">
            <v>0</v>
          </cell>
        </row>
        <row r="94">
          <cell r="A94" t="str">
            <v>PMČR 2025 - Klub</v>
          </cell>
          <cell r="B94" t="str">
            <v>CZ</v>
          </cell>
          <cell r="C94">
            <v>2025</v>
          </cell>
          <cell r="D94" t="str">
            <v>Havlíčkův Brod</v>
          </cell>
          <cell r="E94" t="str">
            <v>22.5.-31.5.25</v>
          </cell>
          <cell r="F94">
            <v>5</v>
          </cell>
          <cell r="G94">
            <v>23</v>
          </cell>
          <cell r="H94">
            <v>1</v>
          </cell>
          <cell r="I94">
            <v>0.02</v>
          </cell>
          <cell r="J94">
            <v>0.01</v>
          </cell>
          <cell r="K94">
            <v>5.0000000000000001E-3</v>
          </cell>
          <cell r="L94">
            <v>1.0349999999999999</v>
          </cell>
          <cell r="M94">
            <v>3.499999999999992E-2</v>
          </cell>
        </row>
        <row r="95">
          <cell r="A95" t="str">
            <v>PMČR 2025 - Kombi 15m</v>
          </cell>
          <cell r="B95" t="str">
            <v>CZ</v>
          </cell>
          <cell r="C95">
            <v>2025</v>
          </cell>
          <cell r="D95" t="str">
            <v>Havlíčkův Brod</v>
          </cell>
          <cell r="E95" t="str">
            <v>22.5.-31.5.25</v>
          </cell>
          <cell r="F95">
            <v>6</v>
          </cell>
          <cell r="G95">
            <v>19</v>
          </cell>
          <cell r="H95">
            <v>1</v>
          </cell>
          <cell r="I95">
            <v>1.4999999999999999E-2</v>
          </cell>
          <cell r="J95">
            <v>0.03</v>
          </cell>
          <cell r="K95">
            <v>0.01</v>
          </cell>
          <cell r="L95">
            <v>1.0549999999999999</v>
          </cell>
          <cell r="M95">
            <v>5.4999999999999938E-2</v>
          </cell>
        </row>
        <row r="96">
          <cell r="A96" t="str">
            <v>PMČR 2025 - Kombi Open</v>
          </cell>
          <cell r="B96" t="str">
            <v>CZ</v>
          </cell>
          <cell r="C96">
            <v>2025</v>
          </cell>
          <cell r="D96" t="str">
            <v>Havlíčkův Brod</v>
          </cell>
          <cell r="E96" t="str">
            <v>22.5.-31.5.25</v>
          </cell>
          <cell r="F96">
            <v>5</v>
          </cell>
          <cell r="G96">
            <v>27</v>
          </cell>
          <cell r="H96">
            <v>1</v>
          </cell>
          <cell r="I96">
            <v>0.05</v>
          </cell>
          <cell r="J96">
            <v>0</v>
          </cell>
          <cell r="K96">
            <v>5.0000000000000001E-3</v>
          </cell>
          <cell r="L96">
            <v>1.0549999999999999</v>
          </cell>
          <cell r="M96">
            <v>5.4999999999999938E-2</v>
          </cell>
        </row>
        <row r="97">
          <cell r="A97" t="str">
            <v>FL 2025 - Klub</v>
          </cell>
          <cell r="B97" t="str">
            <v>CZ</v>
          </cell>
          <cell r="C97">
            <v>2025</v>
          </cell>
          <cell r="D97" t="str">
            <v>Frýdlant n/Ostr.</v>
          </cell>
          <cell r="E97" t="str">
            <v>14.6.-21.6.25</v>
          </cell>
          <cell r="F97">
            <v>7</v>
          </cell>
          <cell r="G97">
            <v>17</v>
          </cell>
          <cell r="H97">
            <v>0.9</v>
          </cell>
          <cell r="I97">
            <v>0</v>
          </cell>
          <cell r="J97">
            <v>0</v>
          </cell>
          <cell r="K97">
            <v>1.4999999999999999E-2</v>
          </cell>
          <cell r="L97">
            <v>0.91500000000000004</v>
          </cell>
          <cell r="M97">
            <v>1.5000000000000013E-2</v>
          </cell>
        </row>
        <row r="98">
          <cell r="A98" t="str">
            <v>FL 2025 - Kombi</v>
          </cell>
          <cell r="B98" t="str">
            <v>CZ</v>
          </cell>
          <cell r="C98">
            <v>2025</v>
          </cell>
          <cell r="D98" t="str">
            <v>Frýdlant n/Ostr.</v>
          </cell>
          <cell r="E98" t="str">
            <v>14.6.-21.6.25</v>
          </cell>
          <cell r="F98">
            <v>7</v>
          </cell>
          <cell r="G98">
            <v>14</v>
          </cell>
          <cell r="H98">
            <v>0.75</v>
          </cell>
          <cell r="I98">
            <v>0</v>
          </cell>
          <cell r="J98">
            <v>0</v>
          </cell>
          <cell r="K98">
            <v>1.4999999999999999E-2</v>
          </cell>
          <cell r="L98">
            <v>0.76500000000000001</v>
          </cell>
          <cell r="M98">
            <v>1.5000000000000013E-2</v>
          </cell>
        </row>
        <row r="99">
          <cell r="A99" t="str">
            <v>WGC 2025 - Klub</v>
          </cell>
          <cell r="B99" t="str">
            <v>CZ</v>
          </cell>
          <cell r="C99">
            <v>2025</v>
          </cell>
          <cell r="D99" t="str">
            <v>Tábor</v>
          </cell>
          <cell r="E99" t="str">
            <v>7.6.-21.6.25</v>
          </cell>
          <cell r="F99">
            <v>9</v>
          </cell>
          <cell r="G99">
            <v>42</v>
          </cell>
          <cell r="H99">
            <v>1</v>
          </cell>
          <cell r="I99">
            <v>6.5000000000000002E-2</v>
          </cell>
          <cell r="J99">
            <v>0.03</v>
          </cell>
          <cell r="K99">
            <v>2.5000000000000001E-2</v>
          </cell>
          <cell r="L99">
            <v>1.1199999999999999</v>
          </cell>
          <cell r="M99">
            <v>0.11999999999999988</v>
          </cell>
        </row>
        <row r="100">
          <cell r="A100" t="str">
            <v>WGC 2025 - Std</v>
          </cell>
          <cell r="B100" t="str">
            <v>CZ</v>
          </cell>
          <cell r="C100">
            <v>2025</v>
          </cell>
          <cell r="D100" t="str">
            <v>Tábor</v>
          </cell>
          <cell r="E100" t="str">
            <v>7.6.-21.6.25</v>
          </cell>
          <cell r="F100">
            <v>9</v>
          </cell>
          <cell r="G100">
            <v>38</v>
          </cell>
          <cell r="H100">
            <v>1</v>
          </cell>
          <cell r="I100">
            <v>6.5000000000000002E-2</v>
          </cell>
          <cell r="J100">
            <v>0.03</v>
          </cell>
          <cell r="K100">
            <v>2.5000000000000001E-2</v>
          </cell>
          <cell r="L100">
            <v>1.1199999999999999</v>
          </cell>
          <cell r="M100">
            <v>0.11999999999999988</v>
          </cell>
        </row>
        <row r="101">
          <cell r="A101" t="str">
            <v>WGC 2025 - 15m</v>
          </cell>
          <cell r="B101" t="str">
            <v>CZ</v>
          </cell>
          <cell r="C101">
            <v>2025</v>
          </cell>
          <cell r="D101" t="str">
            <v>Tábor</v>
          </cell>
          <cell r="E101" t="str">
            <v>7.6.-21.6.25</v>
          </cell>
          <cell r="F101">
            <v>9</v>
          </cell>
          <cell r="G101">
            <v>35</v>
          </cell>
          <cell r="H101">
            <v>1</v>
          </cell>
          <cell r="I101">
            <v>7.0000000000000007E-2</v>
          </cell>
          <cell r="J101">
            <v>0.03</v>
          </cell>
          <cell r="K101">
            <v>2.5000000000000001E-2</v>
          </cell>
          <cell r="L101">
            <v>1.125</v>
          </cell>
          <cell r="M101">
            <v>0.125</v>
          </cell>
        </row>
        <row r="102">
          <cell r="A102" t="str">
            <v>Safari Cup 2025 - Klub</v>
          </cell>
          <cell r="B102" t="str">
            <v>CZ</v>
          </cell>
          <cell r="C102">
            <v>2025</v>
          </cell>
          <cell r="D102" t="str">
            <v>Dvůr Králové</v>
          </cell>
          <cell r="E102" t="str">
            <v>28.6.-12.7.25</v>
          </cell>
          <cell r="F102">
            <v>3</v>
          </cell>
          <cell r="G102">
            <v>29</v>
          </cell>
          <cell r="H102">
            <v>0.75</v>
          </cell>
          <cell r="I102" t="str">
            <v>0.00</v>
          </cell>
          <cell r="J102">
            <v>0</v>
          </cell>
          <cell r="K102">
            <v>-0.02</v>
          </cell>
          <cell r="L102">
            <v>0.73</v>
          </cell>
          <cell r="M102">
            <v>-2.0000000000000018E-2</v>
          </cell>
        </row>
        <row r="103">
          <cell r="A103" t="str">
            <v>Safari Cup 2025 - Kombi</v>
          </cell>
          <cell r="B103" t="str">
            <v>CZ</v>
          </cell>
          <cell r="C103">
            <v>2025</v>
          </cell>
          <cell r="D103" t="str">
            <v>Dvůr Králové</v>
          </cell>
          <cell r="E103" t="str">
            <v>28.6.-12.7.25</v>
          </cell>
          <cell r="F103">
            <v>5</v>
          </cell>
          <cell r="G103">
            <v>10</v>
          </cell>
          <cell r="H103">
            <v>0.75</v>
          </cell>
          <cell r="I103">
            <v>0</v>
          </cell>
          <cell r="J103">
            <v>0</v>
          </cell>
          <cell r="K103">
            <v>5.0000000000000001E-3</v>
          </cell>
          <cell r="L103">
            <v>0.755</v>
          </cell>
          <cell r="M103">
            <v>5.0000000000000044E-3</v>
          </cell>
        </row>
        <row r="104">
          <cell r="A104" t="str">
            <v>Toužim Cup 2025 - Klub</v>
          </cell>
          <cell r="B104" t="str">
            <v>CZ</v>
          </cell>
          <cell r="C104">
            <v>2025</v>
          </cell>
          <cell r="D104" t="str">
            <v>Toužim</v>
          </cell>
          <cell r="E104" t="str">
            <v>12.7.-20.7.25</v>
          </cell>
          <cell r="F104">
            <v>3</v>
          </cell>
          <cell r="G104">
            <v>26</v>
          </cell>
          <cell r="H104">
            <v>0.9</v>
          </cell>
          <cell r="I104">
            <v>0</v>
          </cell>
          <cell r="J104">
            <v>0</v>
          </cell>
          <cell r="K104">
            <v>-0.02</v>
          </cell>
          <cell r="L104">
            <v>0.88</v>
          </cell>
          <cell r="M104">
            <v>-2.0000000000000018E-2</v>
          </cell>
        </row>
        <row r="105">
          <cell r="A105" t="str">
            <v>Toužim Cup 2025 - Kombi</v>
          </cell>
          <cell r="B105" t="str">
            <v>CZ</v>
          </cell>
          <cell r="C105">
            <v>2025</v>
          </cell>
          <cell r="D105" t="str">
            <v>Toužim</v>
          </cell>
          <cell r="E105" t="str">
            <v>12.7.-20.7.25</v>
          </cell>
          <cell r="F105">
            <v>4</v>
          </cell>
          <cell r="G105">
            <v>34</v>
          </cell>
          <cell r="H105">
            <v>0.9</v>
          </cell>
          <cell r="I105">
            <v>0.02</v>
          </cell>
          <cell r="J105">
            <v>0</v>
          </cell>
          <cell r="K105">
            <v>0</v>
          </cell>
          <cell r="L105">
            <v>0.92</v>
          </cell>
          <cell r="M105">
            <v>2.0000000000000018E-2</v>
          </cell>
        </row>
        <row r="106">
          <cell r="A106" t="str">
            <v>PPV 2025 - Klub</v>
          </cell>
          <cell r="B106" t="str">
            <v>CZ</v>
          </cell>
          <cell r="C106">
            <v>2025</v>
          </cell>
          <cell r="D106" t="str">
            <v>Havlíčkův Brod</v>
          </cell>
          <cell r="E106" t="str">
            <v>19.7.-26.7.25</v>
          </cell>
          <cell r="F106">
            <v>4</v>
          </cell>
          <cell r="G106">
            <v>31</v>
          </cell>
          <cell r="H106">
            <v>0.9</v>
          </cell>
          <cell r="I106">
            <v>0</v>
          </cell>
          <cell r="J106">
            <v>0</v>
          </cell>
          <cell r="K106">
            <v>0</v>
          </cell>
          <cell r="L106">
            <v>0.9</v>
          </cell>
          <cell r="M106">
            <v>0</v>
          </cell>
        </row>
        <row r="107">
          <cell r="A107" t="str">
            <v>PPV 2025 - Kombi</v>
          </cell>
          <cell r="B107" t="str">
            <v>CZ</v>
          </cell>
          <cell r="C107">
            <v>2025</v>
          </cell>
          <cell r="D107" t="str">
            <v>Havlíčkův Brod</v>
          </cell>
          <cell r="E107" t="str">
            <v>19.7.-26.7.25</v>
          </cell>
          <cell r="F107">
            <v>5</v>
          </cell>
          <cell r="G107">
            <v>28</v>
          </cell>
          <cell r="H107">
            <v>0.9</v>
          </cell>
          <cell r="I107">
            <v>0.01</v>
          </cell>
          <cell r="J107">
            <v>0</v>
          </cell>
          <cell r="K107">
            <v>5.0000000000000001E-3</v>
          </cell>
          <cell r="L107">
            <v>0.91500000000000004</v>
          </cell>
          <cell r="M107">
            <v>1.5000000000000013E-2</v>
          </cell>
        </row>
        <row r="108">
          <cell r="A108" t="str">
            <v>Rakovnická Dlaždice 2025 - Klub</v>
          </cell>
          <cell r="B108" t="str">
            <v>CZ</v>
          </cell>
          <cell r="C108">
            <v>2025</v>
          </cell>
          <cell r="D108" t="str">
            <v>Rakovník</v>
          </cell>
          <cell r="E108" t="str">
            <v>19.7.-27.7.25</v>
          </cell>
          <cell r="F108">
            <v>3</v>
          </cell>
          <cell r="G108">
            <v>9</v>
          </cell>
          <cell r="H108">
            <v>0</v>
          </cell>
          <cell r="I108">
            <v>0</v>
          </cell>
          <cell r="J108">
            <v>0</v>
          </cell>
          <cell r="K108">
            <v>-0.02</v>
          </cell>
          <cell r="L108">
            <v>0</v>
          </cell>
          <cell r="M108">
            <v>0</v>
          </cell>
        </row>
        <row r="109">
          <cell r="A109" t="str">
            <v>Ranský pohár 2025 - Klub</v>
          </cell>
          <cell r="B109" t="str">
            <v>CZ</v>
          </cell>
          <cell r="C109">
            <v>2025</v>
          </cell>
          <cell r="D109" t="str">
            <v>Raná</v>
          </cell>
          <cell r="E109" t="str">
            <v>26.7.-3.8.25</v>
          </cell>
          <cell r="F109">
            <v>4</v>
          </cell>
          <cell r="G109">
            <v>17</v>
          </cell>
          <cell r="H109">
            <v>0.75</v>
          </cell>
          <cell r="I109">
            <v>0</v>
          </cell>
          <cell r="J109">
            <v>0</v>
          </cell>
          <cell r="K109">
            <v>0</v>
          </cell>
          <cell r="L109">
            <v>0.75</v>
          </cell>
          <cell r="M109">
            <v>0</v>
          </cell>
        </row>
        <row r="110">
          <cell r="A110" t="str">
            <v>PMRg 2025 - Klub</v>
          </cell>
          <cell r="B110" t="str">
            <v>CZ</v>
          </cell>
          <cell r="C110">
            <v>2025</v>
          </cell>
          <cell r="D110" t="str">
            <v>Strakonice</v>
          </cell>
          <cell r="E110" t="str">
            <v>27.7.-8.8.25</v>
          </cell>
          <cell r="F110">
            <v>4</v>
          </cell>
          <cell r="G110">
            <v>10</v>
          </cell>
          <cell r="H110">
            <v>0.9</v>
          </cell>
          <cell r="I110">
            <v>0</v>
          </cell>
          <cell r="J110">
            <v>0</v>
          </cell>
          <cell r="K110">
            <v>0</v>
          </cell>
          <cell r="L110">
            <v>0.9</v>
          </cell>
          <cell r="M110">
            <v>0</v>
          </cell>
        </row>
        <row r="111">
          <cell r="A111" t="str">
            <v>PMRg 2025 - Kombi</v>
          </cell>
          <cell r="B111" t="str">
            <v>CZ</v>
          </cell>
          <cell r="C111">
            <v>2025</v>
          </cell>
          <cell r="D111" t="str">
            <v>Strakonice</v>
          </cell>
          <cell r="E111" t="str">
            <v>27.7.-8.8.25</v>
          </cell>
          <cell r="F111">
            <v>4</v>
          </cell>
          <cell r="G111">
            <v>10</v>
          </cell>
          <cell r="H111">
            <v>0.9</v>
          </cell>
          <cell r="I111">
            <v>5.0000000000000001E-3</v>
          </cell>
          <cell r="J111">
            <v>0.01</v>
          </cell>
          <cell r="K111">
            <v>0</v>
          </cell>
          <cell r="L111">
            <v>0.91500000000000004</v>
          </cell>
          <cell r="M111">
            <v>1.5000000000000013E-2</v>
          </cell>
        </row>
        <row r="112">
          <cell r="A112" t="str">
            <v>PMČRj 2025 - Klub</v>
          </cell>
          <cell r="B112" t="str">
            <v>CZ</v>
          </cell>
          <cell r="C112">
            <v>2025</v>
          </cell>
          <cell r="D112" t="str">
            <v>Strakonice</v>
          </cell>
          <cell r="E112" t="str">
            <v>27.7.-8.8.25</v>
          </cell>
          <cell r="F112">
            <v>4</v>
          </cell>
          <cell r="G112">
            <v>27</v>
          </cell>
          <cell r="H112">
            <v>0.9</v>
          </cell>
          <cell r="I112">
            <v>0.01</v>
          </cell>
          <cell r="J112">
            <v>0</v>
          </cell>
          <cell r="K112">
            <v>0</v>
          </cell>
          <cell r="L112">
            <v>0.91</v>
          </cell>
          <cell r="M112">
            <v>1.0000000000000009E-2</v>
          </cell>
        </row>
        <row r="113">
          <cell r="A113" t="str">
            <v>Pohár Českého Ráje 2025 - Kombi</v>
          </cell>
          <cell r="B113" t="str">
            <v>CZ</v>
          </cell>
          <cell r="C113">
            <v>2025</v>
          </cell>
          <cell r="D113" t="str">
            <v>Jičín</v>
          </cell>
          <cell r="E113" t="str">
            <v>1.8.-9.8.25</v>
          </cell>
          <cell r="F113">
            <v>2</v>
          </cell>
          <cell r="G113">
            <v>17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 t="str">
            <v>Cirrus GP 2025 - Klub</v>
          </cell>
          <cell r="B114" t="str">
            <v>CZ</v>
          </cell>
          <cell r="C114">
            <v>2025</v>
          </cell>
          <cell r="D114" t="str">
            <v>Hodkovice</v>
          </cell>
          <cell r="E114" t="str">
            <v>2.8.-9.8.25</v>
          </cell>
          <cell r="F114">
            <v>6</v>
          </cell>
          <cell r="G114">
            <v>7</v>
          </cell>
          <cell r="H114">
            <v>0</v>
          </cell>
          <cell r="I114">
            <v>0</v>
          </cell>
          <cell r="J114">
            <v>0</v>
          </cell>
          <cell r="K114">
            <v>0.01</v>
          </cell>
          <cell r="L114">
            <v>0</v>
          </cell>
          <cell r="M114">
            <v>0</v>
          </cell>
        </row>
        <row r="115">
          <cell r="A115" t="str">
            <v>Cirrus GP 2025 - Kombi 15m</v>
          </cell>
          <cell r="B115" t="str">
            <v>CZ</v>
          </cell>
          <cell r="C115">
            <v>2025</v>
          </cell>
          <cell r="D115" t="str">
            <v>Hodkovice</v>
          </cell>
          <cell r="E115" t="str">
            <v>2.8.-9.8.25</v>
          </cell>
          <cell r="F115">
            <v>5</v>
          </cell>
          <cell r="G115">
            <v>7</v>
          </cell>
          <cell r="H115">
            <v>0</v>
          </cell>
          <cell r="I115">
            <v>0</v>
          </cell>
          <cell r="J115">
            <v>0</v>
          </cell>
          <cell r="K115">
            <v>5.0000000000000001E-3</v>
          </cell>
          <cell r="L115">
            <v>0</v>
          </cell>
          <cell r="M115">
            <v>0</v>
          </cell>
        </row>
        <row r="116">
          <cell r="A116" t="str">
            <v>WWGC 2025 - Klub</v>
          </cell>
          <cell r="B116" t="str">
            <v>CZ</v>
          </cell>
          <cell r="C116">
            <v>2025</v>
          </cell>
          <cell r="D116" t="str">
            <v>Zbraslavice</v>
          </cell>
          <cell r="E116" t="str">
            <v>26.7.-9.8.25</v>
          </cell>
          <cell r="F116">
            <v>6</v>
          </cell>
          <cell r="G116">
            <v>25</v>
          </cell>
          <cell r="H116">
            <v>1</v>
          </cell>
          <cell r="I116">
            <v>0.01</v>
          </cell>
          <cell r="J116">
            <v>0.01</v>
          </cell>
          <cell r="K116">
            <v>0.01</v>
          </cell>
          <cell r="L116">
            <v>1.03</v>
          </cell>
          <cell r="M116">
            <v>3.0000000000000027E-2</v>
          </cell>
        </row>
        <row r="117">
          <cell r="A117" t="str">
            <v>WWGC 2025 - Std</v>
          </cell>
          <cell r="B117" t="str">
            <v>CZ</v>
          </cell>
          <cell r="C117">
            <v>2025</v>
          </cell>
          <cell r="D117" t="str">
            <v>Zbraslavice</v>
          </cell>
          <cell r="E117" t="str">
            <v>26.7.-9.8.25</v>
          </cell>
          <cell r="F117">
            <v>7</v>
          </cell>
          <cell r="G117">
            <v>14</v>
          </cell>
          <cell r="H117">
            <v>1</v>
          </cell>
          <cell r="I117">
            <v>5.0000000000000001E-3</v>
          </cell>
          <cell r="J117">
            <v>0.03</v>
          </cell>
          <cell r="K117">
            <v>1.4999999999999999E-2</v>
          </cell>
          <cell r="L117">
            <v>1.0499999999999998</v>
          </cell>
          <cell r="M117">
            <v>4.9999999999999822E-2</v>
          </cell>
        </row>
        <row r="118">
          <cell r="A118" t="str">
            <v>WWGC 2025 - 18m</v>
          </cell>
          <cell r="B118" t="str">
            <v>CZ</v>
          </cell>
          <cell r="C118">
            <v>2025</v>
          </cell>
          <cell r="D118" t="str">
            <v>Zbraslavice</v>
          </cell>
          <cell r="E118" t="str">
            <v>26.7.-9.8.25</v>
          </cell>
          <cell r="F118">
            <v>7</v>
          </cell>
          <cell r="G118">
            <v>11</v>
          </cell>
          <cell r="H118">
            <v>1</v>
          </cell>
          <cell r="I118">
            <v>5.0000000000000001E-3</v>
          </cell>
          <cell r="J118">
            <v>0.03</v>
          </cell>
          <cell r="K118">
            <v>1.4999999999999999E-2</v>
          </cell>
          <cell r="L118">
            <v>1.0499999999999998</v>
          </cell>
          <cell r="M118">
            <v>4.9999999999999822E-2</v>
          </cell>
        </row>
        <row r="119">
          <cell r="A119" t="str">
            <v>HOP 2025 - Klub</v>
          </cell>
          <cell r="B119" t="str">
            <v>CZ</v>
          </cell>
          <cell r="C119">
            <v>2025</v>
          </cell>
          <cell r="D119" t="str">
            <v>Hronov</v>
          </cell>
          <cell r="E119" t="str">
            <v>9.8.-16.8.25</v>
          </cell>
          <cell r="F119">
            <v>5</v>
          </cell>
          <cell r="G119">
            <v>21</v>
          </cell>
          <cell r="H119">
            <v>0.75</v>
          </cell>
          <cell r="I119">
            <v>0</v>
          </cell>
          <cell r="J119">
            <v>0</v>
          </cell>
          <cell r="K119">
            <v>5.0000000000000001E-3</v>
          </cell>
          <cell r="L119">
            <v>0.755</v>
          </cell>
          <cell r="M119">
            <v>5.0000000000000044E-3</v>
          </cell>
        </row>
        <row r="120">
          <cell r="A120" t="str">
            <v>HOP 2025 - Kombi</v>
          </cell>
          <cell r="B120" t="str">
            <v>CZ</v>
          </cell>
          <cell r="C120">
            <v>2025</v>
          </cell>
          <cell r="D120" t="str">
            <v>Hronov</v>
          </cell>
          <cell r="E120" t="str">
            <v>9.8.-16.8.25</v>
          </cell>
          <cell r="F120">
            <v>5</v>
          </cell>
          <cell r="G120">
            <v>14</v>
          </cell>
          <cell r="H120">
            <v>0.75</v>
          </cell>
          <cell r="I120">
            <v>0</v>
          </cell>
          <cell r="J120">
            <v>0</v>
          </cell>
          <cell r="K120">
            <v>5.0000000000000001E-3</v>
          </cell>
          <cell r="L120">
            <v>0.755</v>
          </cell>
          <cell r="M120">
            <v>5.0000000000000044E-3</v>
          </cell>
        </row>
        <row r="121">
          <cell r="A121" t="str">
            <v>GGP MB 2025 - Klub GP</v>
          </cell>
          <cell r="B121" t="str">
            <v>CZ</v>
          </cell>
          <cell r="C121">
            <v>2025</v>
          </cell>
          <cell r="D121" t="str">
            <v>Mladá Boleslav</v>
          </cell>
          <cell r="E121" t="str">
            <v>16.8.-24.8.25</v>
          </cell>
          <cell r="F121">
            <v>5</v>
          </cell>
          <cell r="G121">
            <v>15</v>
          </cell>
          <cell r="H121">
            <v>0.75</v>
          </cell>
          <cell r="I121">
            <v>0</v>
          </cell>
          <cell r="J121">
            <v>0</v>
          </cell>
          <cell r="K121">
            <v>5.0000000000000001E-3</v>
          </cell>
          <cell r="L121">
            <v>0.755</v>
          </cell>
          <cell r="M121">
            <v>5.0000000000000044E-3</v>
          </cell>
        </row>
        <row r="122">
          <cell r="A122" t="str">
            <v>GGP MB 2025 - Pohár MV - Kombi</v>
          </cell>
          <cell r="B122" t="str">
            <v>CZ</v>
          </cell>
          <cell r="C122">
            <v>2025</v>
          </cell>
          <cell r="D122" t="str">
            <v>Mladá Boleslav</v>
          </cell>
          <cell r="E122" t="str">
            <v>16.8.-24.8.25</v>
          </cell>
          <cell r="F122">
            <v>5</v>
          </cell>
          <cell r="G122">
            <v>10</v>
          </cell>
          <cell r="H122">
            <v>0.75</v>
          </cell>
          <cell r="I122">
            <v>0</v>
          </cell>
          <cell r="J122">
            <v>0</v>
          </cell>
          <cell r="K122">
            <v>5.0000000000000001E-3</v>
          </cell>
          <cell r="L122">
            <v>0.755</v>
          </cell>
          <cell r="M122">
            <v>5.0000000000000044E-3</v>
          </cell>
        </row>
        <row r="123">
          <cell r="A123" t="str">
            <v>GGP MB 2025 - Gradient GP</v>
          </cell>
          <cell r="B123" t="str">
            <v>CZ</v>
          </cell>
          <cell r="C123">
            <v>2025</v>
          </cell>
          <cell r="D123" t="str">
            <v>Mladá Boleslav</v>
          </cell>
          <cell r="E123" t="str">
            <v>16.8.-24.8.25</v>
          </cell>
          <cell r="F123">
            <v>5</v>
          </cell>
          <cell r="G123">
            <v>8</v>
          </cell>
          <cell r="H123">
            <v>0</v>
          </cell>
          <cell r="I123">
            <v>0</v>
          </cell>
          <cell r="J123">
            <v>0</v>
          </cell>
          <cell r="K123">
            <v>5.0000000000000001E-3</v>
          </cell>
          <cell r="L123">
            <v>0</v>
          </cell>
          <cell r="M123">
            <v>0</v>
          </cell>
        </row>
        <row r="124">
          <cell r="A124" t="str">
            <v>GGP MB 2025 - Super Klub GP</v>
          </cell>
          <cell r="B124" t="str">
            <v>CZ</v>
          </cell>
          <cell r="C124">
            <v>2025</v>
          </cell>
          <cell r="D124" t="str">
            <v>Mladá Boleslav</v>
          </cell>
          <cell r="E124" t="str">
            <v>16.8.-24.8.25</v>
          </cell>
          <cell r="F124">
            <v>5</v>
          </cell>
          <cell r="G124">
            <v>4</v>
          </cell>
          <cell r="H124">
            <v>0</v>
          </cell>
          <cell r="I124">
            <v>0</v>
          </cell>
          <cell r="J124">
            <v>0</v>
          </cell>
          <cell r="K124">
            <v>5.0000000000000001E-3</v>
          </cell>
          <cell r="L124">
            <v>0</v>
          </cell>
          <cell r="M124">
            <v>0</v>
          </cell>
        </row>
        <row r="125">
          <cell r="A125" t="str">
            <v>Pribina Cup 2025 - Klub</v>
          </cell>
          <cell r="B125" t="str">
            <v>SK</v>
          </cell>
          <cell r="C125">
            <v>2025</v>
          </cell>
          <cell r="D125" t="str">
            <v>Nitra</v>
          </cell>
          <cell r="E125" t="str">
            <v>18.4.-26.4.25</v>
          </cell>
          <cell r="F125">
            <v>5</v>
          </cell>
          <cell r="G125">
            <v>15</v>
          </cell>
          <cell r="H125">
            <v>0.9</v>
          </cell>
          <cell r="I125">
            <v>5.0000000000000001E-3</v>
          </cell>
          <cell r="J125">
            <v>0</v>
          </cell>
          <cell r="K125">
            <v>5.0000000000000001E-3</v>
          </cell>
          <cell r="L125">
            <v>0.91</v>
          </cell>
          <cell r="M125">
            <v>1.0000000000000009E-2</v>
          </cell>
        </row>
        <row r="126">
          <cell r="A126" t="str">
            <v>Pribina Cup 2025 - Kombi 15m</v>
          </cell>
          <cell r="B126" t="str">
            <v>SK</v>
          </cell>
          <cell r="C126">
            <v>2025</v>
          </cell>
          <cell r="D126" t="str">
            <v>Nitra</v>
          </cell>
          <cell r="E126" t="str">
            <v>18.4.-26.4.25</v>
          </cell>
          <cell r="F126">
            <v>4</v>
          </cell>
          <cell r="G126">
            <v>18</v>
          </cell>
          <cell r="H126">
            <v>0.9</v>
          </cell>
          <cell r="I126">
            <v>1.4999999999999999E-2</v>
          </cell>
          <cell r="J126">
            <v>0.01</v>
          </cell>
          <cell r="K126">
            <v>0</v>
          </cell>
          <cell r="L126">
            <v>0.92500000000000004</v>
          </cell>
          <cell r="M126">
            <v>2.5000000000000022E-2</v>
          </cell>
        </row>
        <row r="127">
          <cell r="A127" t="str">
            <v>Pribina Cup 2025 - Kombi Open</v>
          </cell>
          <cell r="B127" t="str">
            <v>SK</v>
          </cell>
          <cell r="C127">
            <v>2025</v>
          </cell>
          <cell r="D127" t="str">
            <v>Nitra</v>
          </cell>
          <cell r="E127" t="str">
            <v>18.4.-26.4.25</v>
          </cell>
          <cell r="F127">
            <v>5</v>
          </cell>
          <cell r="G127">
            <v>19</v>
          </cell>
          <cell r="H127">
            <v>0.9</v>
          </cell>
          <cell r="I127">
            <v>0.02</v>
          </cell>
          <cell r="J127">
            <v>0</v>
          </cell>
          <cell r="K127">
            <v>5.0000000000000001E-3</v>
          </cell>
          <cell r="L127">
            <v>0.92500000000000004</v>
          </cell>
          <cell r="M127">
            <v>2.5000000000000022E-2</v>
          </cell>
        </row>
        <row r="128">
          <cell r="A128" t="str">
            <v>FCC 2025 - Klub</v>
          </cell>
          <cell r="B128" t="str">
            <v>SK</v>
          </cell>
          <cell r="C128">
            <v>2025</v>
          </cell>
          <cell r="D128" t="str">
            <v>Prievidza</v>
          </cell>
          <cell r="E128" t="str">
            <v>27.4.-8.5.25</v>
          </cell>
          <cell r="F128">
            <v>7</v>
          </cell>
          <cell r="G128">
            <v>34</v>
          </cell>
          <cell r="H128">
            <v>0.9</v>
          </cell>
          <cell r="I128">
            <v>2.5000000000000001E-2</v>
          </cell>
          <cell r="J128">
            <v>0</v>
          </cell>
          <cell r="K128">
            <v>1.4999999999999999E-2</v>
          </cell>
          <cell r="L128">
            <v>0.94000000000000006</v>
          </cell>
          <cell r="M128">
            <v>4.0000000000000036E-2</v>
          </cell>
        </row>
        <row r="129">
          <cell r="A129" t="str">
            <v>FCC 2025 - Kombi 15m</v>
          </cell>
          <cell r="B129" t="str">
            <v>SK</v>
          </cell>
          <cell r="C129">
            <v>2025</v>
          </cell>
          <cell r="D129" t="str">
            <v>Prievidza</v>
          </cell>
          <cell r="E129" t="str">
            <v>27.4.-8.5.25</v>
          </cell>
          <cell r="F129">
            <v>7</v>
          </cell>
          <cell r="G129">
            <v>35</v>
          </cell>
          <cell r="H129">
            <v>0.9</v>
          </cell>
          <cell r="I129">
            <v>0.04</v>
          </cell>
          <cell r="J129">
            <v>0.02</v>
          </cell>
          <cell r="K129">
            <v>1.4999999999999999E-2</v>
          </cell>
          <cell r="L129">
            <v>0.97500000000000009</v>
          </cell>
          <cell r="M129">
            <v>7.5000000000000067E-2</v>
          </cell>
        </row>
        <row r="130">
          <cell r="A130" t="str">
            <v>FCC 2025 - Kombi Open</v>
          </cell>
          <cell r="B130" t="str">
            <v>SK</v>
          </cell>
          <cell r="C130">
            <v>2025</v>
          </cell>
          <cell r="D130" t="str">
            <v>Prievidza</v>
          </cell>
          <cell r="E130" t="str">
            <v>27.4.-8.5.25</v>
          </cell>
          <cell r="F130">
            <v>8</v>
          </cell>
          <cell r="G130">
            <v>47</v>
          </cell>
          <cell r="H130">
            <v>0.9</v>
          </cell>
          <cell r="I130">
            <v>3.5000000000000003E-2</v>
          </cell>
          <cell r="J130">
            <v>0.01</v>
          </cell>
          <cell r="K130">
            <v>0.02</v>
          </cell>
          <cell r="L130">
            <v>0.96500000000000008</v>
          </cell>
          <cell r="M130">
            <v>6.5000000000000058E-2</v>
          </cell>
        </row>
        <row r="131">
          <cell r="A131" t="str">
            <v>Fatraglide 2025 - Klub</v>
          </cell>
          <cell r="B131" t="str">
            <v>SK</v>
          </cell>
          <cell r="C131">
            <v>2025</v>
          </cell>
          <cell r="D131" t="str">
            <v>Martin</v>
          </cell>
          <cell r="E131" t="str">
            <v>28.4.-7.5.25</v>
          </cell>
          <cell r="F131">
            <v>6</v>
          </cell>
          <cell r="G131">
            <v>23</v>
          </cell>
          <cell r="H131">
            <v>0.75</v>
          </cell>
          <cell r="I131" t="str">
            <v>0.00</v>
          </cell>
          <cell r="J131">
            <v>0</v>
          </cell>
          <cell r="K131">
            <v>0.01</v>
          </cell>
          <cell r="L131">
            <v>0.76</v>
          </cell>
          <cell r="M131">
            <v>1.0000000000000009E-2</v>
          </cell>
        </row>
        <row r="132">
          <cell r="A132" t="str">
            <v>Fatraglide 2025 - Kombi</v>
          </cell>
          <cell r="B132" t="str">
            <v>SK</v>
          </cell>
          <cell r="C132">
            <v>2025</v>
          </cell>
          <cell r="D132" t="str">
            <v>Martin</v>
          </cell>
          <cell r="E132" t="str">
            <v>28.4.-7.5.25</v>
          </cell>
          <cell r="F132">
            <v>6</v>
          </cell>
          <cell r="G132">
            <v>18</v>
          </cell>
          <cell r="H132">
            <v>0.75</v>
          </cell>
          <cell r="I132" t="str">
            <v>0.00</v>
          </cell>
          <cell r="J132">
            <v>0</v>
          </cell>
          <cell r="K132">
            <v>0.01</v>
          </cell>
          <cell r="L132">
            <v>0.76</v>
          </cell>
          <cell r="M132">
            <v>1.0000000000000009E-2</v>
          </cell>
        </row>
        <row r="133">
          <cell r="A133" t="str">
            <v>JEGC 2025 - Klub</v>
          </cell>
          <cell r="B133" t="str">
            <v>SK</v>
          </cell>
          <cell r="C133">
            <v>2025</v>
          </cell>
          <cell r="D133" t="str">
            <v>Prievidza</v>
          </cell>
          <cell r="E133" t="str">
            <v>5.7.-19.7.25</v>
          </cell>
          <cell r="F133">
            <v>8</v>
          </cell>
          <cell r="G133">
            <v>28</v>
          </cell>
          <cell r="H133">
            <v>1</v>
          </cell>
          <cell r="I133">
            <v>1.4999999999999999E-2</v>
          </cell>
          <cell r="J133">
            <v>0.01</v>
          </cell>
          <cell r="K133">
            <v>0.02</v>
          </cell>
          <cell r="L133">
            <v>1.0449999999999999</v>
          </cell>
          <cell r="M133">
            <v>4.4999999999999929E-2</v>
          </cell>
        </row>
        <row r="134">
          <cell r="A134" t="str">
            <v>JEGC 2025 - Std</v>
          </cell>
          <cell r="B134" t="str">
            <v>SK</v>
          </cell>
          <cell r="C134">
            <v>2025</v>
          </cell>
          <cell r="D134" t="str">
            <v>Prievidza</v>
          </cell>
          <cell r="E134" t="str">
            <v>5.7.-19.7.25</v>
          </cell>
          <cell r="F134">
            <v>8</v>
          </cell>
          <cell r="G134">
            <v>19</v>
          </cell>
          <cell r="H134">
            <v>1</v>
          </cell>
          <cell r="I134">
            <v>5.0000000000000001E-3</v>
          </cell>
          <cell r="J134">
            <v>0.02</v>
          </cell>
          <cell r="K134">
            <v>0.02</v>
          </cell>
          <cell r="L134">
            <v>1.0449999999999999</v>
          </cell>
          <cell r="M134">
            <v>4.4999999999999929E-2</v>
          </cell>
        </row>
        <row r="135">
          <cell r="A135" t="str">
            <v>EGC 2025 - 18m</v>
          </cell>
          <cell r="B135" t="str">
            <v>HU</v>
          </cell>
          <cell r="C135">
            <v>2025</v>
          </cell>
          <cell r="D135" t="str">
            <v>Békéscsaba</v>
          </cell>
          <cell r="E135" t="str">
            <v>27.7.-8.8.25</v>
          </cell>
          <cell r="F135">
            <v>8</v>
          </cell>
          <cell r="G135">
            <v>11</v>
          </cell>
          <cell r="H135">
            <v>1</v>
          </cell>
          <cell r="I135">
            <v>7.4999999999999997E-2</v>
          </cell>
          <cell r="J135">
            <v>0.03</v>
          </cell>
          <cell r="K135">
            <v>0.02</v>
          </cell>
          <cell r="L135">
            <v>1.125</v>
          </cell>
          <cell r="M135">
            <v>0.125</v>
          </cell>
        </row>
        <row r="136">
          <cell r="A136" t="str">
            <v>EGC 2025 - Open</v>
          </cell>
          <cell r="B136" t="str">
            <v>HU</v>
          </cell>
          <cell r="C136">
            <v>2025</v>
          </cell>
          <cell r="D136" t="str">
            <v>Békéscsaba</v>
          </cell>
          <cell r="E136" t="str">
            <v>27.7.-8.8.25</v>
          </cell>
          <cell r="F136">
            <v>8</v>
          </cell>
          <cell r="G136">
            <v>13</v>
          </cell>
          <cell r="H136">
            <v>1</v>
          </cell>
          <cell r="I136">
            <v>0.03</v>
          </cell>
          <cell r="J136">
            <v>0.03</v>
          </cell>
          <cell r="K136">
            <v>0.02</v>
          </cell>
          <cell r="L136">
            <v>1.08</v>
          </cell>
          <cell r="M136">
            <v>8.0000000000000071E-2</v>
          </cell>
        </row>
        <row r="137">
          <cell r="A137" t="str">
            <v>EGC 2025 - Duo 20m</v>
          </cell>
          <cell r="B137" t="str">
            <v>HU</v>
          </cell>
          <cell r="C137">
            <v>2025</v>
          </cell>
          <cell r="D137" t="str">
            <v>Békéscsaba</v>
          </cell>
          <cell r="E137" t="str">
            <v>27.7.-8.8.25</v>
          </cell>
          <cell r="F137">
            <v>16</v>
          </cell>
          <cell r="G137">
            <v>11</v>
          </cell>
          <cell r="H137">
            <v>1</v>
          </cell>
          <cell r="I137">
            <v>0.02</v>
          </cell>
          <cell r="J137">
            <v>0.03</v>
          </cell>
          <cell r="K137">
            <v>0.03</v>
          </cell>
          <cell r="L137">
            <v>1.08</v>
          </cell>
          <cell r="M137">
            <v>8.0000000000000071E-2</v>
          </cell>
        </row>
      </sheetData>
      <sheetData sheetId="2" refreshError="1"/>
      <sheetData sheetId="3">
        <row r="1">
          <cell r="A1" t="str">
            <v>Jmeno</v>
          </cell>
          <cell r="B1" t="str">
            <v>Rok nar.</v>
          </cell>
          <cell r="C1" t="str">
            <v>Aeroklub</v>
          </cell>
          <cell r="D1" t="str">
            <v>Region</v>
          </cell>
          <cell r="E1" t="str">
            <v>M/F</v>
          </cell>
          <cell r="F1" t="str">
            <v>Junior v roce</v>
          </cell>
        </row>
        <row r="2">
          <cell r="A2" t="str">
            <v>-</v>
          </cell>
          <cell r="B2" t="str">
            <v xml:space="preserve"> </v>
          </cell>
          <cell r="C2" t="str">
            <v xml:space="preserve"> </v>
          </cell>
          <cell r="D2" t="str">
            <v>Region</v>
          </cell>
          <cell r="E2" t="str">
            <v xml:space="preserve"> </v>
          </cell>
          <cell r="F2" t="str">
            <v xml:space="preserve"> </v>
          </cell>
        </row>
        <row r="3">
          <cell r="A3" t="str">
            <v>Adam Hepal</v>
          </cell>
          <cell r="B3">
            <v>2004</v>
          </cell>
          <cell r="C3" t="str">
            <v>Moravská Třebová</v>
          </cell>
          <cell r="D3" t="str">
            <v>CZ/M</v>
          </cell>
          <cell r="E3" t="str">
            <v>M</v>
          </cell>
          <cell r="F3" t="str">
            <v>Junior v roce 2026</v>
          </cell>
        </row>
        <row r="4">
          <cell r="A4" t="str">
            <v>Adam Jandora</v>
          </cell>
          <cell r="B4">
            <v>1992</v>
          </cell>
          <cell r="C4" t="str">
            <v>Medlánky</v>
          </cell>
          <cell r="D4" t="str">
            <v>CZ/M</v>
          </cell>
          <cell r="E4" t="str">
            <v>M</v>
          </cell>
          <cell r="F4" t="str">
            <v/>
          </cell>
        </row>
        <row r="5">
          <cell r="A5" t="str">
            <v>Adam Laburda</v>
          </cell>
          <cell r="B5">
            <v>2005</v>
          </cell>
          <cell r="C5" t="str">
            <v>Raná</v>
          </cell>
          <cell r="D5" t="str">
            <v>CZ/C2</v>
          </cell>
          <cell r="E5" t="str">
            <v>M</v>
          </cell>
          <cell r="F5" t="str">
            <v>Junior v roce 2026</v>
          </cell>
        </row>
        <row r="6">
          <cell r="A6" t="str">
            <v>Adam Olejar</v>
          </cell>
          <cell r="B6">
            <v>1991</v>
          </cell>
          <cell r="C6" t="str">
            <v>Medlánky</v>
          </cell>
          <cell r="D6" t="str">
            <v>CZ/M</v>
          </cell>
          <cell r="E6" t="str">
            <v>M</v>
          </cell>
          <cell r="F6" t="str">
            <v/>
          </cell>
        </row>
        <row r="7">
          <cell r="A7" t="str">
            <v>Adam Pergner</v>
          </cell>
          <cell r="B7">
            <v>2002</v>
          </cell>
          <cell r="C7" t="str">
            <v>Rakovník</v>
          </cell>
          <cell r="D7" t="str">
            <v>CZ/C1</v>
          </cell>
          <cell r="E7" t="str">
            <v>M</v>
          </cell>
          <cell r="F7" t="str">
            <v>Junior v roce 2026</v>
          </cell>
        </row>
        <row r="8">
          <cell r="A8" t="str">
            <v>Adam Sostaric</v>
          </cell>
          <cell r="B8">
            <v>1991</v>
          </cell>
          <cell r="C8" t="str">
            <v>Chrudim</v>
          </cell>
          <cell r="D8" t="str">
            <v>CZ/C2</v>
          </cell>
          <cell r="E8" t="str">
            <v>M</v>
          </cell>
          <cell r="F8" t="str">
            <v/>
          </cell>
        </row>
        <row r="9">
          <cell r="A9" t="str">
            <v>Adam Sugl</v>
          </cell>
          <cell r="B9">
            <v>1987</v>
          </cell>
          <cell r="C9" t="str">
            <v>Vyškov</v>
          </cell>
          <cell r="D9" t="str">
            <v>CZ/M</v>
          </cell>
          <cell r="E9" t="str">
            <v>M</v>
          </cell>
          <cell r="F9" t="str">
            <v/>
          </cell>
        </row>
        <row r="10">
          <cell r="A10" t="str">
            <v>Adela Vachova</v>
          </cell>
          <cell r="B10">
            <v>2007</v>
          </cell>
          <cell r="C10" t="str">
            <v>Hodkovice</v>
          </cell>
          <cell r="D10" t="str">
            <v>CZ/C2</v>
          </cell>
          <cell r="E10" t="str">
            <v>F</v>
          </cell>
          <cell r="F10" t="str">
            <v>Junior v roce 2026</v>
          </cell>
        </row>
        <row r="11">
          <cell r="A11" t="str">
            <v>Albert Schneider</v>
          </cell>
          <cell r="B11">
            <v>1967</v>
          </cell>
          <cell r="C11" t="str">
            <v>Hranice</v>
          </cell>
          <cell r="D11" t="str">
            <v>CZ/M</v>
          </cell>
          <cell r="E11" t="str">
            <v>M</v>
          </cell>
          <cell r="F11" t="str">
            <v/>
          </cell>
        </row>
        <row r="12">
          <cell r="A12" t="str">
            <v>Alena Netusilova</v>
          </cell>
          <cell r="B12">
            <v>1970</v>
          </cell>
          <cell r="C12" t="str">
            <v>Zbraslavice</v>
          </cell>
          <cell r="D12" t="str">
            <v>CZ/C1</v>
          </cell>
          <cell r="E12" t="str">
            <v>F</v>
          </cell>
          <cell r="F12" t="str">
            <v/>
          </cell>
        </row>
        <row r="13">
          <cell r="A13" t="str">
            <v>Ales Cervenka</v>
          </cell>
          <cell r="B13">
            <v>1981</v>
          </cell>
          <cell r="C13" t="str">
            <v>Soběslav</v>
          </cell>
          <cell r="D13" t="str">
            <v>CZ/C1</v>
          </cell>
          <cell r="E13" t="str">
            <v>M</v>
          </cell>
          <cell r="F13" t="str">
            <v/>
          </cell>
        </row>
        <row r="14">
          <cell r="A14" t="str">
            <v>Ales Hajek</v>
          </cell>
          <cell r="B14">
            <v>1958</v>
          </cell>
          <cell r="C14" t="str">
            <v>Mladá Boleslav</v>
          </cell>
          <cell r="D14" t="str">
            <v>CZ/C1</v>
          </cell>
          <cell r="E14" t="str">
            <v>M</v>
          </cell>
          <cell r="F14" t="str">
            <v/>
          </cell>
        </row>
        <row r="15">
          <cell r="A15" t="str">
            <v>Ales Hala</v>
          </cell>
          <cell r="B15">
            <v>1994</v>
          </cell>
          <cell r="C15" t="str">
            <v>Tábor</v>
          </cell>
          <cell r="D15" t="str">
            <v>CZ/C1</v>
          </cell>
          <cell r="E15" t="str">
            <v>M</v>
          </cell>
          <cell r="F15" t="str">
            <v/>
          </cell>
        </row>
        <row r="16">
          <cell r="A16" t="str">
            <v>Ales Holoubek</v>
          </cell>
          <cell r="B16">
            <v>1966</v>
          </cell>
          <cell r="C16" t="str">
            <v>Jičín</v>
          </cell>
          <cell r="D16" t="str">
            <v>CZ/C2</v>
          </cell>
          <cell r="E16" t="str">
            <v>M</v>
          </cell>
          <cell r="F16" t="str">
            <v/>
          </cell>
        </row>
        <row r="17">
          <cell r="A17" t="str">
            <v>Ales Nestrojil</v>
          </cell>
          <cell r="B17">
            <v>1980</v>
          </cell>
          <cell r="C17" t="str">
            <v>Medlánky</v>
          </cell>
          <cell r="D17" t="str">
            <v>CZ/M</v>
          </cell>
          <cell r="E17" t="str">
            <v>M</v>
          </cell>
          <cell r="F17" t="str">
            <v/>
          </cell>
        </row>
        <row r="18">
          <cell r="A18" t="str">
            <v>Ales Sokolik</v>
          </cell>
          <cell r="B18">
            <v>1973</v>
          </cell>
          <cell r="C18" t="str">
            <v>Strakonice</v>
          </cell>
          <cell r="D18" t="str">
            <v>CZ/C1</v>
          </cell>
          <cell r="E18" t="str">
            <v>M</v>
          </cell>
          <cell r="F18" t="str">
            <v/>
          </cell>
        </row>
        <row r="19">
          <cell r="A19" t="str">
            <v>Ales Tresl</v>
          </cell>
          <cell r="B19">
            <v>1958</v>
          </cell>
          <cell r="C19" t="str">
            <v>Raná</v>
          </cell>
          <cell r="D19" t="str">
            <v>CZ/C2</v>
          </cell>
          <cell r="E19" t="str">
            <v>M</v>
          </cell>
          <cell r="F19" t="str">
            <v/>
          </cell>
        </row>
        <row r="20">
          <cell r="A20" t="str">
            <v>Ales Valenta</v>
          </cell>
          <cell r="B20">
            <v>1973</v>
          </cell>
          <cell r="C20" t="str">
            <v>Hořice</v>
          </cell>
          <cell r="D20" t="str">
            <v>CZ/C2</v>
          </cell>
          <cell r="E20" t="str">
            <v>M</v>
          </cell>
          <cell r="F20" t="str">
            <v/>
          </cell>
        </row>
        <row r="21">
          <cell r="A21" t="str">
            <v>Ales Vorac</v>
          </cell>
          <cell r="B21">
            <v>1985</v>
          </cell>
          <cell r="C21" t="str">
            <v>Křižanov</v>
          </cell>
          <cell r="D21" t="str">
            <v>CZ/M</v>
          </cell>
          <cell r="E21" t="str">
            <v>M</v>
          </cell>
          <cell r="F21" t="str">
            <v/>
          </cell>
        </row>
        <row r="22">
          <cell r="A22" t="str">
            <v>Ales Vyhnal</v>
          </cell>
          <cell r="B22">
            <v>1989</v>
          </cell>
          <cell r="C22" t="str">
            <v>Kralupy</v>
          </cell>
          <cell r="D22" t="str">
            <v>CZ/C1</v>
          </cell>
          <cell r="E22" t="str">
            <v>M</v>
          </cell>
          <cell r="F22" t="str">
            <v/>
          </cell>
        </row>
        <row r="23">
          <cell r="A23" t="str">
            <v>Alex Gulich</v>
          </cell>
          <cell r="B23">
            <v>2005</v>
          </cell>
          <cell r="C23" t="str">
            <v>Slaný</v>
          </cell>
          <cell r="D23" t="str">
            <v>CZ/C1</v>
          </cell>
          <cell r="E23" t="str">
            <v>M</v>
          </cell>
          <cell r="F23" t="str">
            <v>Junior v roce 2026</v>
          </cell>
        </row>
        <row r="24">
          <cell r="A24" t="str">
            <v>Alexander Nerandzic</v>
          </cell>
          <cell r="B24">
            <v>1966</v>
          </cell>
          <cell r="C24" t="str">
            <v>Raná</v>
          </cell>
          <cell r="D24" t="str">
            <v>CZ/C2</v>
          </cell>
          <cell r="E24" t="str">
            <v>M</v>
          </cell>
          <cell r="F24" t="str">
            <v/>
          </cell>
        </row>
        <row r="25">
          <cell r="A25" t="str">
            <v>Alois Cmajdalka</v>
          </cell>
          <cell r="B25">
            <v>1963</v>
          </cell>
          <cell r="C25" t="str">
            <v>Kunovice</v>
          </cell>
          <cell r="D25" t="str">
            <v>CZ/M</v>
          </cell>
          <cell r="E25" t="str">
            <v>M</v>
          </cell>
          <cell r="F25" t="str">
            <v/>
          </cell>
        </row>
        <row r="26">
          <cell r="A26" t="str">
            <v>Alois Sohr</v>
          </cell>
          <cell r="B26">
            <v>1939</v>
          </cell>
          <cell r="C26" t="str">
            <v>Hranice</v>
          </cell>
          <cell r="D26" t="str">
            <v>CZ/M</v>
          </cell>
          <cell r="E26" t="str">
            <v>M</v>
          </cell>
          <cell r="F26" t="str">
            <v/>
          </cell>
        </row>
        <row r="27">
          <cell r="A27" t="str">
            <v>Andrea Bensova</v>
          </cell>
          <cell r="B27">
            <v>1978</v>
          </cell>
          <cell r="C27" t="str">
            <v>Zbraslavice</v>
          </cell>
          <cell r="D27" t="str">
            <v>CZ/C1</v>
          </cell>
          <cell r="E27" t="str">
            <v>F</v>
          </cell>
          <cell r="F27" t="str">
            <v/>
          </cell>
        </row>
        <row r="28">
          <cell r="A28" t="str">
            <v>Aneta Prachtova</v>
          </cell>
          <cell r="B28">
            <v>1991</v>
          </cell>
          <cell r="C28" t="str">
            <v>Kralupy</v>
          </cell>
          <cell r="D28" t="str">
            <v>CZ/C1</v>
          </cell>
          <cell r="E28" t="str">
            <v>F</v>
          </cell>
          <cell r="F28" t="str">
            <v/>
          </cell>
        </row>
        <row r="29">
          <cell r="A29" t="str">
            <v>Anna Bordovska</v>
          </cell>
          <cell r="B29">
            <v>1989</v>
          </cell>
          <cell r="C29" t="str">
            <v>Mladá Boleslav</v>
          </cell>
          <cell r="D29" t="str">
            <v>CZ/C1</v>
          </cell>
          <cell r="E29" t="str">
            <v>F</v>
          </cell>
          <cell r="F29" t="str">
            <v/>
          </cell>
        </row>
        <row r="30">
          <cell r="A30" t="str">
            <v>Anna Lanzendorfova</v>
          </cell>
          <cell r="B30">
            <v>2005</v>
          </cell>
          <cell r="C30" t="str">
            <v>Letkov</v>
          </cell>
          <cell r="D30" t="str">
            <v>CZ/C1</v>
          </cell>
          <cell r="E30" t="str">
            <v>F</v>
          </cell>
          <cell r="F30" t="str">
            <v>Junior v roce 2026</v>
          </cell>
        </row>
        <row r="31">
          <cell r="A31" t="str">
            <v>Antonin Bordovsky</v>
          </cell>
          <cell r="B31">
            <v>1951</v>
          </cell>
          <cell r="C31" t="str">
            <v>Krnov</v>
          </cell>
          <cell r="D31" t="str">
            <v>CZ/M</v>
          </cell>
          <cell r="E31" t="str">
            <v>M</v>
          </cell>
          <cell r="F31" t="str">
            <v/>
          </cell>
        </row>
        <row r="32">
          <cell r="A32" t="str">
            <v>Antonin Bruna</v>
          </cell>
          <cell r="B32">
            <v>1945</v>
          </cell>
          <cell r="C32" t="str">
            <v>GAC Benešov</v>
          </cell>
          <cell r="D32" t="str">
            <v>CZ/C1</v>
          </cell>
          <cell r="E32" t="str">
            <v>M</v>
          </cell>
          <cell r="F32" t="str">
            <v/>
          </cell>
        </row>
        <row r="33">
          <cell r="A33" t="str">
            <v>Antonin Burger</v>
          </cell>
          <cell r="B33">
            <v>1943</v>
          </cell>
          <cell r="C33" t="str">
            <v>Panenský Týnec</v>
          </cell>
          <cell r="D33" t="str">
            <v>CZ/C1</v>
          </cell>
          <cell r="E33" t="str">
            <v>M</v>
          </cell>
          <cell r="F33" t="str">
            <v/>
          </cell>
        </row>
        <row r="34">
          <cell r="A34" t="str">
            <v>Antonin Klika</v>
          </cell>
          <cell r="B34">
            <v>1964</v>
          </cell>
          <cell r="C34" t="str">
            <v>Beroun</v>
          </cell>
          <cell r="D34" t="str">
            <v>CZ/C1</v>
          </cell>
          <cell r="E34" t="str">
            <v>M</v>
          </cell>
          <cell r="F34" t="str">
            <v/>
          </cell>
        </row>
        <row r="35">
          <cell r="A35" t="str">
            <v>Antonin Konicek</v>
          </cell>
          <cell r="B35">
            <v>1973</v>
          </cell>
          <cell r="C35" t="str">
            <v>Kunovice</v>
          </cell>
          <cell r="D35" t="str">
            <v>CZ/M</v>
          </cell>
          <cell r="E35" t="str">
            <v>M</v>
          </cell>
          <cell r="F35" t="str">
            <v/>
          </cell>
        </row>
        <row r="36">
          <cell r="A36" t="str">
            <v>Antonin Kutalek</v>
          </cell>
          <cell r="B36">
            <v>1943</v>
          </cell>
          <cell r="C36" t="str">
            <v>Zábřeh</v>
          </cell>
          <cell r="D36" t="str">
            <v>CZ/M</v>
          </cell>
          <cell r="E36" t="str">
            <v>M</v>
          </cell>
          <cell r="F36" t="str">
            <v/>
          </cell>
        </row>
        <row r="37">
          <cell r="A37" t="str">
            <v>Antonin Novotny</v>
          </cell>
          <cell r="B37">
            <v>1972</v>
          </cell>
          <cell r="C37" t="str">
            <v>Luhačovice</v>
          </cell>
          <cell r="D37" t="str">
            <v>CZ/M</v>
          </cell>
          <cell r="E37" t="str">
            <v>M</v>
          </cell>
          <cell r="F37" t="str">
            <v/>
          </cell>
        </row>
        <row r="38">
          <cell r="A38" t="str">
            <v>Antonin Otrusina</v>
          </cell>
          <cell r="B38">
            <v>1948</v>
          </cell>
          <cell r="C38" t="str">
            <v>Křižanov</v>
          </cell>
          <cell r="D38" t="str">
            <v>CZ/M</v>
          </cell>
          <cell r="E38" t="str">
            <v>M</v>
          </cell>
          <cell r="F38" t="str">
            <v/>
          </cell>
        </row>
        <row r="39">
          <cell r="A39" t="str">
            <v>Antonin Pilat</v>
          </cell>
          <cell r="B39">
            <v>1971</v>
          </cell>
          <cell r="C39" t="str">
            <v>Vyškov</v>
          </cell>
          <cell r="D39" t="str">
            <v>CZ/M</v>
          </cell>
          <cell r="E39" t="str">
            <v>M</v>
          </cell>
          <cell r="F39" t="str">
            <v/>
          </cell>
        </row>
        <row r="40">
          <cell r="A40" t="str">
            <v>Antonin Teichmann</v>
          </cell>
          <cell r="B40">
            <v>1965</v>
          </cell>
          <cell r="C40" t="str">
            <v>Hronov</v>
          </cell>
          <cell r="D40" t="str">
            <v>CZ/C2</v>
          </cell>
          <cell r="E40" t="str">
            <v>M</v>
          </cell>
          <cell r="F40" t="str">
            <v/>
          </cell>
        </row>
        <row r="41">
          <cell r="A41" t="str">
            <v>Barbora Kubickova</v>
          </cell>
          <cell r="B41">
            <v>1993</v>
          </cell>
          <cell r="C41" t="str">
            <v>Medlánky</v>
          </cell>
          <cell r="D41" t="str">
            <v>CZ/M</v>
          </cell>
          <cell r="E41" t="str">
            <v>F</v>
          </cell>
          <cell r="F41" t="str">
            <v/>
          </cell>
        </row>
        <row r="42">
          <cell r="A42" t="str">
            <v>Barbora Moravcova</v>
          </cell>
          <cell r="B42">
            <v>1994</v>
          </cell>
          <cell r="C42" t="str">
            <v>Zbraslavice</v>
          </cell>
          <cell r="D42" t="str">
            <v>CZ/C1</v>
          </cell>
          <cell r="E42" t="str">
            <v>F</v>
          </cell>
          <cell r="F42" t="str">
            <v/>
          </cell>
        </row>
        <row r="43">
          <cell r="A43" t="str">
            <v>Barbora Nahodilova</v>
          </cell>
          <cell r="B43">
            <v>1989</v>
          </cell>
          <cell r="C43" t="str">
            <v>Hosín</v>
          </cell>
          <cell r="D43" t="str">
            <v>CZ/C1</v>
          </cell>
          <cell r="E43" t="str">
            <v>F</v>
          </cell>
          <cell r="F43" t="str">
            <v/>
          </cell>
        </row>
        <row r="44">
          <cell r="A44" t="str">
            <v>Beat Albrecht</v>
          </cell>
          <cell r="B44">
            <v>1953</v>
          </cell>
          <cell r="C44" t="str">
            <v>Šumperk</v>
          </cell>
          <cell r="D44" t="str">
            <v>CZ/M</v>
          </cell>
          <cell r="E44" t="str">
            <v>M</v>
          </cell>
          <cell r="F44" t="str">
            <v/>
          </cell>
        </row>
        <row r="45">
          <cell r="A45" t="str">
            <v>Bedrich Honzicek</v>
          </cell>
          <cell r="B45">
            <v>1972</v>
          </cell>
          <cell r="C45" t="str">
            <v>Letňany</v>
          </cell>
          <cell r="D45" t="str">
            <v>CZ/C1</v>
          </cell>
          <cell r="E45" t="str">
            <v>M</v>
          </cell>
          <cell r="F45" t="str">
            <v/>
          </cell>
        </row>
        <row r="46">
          <cell r="A46" t="str">
            <v>Bedrich Prochazka</v>
          </cell>
          <cell r="B46">
            <v>1957</v>
          </cell>
          <cell r="C46" t="str">
            <v>Rakovník</v>
          </cell>
          <cell r="D46" t="str">
            <v>CZ/C1</v>
          </cell>
          <cell r="E46" t="str">
            <v>M</v>
          </cell>
          <cell r="F46" t="str">
            <v/>
          </cell>
        </row>
        <row r="47">
          <cell r="A47" t="str">
            <v>Bohdan Sebestik</v>
          </cell>
          <cell r="B47">
            <v>1957</v>
          </cell>
          <cell r="C47" t="str">
            <v>Kroměříž</v>
          </cell>
          <cell r="D47" t="str">
            <v>CZ/M</v>
          </cell>
          <cell r="E47" t="str">
            <v>M</v>
          </cell>
          <cell r="F47" t="str">
            <v/>
          </cell>
        </row>
        <row r="48">
          <cell r="A48" t="str">
            <v>Bohumil Kunc</v>
          </cell>
          <cell r="B48">
            <v>1983</v>
          </cell>
          <cell r="C48" t="str">
            <v>Kunovice</v>
          </cell>
          <cell r="D48" t="str">
            <v>CZ/M</v>
          </cell>
          <cell r="E48" t="str">
            <v>M</v>
          </cell>
          <cell r="F48" t="str">
            <v/>
          </cell>
        </row>
        <row r="49">
          <cell r="A49" t="str">
            <v>Bohumil Rikal</v>
          </cell>
          <cell r="B49">
            <v>1946</v>
          </cell>
          <cell r="C49" t="str">
            <v>Hronov</v>
          </cell>
          <cell r="D49" t="str">
            <v>CZ/C2</v>
          </cell>
          <cell r="E49" t="str">
            <v>M</v>
          </cell>
          <cell r="F49" t="str">
            <v/>
          </cell>
        </row>
        <row r="50">
          <cell r="A50" t="str">
            <v>Bohumil Svec</v>
          </cell>
          <cell r="B50">
            <v>1985</v>
          </cell>
          <cell r="C50" t="str">
            <v>Roudnice</v>
          </cell>
          <cell r="D50" t="str">
            <v>CZ/C2</v>
          </cell>
          <cell r="E50" t="str">
            <v>M</v>
          </cell>
          <cell r="F50" t="str">
            <v/>
          </cell>
        </row>
        <row r="51">
          <cell r="A51" t="str">
            <v>Bohumir Zajdl</v>
          </cell>
          <cell r="B51">
            <v>1950</v>
          </cell>
          <cell r="C51" t="str">
            <v>Dvůr Králové</v>
          </cell>
          <cell r="D51" t="str">
            <v>CZ/C2</v>
          </cell>
          <cell r="E51" t="str">
            <v>M</v>
          </cell>
          <cell r="F51" t="str">
            <v/>
          </cell>
        </row>
        <row r="52">
          <cell r="A52" t="str">
            <v>Bohus Marcinik</v>
          </cell>
          <cell r="B52">
            <v>1947</v>
          </cell>
          <cell r="C52" t="str">
            <v>Příbram</v>
          </cell>
          <cell r="D52" t="str">
            <v>CZ/C1</v>
          </cell>
          <cell r="E52" t="str">
            <v>M</v>
          </cell>
          <cell r="F52" t="str">
            <v/>
          </cell>
        </row>
        <row r="53">
          <cell r="A53" t="str">
            <v>Boris Bachraty</v>
          </cell>
          <cell r="B53">
            <v>1974</v>
          </cell>
          <cell r="C53" t="str">
            <v>Kyjov</v>
          </cell>
          <cell r="D53" t="str">
            <v>CZ/M</v>
          </cell>
          <cell r="E53" t="str">
            <v>M</v>
          </cell>
          <cell r="F53" t="str">
            <v/>
          </cell>
        </row>
        <row r="54">
          <cell r="A54" t="str">
            <v>Boris Guic</v>
          </cell>
          <cell r="B54">
            <v>1966</v>
          </cell>
          <cell r="C54" t="str">
            <v>Zbraslavice</v>
          </cell>
          <cell r="D54" t="str">
            <v>CZ/C1</v>
          </cell>
          <cell r="E54" t="str">
            <v>M</v>
          </cell>
          <cell r="F54" t="str">
            <v/>
          </cell>
        </row>
        <row r="55">
          <cell r="A55" t="str">
            <v>Bronislav Smatana</v>
          </cell>
          <cell r="B55">
            <v>1970</v>
          </cell>
          <cell r="C55" t="str">
            <v>Zbraslavice</v>
          </cell>
          <cell r="D55" t="str">
            <v>CZ/C1</v>
          </cell>
          <cell r="E55" t="str">
            <v>M</v>
          </cell>
          <cell r="F55" t="str">
            <v/>
          </cell>
        </row>
        <row r="56">
          <cell r="A56" t="str">
            <v>Carsten Tietz</v>
          </cell>
          <cell r="B56">
            <v>1966</v>
          </cell>
          <cell r="C56" t="str">
            <v>Hronov</v>
          </cell>
          <cell r="D56" t="str">
            <v>CZ/C2</v>
          </cell>
          <cell r="E56" t="str">
            <v>M</v>
          </cell>
          <cell r="F56" t="str">
            <v/>
          </cell>
        </row>
        <row r="57">
          <cell r="A57" t="str">
            <v>Christof Madoery</v>
          </cell>
          <cell r="B57">
            <v>1958</v>
          </cell>
          <cell r="C57" t="str">
            <v>Šumperk</v>
          </cell>
          <cell r="D57" t="str">
            <v>CZ/M</v>
          </cell>
          <cell r="E57" t="str">
            <v>M</v>
          </cell>
          <cell r="F57" t="str">
            <v/>
          </cell>
        </row>
        <row r="58">
          <cell r="A58" t="str">
            <v>Dalibor Bucha</v>
          </cell>
          <cell r="B58">
            <v>1973</v>
          </cell>
          <cell r="C58" t="str">
            <v>Hranice</v>
          </cell>
          <cell r="D58" t="str">
            <v>CZ/M</v>
          </cell>
          <cell r="E58" t="str">
            <v>M</v>
          </cell>
          <cell r="F58" t="str">
            <v/>
          </cell>
        </row>
        <row r="59">
          <cell r="A59" t="str">
            <v>Dalibor Daricek</v>
          </cell>
          <cell r="B59">
            <v>1993</v>
          </cell>
          <cell r="C59" t="str">
            <v>Kunovice</v>
          </cell>
          <cell r="D59" t="str">
            <v>CZ/M</v>
          </cell>
          <cell r="E59" t="str">
            <v>M</v>
          </cell>
          <cell r="F59" t="str">
            <v/>
          </cell>
        </row>
        <row r="60">
          <cell r="A60" t="str">
            <v>Dalibor Fencl</v>
          </cell>
          <cell r="B60">
            <v>1966</v>
          </cell>
          <cell r="C60" t="str">
            <v>Zbraslavice</v>
          </cell>
          <cell r="D60" t="str">
            <v>CZ/C1</v>
          </cell>
          <cell r="E60" t="str">
            <v>M</v>
          </cell>
          <cell r="F60" t="str">
            <v/>
          </cell>
        </row>
        <row r="61">
          <cell r="A61" t="str">
            <v>Dalibor Pek</v>
          </cell>
          <cell r="B61">
            <v>1968</v>
          </cell>
          <cell r="C61" t="str">
            <v>Raná</v>
          </cell>
          <cell r="D61" t="str">
            <v>CZ/C2</v>
          </cell>
          <cell r="E61" t="str">
            <v>M</v>
          </cell>
          <cell r="F61" t="str">
            <v/>
          </cell>
        </row>
        <row r="62">
          <cell r="A62" t="str">
            <v>Dana Novakova</v>
          </cell>
          <cell r="B62">
            <v>1965</v>
          </cell>
          <cell r="C62" t="str">
            <v>Mladá Boleslav</v>
          </cell>
          <cell r="D62" t="str">
            <v>CZ/C1</v>
          </cell>
          <cell r="E62" t="str">
            <v>F</v>
          </cell>
          <cell r="F62" t="str">
            <v/>
          </cell>
        </row>
        <row r="63">
          <cell r="A63" t="str">
            <v>Danes Grula</v>
          </cell>
          <cell r="B63">
            <v>1961</v>
          </cell>
          <cell r="C63" t="str">
            <v>Medlánky</v>
          </cell>
          <cell r="D63" t="str">
            <v>CZ/M</v>
          </cell>
          <cell r="E63" t="str">
            <v>M</v>
          </cell>
          <cell r="F63" t="str">
            <v/>
          </cell>
        </row>
        <row r="64">
          <cell r="A64" t="str">
            <v>Daniel Adamec</v>
          </cell>
          <cell r="B64">
            <v>1977</v>
          </cell>
          <cell r="C64" t="str">
            <v>Hranice</v>
          </cell>
          <cell r="D64" t="str">
            <v>CZ/M</v>
          </cell>
          <cell r="E64" t="str">
            <v>M</v>
          </cell>
          <cell r="F64" t="str">
            <v/>
          </cell>
        </row>
        <row r="65">
          <cell r="A65" t="str">
            <v>Daniel Brichta</v>
          </cell>
          <cell r="B65">
            <v>1962</v>
          </cell>
          <cell r="C65" t="str">
            <v>GAC Benešov</v>
          </cell>
          <cell r="D65" t="str">
            <v>CZ/C1</v>
          </cell>
          <cell r="E65" t="str">
            <v>M</v>
          </cell>
          <cell r="F65" t="str">
            <v/>
          </cell>
        </row>
        <row r="66">
          <cell r="A66" t="str">
            <v>Daniel Devecka</v>
          </cell>
          <cell r="B66">
            <v>1981</v>
          </cell>
          <cell r="C66" t="str">
            <v>Vlašim</v>
          </cell>
          <cell r="D66" t="str">
            <v>CZ/C1</v>
          </cell>
          <cell r="E66" t="str">
            <v>M</v>
          </cell>
          <cell r="F66" t="str">
            <v/>
          </cell>
        </row>
        <row r="67">
          <cell r="A67" t="str">
            <v>Daniel Dvorak</v>
          </cell>
          <cell r="B67">
            <v>1980</v>
          </cell>
          <cell r="C67" t="str">
            <v>Letkov</v>
          </cell>
          <cell r="D67" t="str">
            <v>CZ/C1</v>
          </cell>
          <cell r="E67" t="str">
            <v>M</v>
          </cell>
          <cell r="F67" t="str">
            <v/>
          </cell>
        </row>
        <row r="68">
          <cell r="A68" t="str">
            <v>Daniel Krasnicky</v>
          </cell>
          <cell r="B68">
            <v>1984</v>
          </cell>
          <cell r="C68" t="str">
            <v>Příbram</v>
          </cell>
          <cell r="D68" t="str">
            <v>CZ/C1</v>
          </cell>
          <cell r="E68" t="str">
            <v>M</v>
          </cell>
          <cell r="F68" t="str">
            <v/>
          </cell>
        </row>
        <row r="69">
          <cell r="A69" t="str">
            <v>Daniel Marek</v>
          </cell>
          <cell r="B69">
            <v>1983</v>
          </cell>
          <cell r="C69" t="str">
            <v>Hosín</v>
          </cell>
          <cell r="D69" t="str">
            <v>CZ/C1</v>
          </cell>
          <cell r="E69" t="str">
            <v>M</v>
          </cell>
          <cell r="F69" t="str">
            <v/>
          </cell>
        </row>
        <row r="70">
          <cell r="A70" t="str">
            <v>Daniel Moravek</v>
          </cell>
          <cell r="B70">
            <v>1973</v>
          </cell>
          <cell r="C70" t="str">
            <v>Hodkovice</v>
          </cell>
          <cell r="D70" t="str">
            <v>CZ/C2</v>
          </cell>
          <cell r="E70" t="str">
            <v>M</v>
          </cell>
          <cell r="F70" t="str">
            <v/>
          </cell>
        </row>
        <row r="71">
          <cell r="A71" t="str">
            <v>Daniel Novak</v>
          </cell>
          <cell r="B71">
            <v>1971</v>
          </cell>
          <cell r="C71" t="str">
            <v>Letkov</v>
          </cell>
          <cell r="D71" t="str">
            <v>CZ/C1</v>
          </cell>
          <cell r="E71" t="str">
            <v>M</v>
          </cell>
          <cell r="F71" t="str">
            <v/>
          </cell>
        </row>
        <row r="72">
          <cell r="A72" t="str">
            <v>Daniel Ryba</v>
          </cell>
          <cell r="B72">
            <v>1994</v>
          </cell>
          <cell r="C72" t="str">
            <v>Dvůr Králové</v>
          </cell>
          <cell r="D72" t="str">
            <v>CZ/C2</v>
          </cell>
          <cell r="E72" t="str">
            <v>M</v>
          </cell>
          <cell r="F72" t="str">
            <v/>
          </cell>
        </row>
        <row r="73">
          <cell r="A73" t="str">
            <v>Daniel Sirmer</v>
          </cell>
          <cell r="B73">
            <v>2005</v>
          </cell>
          <cell r="C73" t="str">
            <v>Jihlava</v>
          </cell>
          <cell r="D73" t="str">
            <v>CZ/M</v>
          </cell>
          <cell r="E73" t="str">
            <v>M</v>
          </cell>
          <cell r="F73" t="str">
            <v>Junior v roce 2026</v>
          </cell>
        </row>
        <row r="74">
          <cell r="A74" t="str">
            <v>Daniel Suchy</v>
          </cell>
          <cell r="B74">
            <v>1995</v>
          </cell>
          <cell r="C74" t="str">
            <v>Hranice</v>
          </cell>
          <cell r="D74" t="str">
            <v>CZ/M</v>
          </cell>
          <cell r="E74" t="str">
            <v>M</v>
          </cell>
          <cell r="F74" t="str">
            <v/>
          </cell>
        </row>
        <row r="75">
          <cell r="A75" t="str">
            <v>Daniela Frankova</v>
          </cell>
          <cell r="B75">
            <v>1997</v>
          </cell>
          <cell r="C75" t="str">
            <v>Jaroměř</v>
          </cell>
          <cell r="D75" t="str">
            <v>CZ/C2</v>
          </cell>
          <cell r="E75" t="str">
            <v>M</v>
          </cell>
          <cell r="F75" t="str">
            <v/>
          </cell>
        </row>
        <row r="76">
          <cell r="A76" t="str">
            <v>Daniela Stepankova</v>
          </cell>
          <cell r="B76">
            <v>1988</v>
          </cell>
          <cell r="C76" t="str">
            <v>Hosín</v>
          </cell>
          <cell r="D76" t="str">
            <v>CZ/C1</v>
          </cell>
          <cell r="E76" t="str">
            <v>F</v>
          </cell>
          <cell r="F76" t="str">
            <v/>
          </cell>
        </row>
        <row r="77">
          <cell r="A77" t="str">
            <v>David Benda</v>
          </cell>
          <cell r="B77">
            <v>1974</v>
          </cell>
          <cell r="C77" t="str">
            <v>Letňany</v>
          </cell>
          <cell r="D77" t="str">
            <v>CZ/C1</v>
          </cell>
          <cell r="E77" t="str">
            <v>M</v>
          </cell>
          <cell r="F77" t="str">
            <v/>
          </cell>
        </row>
        <row r="78">
          <cell r="A78" t="str">
            <v>David Brunclik</v>
          </cell>
          <cell r="B78">
            <v>2006</v>
          </cell>
          <cell r="C78" t="str">
            <v>Zbraslavice</v>
          </cell>
          <cell r="D78" t="str">
            <v>CZ/C1</v>
          </cell>
          <cell r="E78" t="str">
            <v>M</v>
          </cell>
          <cell r="F78" t="str">
            <v>Junior v roce 2026</v>
          </cell>
        </row>
        <row r="79">
          <cell r="A79" t="str">
            <v>David Cisar</v>
          </cell>
          <cell r="B79">
            <v>1987</v>
          </cell>
          <cell r="C79" t="str">
            <v>Křižanov</v>
          </cell>
          <cell r="D79" t="str">
            <v>CZ/M</v>
          </cell>
          <cell r="E79" t="str">
            <v>M</v>
          </cell>
          <cell r="F79" t="str">
            <v/>
          </cell>
        </row>
        <row r="80">
          <cell r="A80" t="str">
            <v>David Kaspar</v>
          </cell>
          <cell r="B80">
            <v>1993</v>
          </cell>
          <cell r="C80" t="str">
            <v>Jaroměř</v>
          </cell>
          <cell r="D80" t="str">
            <v>CZ/C2</v>
          </cell>
          <cell r="E80" t="str">
            <v>M</v>
          </cell>
          <cell r="F80" t="str">
            <v/>
          </cell>
        </row>
        <row r="81">
          <cell r="A81" t="str">
            <v>David Kraus</v>
          </cell>
          <cell r="B81">
            <v>1990</v>
          </cell>
          <cell r="C81" t="str">
            <v>Olomouc</v>
          </cell>
          <cell r="D81" t="str">
            <v>CZ/M</v>
          </cell>
          <cell r="E81" t="str">
            <v>M</v>
          </cell>
          <cell r="F81" t="str">
            <v/>
          </cell>
        </row>
        <row r="82">
          <cell r="A82" t="str">
            <v>David Krcil</v>
          </cell>
          <cell r="B82">
            <v>1976</v>
          </cell>
          <cell r="C82" t="str">
            <v>Raná</v>
          </cell>
          <cell r="D82" t="str">
            <v>CZ/C2</v>
          </cell>
          <cell r="E82" t="str">
            <v>M</v>
          </cell>
          <cell r="F82" t="str">
            <v/>
          </cell>
        </row>
        <row r="83">
          <cell r="A83" t="str">
            <v>David Londa</v>
          </cell>
          <cell r="B83">
            <v>1973</v>
          </cell>
          <cell r="C83" t="str">
            <v>Mladá Boleslav</v>
          </cell>
          <cell r="D83" t="str">
            <v>CZ/C1</v>
          </cell>
          <cell r="E83" t="str">
            <v>M</v>
          </cell>
          <cell r="F83" t="str">
            <v/>
          </cell>
        </row>
        <row r="84">
          <cell r="A84" t="str">
            <v>David Mach</v>
          </cell>
          <cell r="B84">
            <v>1994</v>
          </cell>
          <cell r="C84" t="str">
            <v>Hronov</v>
          </cell>
          <cell r="D84" t="str">
            <v>CZ/C2</v>
          </cell>
          <cell r="E84" t="str">
            <v>M</v>
          </cell>
          <cell r="F84" t="str">
            <v/>
          </cell>
        </row>
        <row r="85">
          <cell r="A85" t="str">
            <v>David Marek</v>
          </cell>
          <cell r="B85">
            <v>1991</v>
          </cell>
          <cell r="C85" t="str">
            <v>Křižanov</v>
          </cell>
          <cell r="D85" t="str">
            <v>CZ/M</v>
          </cell>
          <cell r="E85" t="str">
            <v>M</v>
          </cell>
          <cell r="F85" t="str">
            <v/>
          </cell>
        </row>
        <row r="86">
          <cell r="A86" t="str">
            <v>David Nenicka</v>
          </cell>
          <cell r="B86">
            <v>2005</v>
          </cell>
          <cell r="C86" t="str">
            <v>Hranice</v>
          </cell>
          <cell r="D86" t="str">
            <v>CZ/M</v>
          </cell>
          <cell r="E86" t="str">
            <v>M</v>
          </cell>
          <cell r="F86" t="str">
            <v>Junior v roce 2026</v>
          </cell>
        </row>
        <row r="87">
          <cell r="A87" t="str">
            <v>David Novotny</v>
          </cell>
          <cell r="B87">
            <v>1984</v>
          </cell>
          <cell r="C87" t="str">
            <v>Polička</v>
          </cell>
          <cell r="D87" t="str">
            <v>CZ/C2</v>
          </cell>
          <cell r="E87" t="str">
            <v>M</v>
          </cell>
          <cell r="F87" t="str">
            <v/>
          </cell>
        </row>
        <row r="88">
          <cell r="A88" t="str">
            <v>David Popovsky</v>
          </cell>
          <cell r="B88">
            <v>1976</v>
          </cell>
          <cell r="C88" t="str">
            <v>Rakovník</v>
          </cell>
          <cell r="D88" t="str">
            <v>CZ/C1</v>
          </cell>
          <cell r="E88" t="str">
            <v>M</v>
          </cell>
          <cell r="F88" t="str">
            <v/>
          </cell>
        </row>
        <row r="89">
          <cell r="A89" t="str">
            <v>David Prihoda</v>
          </cell>
          <cell r="B89">
            <v>1994</v>
          </cell>
          <cell r="C89" t="str">
            <v>Hranice</v>
          </cell>
          <cell r="D89" t="str">
            <v>CZ/M</v>
          </cell>
          <cell r="E89" t="str">
            <v>M</v>
          </cell>
          <cell r="F89" t="str">
            <v/>
          </cell>
        </row>
        <row r="90">
          <cell r="A90" t="str">
            <v>David Rozporka</v>
          </cell>
          <cell r="B90">
            <v>1994</v>
          </cell>
          <cell r="C90" t="str">
            <v>Hronov</v>
          </cell>
          <cell r="D90" t="str">
            <v>CZ/C2</v>
          </cell>
          <cell r="E90" t="str">
            <v>M</v>
          </cell>
          <cell r="F90" t="str">
            <v/>
          </cell>
        </row>
        <row r="91">
          <cell r="A91" t="str">
            <v>David Rytina</v>
          </cell>
          <cell r="B91">
            <v>1983</v>
          </cell>
          <cell r="C91" t="str">
            <v>Zbraslavice</v>
          </cell>
          <cell r="D91" t="str">
            <v>CZ/C1</v>
          </cell>
          <cell r="E91" t="str">
            <v>M</v>
          </cell>
          <cell r="F91" t="str">
            <v/>
          </cell>
        </row>
        <row r="92">
          <cell r="A92" t="str">
            <v>David Riha</v>
          </cell>
          <cell r="B92">
            <v>1983</v>
          </cell>
          <cell r="C92" t="str">
            <v>Vlašim</v>
          </cell>
          <cell r="D92" t="str">
            <v>CZ/C1</v>
          </cell>
          <cell r="E92" t="str">
            <v>M</v>
          </cell>
          <cell r="F92" t="str">
            <v/>
          </cell>
        </row>
        <row r="93">
          <cell r="A93" t="str">
            <v>David Sachl</v>
          </cell>
          <cell r="B93">
            <v>1978</v>
          </cell>
          <cell r="C93" t="str">
            <v>Kralupy</v>
          </cell>
          <cell r="D93" t="str">
            <v>CZ/C1</v>
          </cell>
          <cell r="E93" t="str">
            <v>M</v>
          </cell>
          <cell r="F93" t="str">
            <v/>
          </cell>
        </row>
        <row r="94">
          <cell r="A94" t="str">
            <v>David Tejnora</v>
          </cell>
          <cell r="B94">
            <v>1982</v>
          </cell>
          <cell r="C94" t="str">
            <v>Jaroměř</v>
          </cell>
          <cell r="D94" t="str">
            <v>CZ/C2</v>
          </cell>
          <cell r="E94" t="str">
            <v>M</v>
          </cell>
          <cell r="F94" t="str">
            <v/>
          </cell>
        </row>
        <row r="95">
          <cell r="A95" t="str">
            <v>David Trnecka</v>
          </cell>
          <cell r="B95">
            <v>1979</v>
          </cell>
          <cell r="C95" t="str">
            <v>Medlánky</v>
          </cell>
          <cell r="D95" t="str">
            <v>CZ/M</v>
          </cell>
          <cell r="E95" t="str">
            <v>M</v>
          </cell>
          <cell r="F95" t="str">
            <v/>
          </cell>
        </row>
        <row r="96">
          <cell r="A96" t="str">
            <v>David Vrchota</v>
          </cell>
          <cell r="B96">
            <v>1976</v>
          </cell>
          <cell r="C96" t="str">
            <v>Jaroměř</v>
          </cell>
          <cell r="D96" t="str">
            <v>CZ/C2</v>
          </cell>
          <cell r="E96" t="str">
            <v>M</v>
          </cell>
          <cell r="F96" t="str">
            <v/>
          </cell>
        </row>
        <row r="97">
          <cell r="A97" t="str">
            <v>David Zapletal</v>
          </cell>
          <cell r="B97">
            <v>1970</v>
          </cell>
          <cell r="C97" t="str">
            <v>Mladá Boleslav</v>
          </cell>
          <cell r="D97" t="str">
            <v>CZ/C1</v>
          </cell>
          <cell r="E97" t="str">
            <v>M</v>
          </cell>
          <cell r="F97" t="str">
            <v/>
          </cell>
        </row>
        <row r="98">
          <cell r="A98" t="str">
            <v>David Zatecka</v>
          </cell>
          <cell r="B98">
            <v>1993</v>
          </cell>
          <cell r="C98" t="str">
            <v>GAC Benešov</v>
          </cell>
          <cell r="D98" t="str">
            <v>CZ/C1</v>
          </cell>
          <cell r="E98" t="str">
            <v>M</v>
          </cell>
          <cell r="F98" t="str">
            <v/>
          </cell>
        </row>
        <row r="99">
          <cell r="A99" t="str">
            <v>Dusan Gadas</v>
          </cell>
          <cell r="B99">
            <v>1960</v>
          </cell>
          <cell r="C99" t="str">
            <v>Hranice</v>
          </cell>
          <cell r="D99" t="str">
            <v>CZ/M</v>
          </cell>
          <cell r="E99" t="str">
            <v>M</v>
          </cell>
          <cell r="F99" t="str">
            <v/>
          </cell>
        </row>
        <row r="100">
          <cell r="A100" t="str">
            <v>Dusan Kmet</v>
          </cell>
          <cell r="B100">
            <v>1972</v>
          </cell>
          <cell r="C100" t="str">
            <v>Křižanov</v>
          </cell>
          <cell r="D100" t="str">
            <v>CZ/M</v>
          </cell>
          <cell r="E100" t="str">
            <v>M</v>
          </cell>
          <cell r="F100" t="str">
            <v/>
          </cell>
        </row>
        <row r="101">
          <cell r="A101" t="str">
            <v>Dusan Patocka</v>
          </cell>
          <cell r="B101">
            <v>1972</v>
          </cell>
          <cell r="C101" t="str">
            <v>Vrchlabí</v>
          </cell>
          <cell r="D101" t="str">
            <v>CZ/C2</v>
          </cell>
          <cell r="E101" t="str">
            <v>M</v>
          </cell>
          <cell r="F101" t="str">
            <v/>
          </cell>
        </row>
        <row r="102">
          <cell r="A102" t="str">
            <v>Dusan Sys</v>
          </cell>
          <cell r="B102">
            <v>1977</v>
          </cell>
          <cell r="C102" t="str">
            <v>Šumperk</v>
          </cell>
          <cell r="D102" t="str">
            <v>CZ/M</v>
          </cell>
          <cell r="E102" t="str">
            <v>M</v>
          </cell>
          <cell r="F102" t="str">
            <v/>
          </cell>
        </row>
        <row r="103">
          <cell r="A103" t="str">
            <v>Dusan Zerzan</v>
          </cell>
          <cell r="B103">
            <v>1970</v>
          </cell>
          <cell r="C103" t="str">
            <v>Šumperk</v>
          </cell>
          <cell r="D103" t="str">
            <v>CZ/M</v>
          </cell>
          <cell r="E103" t="str">
            <v>M</v>
          </cell>
          <cell r="F103" t="str">
            <v/>
          </cell>
        </row>
        <row r="104">
          <cell r="A104" t="str">
            <v>Eduard Niko</v>
          </cell>
          <cell r="B104">
            <v>1988</v>
          </cell>
          <cell r="C104" t="str">
            <v>Zbraslavice</v>
          </cell>
          <cell r="D104" t="str">
            <v>CZ/C1</v>
          </cell>
          <cell r="E104" t="str">
            <v>M</v>
          </cell>
          <cell r="F104" t="str">
            <v/>
          </cell>
        </row>
        <row r="105">
          <cell r="A105" t="str">
            <v>Eduard Svoboda</v>
          </cell>
          <cell r="B105">
            <v>1957</v>
          </cell>
          <cell r="C105" t="str">
            <v>Raná</v>
          </cell>
          <cell r="D105" t="str">
            <v>CZ/C2</v>
          </cell>
          <cell r="E105" t="str">
            <v>M</v>
          </cell>
          <cell r="F105" t="str">
            <v/>
          </cell>
        </row>
        <row r="106">
          <cell r="A106" t="str">
            <v>Eliska Bohunovska</v>
          </cell>
          <cell r="B106">
            <v>2001</v>
          </cell>
          <cell r="C106" t="str">
            <v>Hranice</v>
          </cell>
          <cell r="D106" t="str">
            <v>CZ/M</v>
          </cell>
          <cell r="E106" t="str">
            <v>F</v>
          </cell>
          <cell r="F106" t="str">
            <v>Junior v roce 2026</v>
          </cell>
        </row>
        <row r="107">
          <cell r="A107" t="str">
            <v>Eliska Kudejova</v>
          </cell>
          <cell r="B107">
            <v>2006</v>
          </cell>
          <cell r="C107" t="str">
            <v>Strakonice</v>
          </cell>
          <cell r="D107" t="str">
            <v>CZ/C1</v>
          </cell>
          <cell r="E107" t="str">
            <v>F</v>
          </cell>
          <cell r="F107" t="str">
            <v>Junior v roce 2026</v>
          </cell>
        </row>
        <row r="108">
          <cell r="A108" t="str">
            <v>Eva Cerna</v>
          </cell>
          <cell r="B108">
            <v>1964</v>
          </cell>
          <cell r="C108" t="str">
            <v>Příbram</v>
          </cell>
          <cell r="D108" t="str">
            <v>CZ/C1</v>
          </cell>
          <cell r="E108" t="str">
            <v>F</v>
          </cell>
          <cell r="F108" t="str">
            <v/>
          </cell>
        </row>
        <row r="109">
          <cell r="A109" t="str">
            <v>Eva Klapkova</v>
          </cell>
          <cell r="B109">
            <v>1993</v>
          </cell>
          <cell r="C109" t="str">
            <v>Raná</v>
          </cell>
          <cell r="D109" t="str">
            <v>CZ/C2</v>
          </cell>
          <cell r="E109" t="str">
            <v>F</v>
          </cell>
          <cell r="F109" t="str">
            <v/>
          </cell>
        </row>
        <row r="110">
          <cell r="A110" t="str">
            <v>Evzen Skala</v>
          </cell>
          <cell r="B110">
            <v>1954</v>
          </cell>
          <cell r="C110" t="str">
            <v>Vrchlabí</v>
          </cell>
          <cell r="D110" t="str">
            <v>CZ/C2</v>
          </cell>
          <cell r="E110" t="str">
            <v>M</v>
          </cell>
          <cell r="F110" t="str">
            <v/>
          </cell>
        </row>
        <row r="111">
          <cell r="A111" t="str">
            <v>Fabian Curda</v>
          </cell>
          <cell r="B111">
            <v>2004</v>
          </cell>
          <cell r="C111" t="str">
            <v>Zábřeh</v>
          </cell>
          <cell r="D111" t="str">
            <v>CZ/M</v>
          </cell>
          <cell r="E111" t="str">
            <v>M</v>
          </cell>
          <cell r="F111" t="str">
            <v>Junior v roce 2026</v>
          </cell>
        </row>
        <row r="112">
          <cell r="A112" t="str">
            <v>Filip Borůvka</v>
          </cell>
          <cell r="B112">
            <v>2004</v>
          </cell>
          <cell r="C112" t="str">
            <v>Nové Město nad Metují</v>
          </cell>
          <cell r="D112" t="str">
            <v>CZ/C2</v>
          </cell>
          <cell r="E112" t="str">
            <v>M</v>
          </cell>
          <cell r="F112" t="str">
            <v>Junior v roce 2026</v>
          </cell>
        </row>
        <row r="113">
          <cell r="A113" t="str">
            <v>Filip Graf</v>
          </cell>
          <cell r="B113">
            <v>1981</v>
          </cell>
          <cell r="C113" t="str">
            <v>Křižanov</v>
          </cell>
          <cell r="D113" t="str">
            <v>CZ/M</v>
          </cell>
          <cell r="E113" t="str">
            <v>M</v>
          </cell>
          <cell r="F113" t="str">
            <v/>
          </cell>
        </row>
        <row r="114">
          <cell r="A114" t="str">
            <v>Filip Malik</v>
          </cell>
          <cell r="B114">
            <v>2001</v>
          </cell>
          <cell r="C114" t="str">
            <v>Letňany</v>
          </cell>
          <cell r="D114" t="str">
            <v>CZ/C1</v>
          </cell>
          <cell r="E114" t="str">
            <v>M</v>
          </cell>
          <cell r="F114" t="str">
            <v>Junior v roce 2026</v>
          </cell>
        </row>
        <row r="115">
          <cell r="A115" t="str">
            <v>Filip Mrstny</v>
          </cell>
          <cell r="B115">
            <v>2006</v>
          </cell>
          <cell r="C115" t="str">
            <v>Beroun</v>
          </cell>
          <cell r="D115" t="str">
            <v>CZ/C1</v>
          </cell>
          <cell r="E115" t="str">
            <v>M</v>
          </cell>
          <cell r="F115" t="str">
            <v>Junior v roce 2026</v>
          </cell>
        </row>
        <row r="116">
          <cell r="A116" t="str">
            <v>Filip Neumann</v>
          </cell>
          <cell r="B116">
            <v>1977</v>
          </cell>
          <cell r="C116" t="str">
            <v>GAC Benešov</v>
          </cell>
          <cell r="D116" t="str">
            <v>CZ/C1</v>
          </cell>
          <cell r="E116" t="str">
            <v>M</v>
          </cell>
          <cell r="F116" t="str">
            <v/>
          </cell>
        </row>
        <row r="117">
          <cell r="A117" t="str">
            <v>Filip Riabec</v>
          </cell>
          <cell r="B117">
            <v>2006</v>
          </cell>
          <cell r="C117" t="str">
            <v>Broumov</v>
          </cell>
          <cell r="D117" t="str">
            <v>CZ/C2</v>
          </cell>
          <cell r="E117" t="str">
            <v>M</v>
          </cell>
          <cell r="F117" t="str">
            <v>Junior v roce 2026</v>
          </cell>
        </row>
        <row r="118">
          <cell r="A118" t="str">
            <v>Filip Sklenar</v>
          </cell>
          <cell r="B118">
            <v>1990</v>
          </cell>
          <cell r="C118" t="str">
            <v>Žamberk</v>
          </cell>
          <cell r="D118" t="str">
            <v>CZ/C2</v>
          </cell>
          <cell r="E118" t="str">
            <v>M</v>
          </cell>
          <cell r="F118" t="str">
            <v/>
          </cell>
        </row>
        <row r="119">
          <cell r="A119" t="str">
            <v>Filip Sirc</v>
          </cell>
          <cell r="B119">
            <v>1993</v>
          </cell>
          <cell r="C119" t="str">
            <v>Letňany</v>
          </cell>
          <cell r="D119" t="str">
            <v>CZ/C1</v>
          </cell>
          <cell r="E119" t="str">
            <v>M</v>
          </cell>
          <cell r="F119" t="str">
            <v/>
          </cell>
        </row>
        <row r="120">
          <cell r="A120" t="str">
            <v>Filip Vita</v>
          </cell>
          <cell r="B120">
            <v>2001</v>
          </cell>
          <cell r="C120" t="str">
            <v>Kroměříž</v>
          </cell>
          <cell r="D120" t="str">
            <v>CZ/M</v>
          </cell>
          <cell r="E120" t="str">
            <v>M</v>
          </cell>
          <cell r="F120" t="str">
            <v>Junior v roce 2026</v>
          </cell>
        </row>
        <row r="121">
          <cell r="A121" t="str">
            <v>Frantisek Brozman</v>
          </cell>
          <cell r="B121">
            <v>1960</v>
          </cell>
          <cell r="C121" t="str">
            <v>Tachov</v>
          </cell>
          <cell r="D121" t="str">
            <v>CZ/C1</v>
          </cell>
          <cell r="E121" t="str">
            <v>M</v>
          </cell>
          <cell r="F121" t="str">
            <v/>
          </cell>
        </row>
        <row r="122">
          <cell r="A122" t="str">
            <v>Frantisek Filandr</v>
          </cell>
          <cell r="B122">
            <v>1956</v>
          </cell>
          <cell r="C122" t="str">
            <v>Most</v>
          </cell>
          <cell r="D122" t="str">
            <v>CZ/C2</v>
          </cell>
          <cell r="E122" t="str">
            <v>M</v>
          </cell>
          <cell r="F122" t="str">
            <v/>
          </cell>
        </row>
        <row r="123">
          <cell r="A123" t="str">
            <v>Frantisek Hubacek</v>
          </cell>
          <cell r="B123">
            <v>1978</v>
          </cell>
          <cell r="C123" t="str">
            <v>Točná</v>
          </cell>
          <cell r="D123" t="str">
            <v>CZ/C1</v>
          </cell>
          <cell r="E123" t="str">
            <v>M</v>
          </cell>
          <cell r="F123" t="str">
            <v/>
          </cell>
        </row>
        <row r="124">
          <cell r="A124" t="str">
            <v>Frantisek Komarek</v>
          </cell>
          <cell r="B124">
            <v>1985</v>
          </cell>
          <cell r="C124" t="str">
            <v>Zbraslavice</v>
          </cell>
          <cell r="D124" t="str">
            <v>CZ/C1</v>
          </cell>
          <cell r="E124" t="str">
            <v>M</v>
          </cell>
          <cell r="F124" t="str">
            <v/>
          </cell>
        </row>
        <row r="125">
          <cell r="A125" t="str">
            <v>Frantisek Kriz</v>
          </cell>
          <cell r="B125">
            <v>1961</v>
          </cell>
          <cell r="C125" t="str">
            <v>Toužim</v>
          </cell>
          <cell r="D125" t="str">
            <v>CZ/C1</v>
          </cell>
          <cell r="E125" t="str">
            <v>M</v>
          </cell>
          <cell r="F125" t="str">
            <v/>
          </cell>
        </row>
        <row r="126">
          <cell r="A126" t="str">
            <v>Frantisek Marek</v>
          </cell>
          <cell r="B126">
            <v>1960</v>
          </cell>
          <cell r="C126" t="str">
            <v>Křižanov</v>
          </cell>
          <cell r="D126" t="str">
            <v>CZ/M</v>
          </cell>
          <cell r="E126" t="str">
            <v>M</v>
          </cell>
          <cell r="F126" t="str">
            <v/>
          </cell>
        </row>
        <row r="127">
          <cell r="A127" t="str">
            <v>Frantisek Matousek</v>
          </cell>
          <cell r="B127">
            <v>1937</v>
          </cell>
          <cell r="C127" t="str">
            <v>Nové Město nad Metují</v>
          </cell>
          <cell r="D127" t="str">
            <v>CZ/C2</v>
          </cell>
          <cell r="E127" t="str">
            <v>M</v>
          </cell>
          <cell r="F127" t="str">
            <v/>
          </cell>
        </row>
        <row r="128">
          <cell r="A128" t="str">
            <v>Frantisek Myska</v>
          </cell>
          <cell r="B128">
            <v>1968</v>
          </cell>
          <cell r="C128" t="str">
            <v>Most</v>
          </cell>
          <cell r="D128" t="str">
            <v>CZ/C2</v>
          </cell>
          <cell r="E128" t="str">
            <v>M</v>
          </cell>
          <cell r="F128" t="str">
            <v/>
          </cell>
        </row>
        <row r="129">
          <cell r="A129" t="str">
            <v>Frantisek Pycha</v>
          </cell>
          <cell r="B129">
            <v>1972</v>
          </cell>
          <cell r="C129" t="str">
            <v>Chrudim</v>
          </cell>
          <cell r="D129" t="str">
            <v>CZ/C2</v>
          </cell>
          <cell r="E129" t="str">
            <v>M</v>
          </cell>
          <cell r="F129" t="str">
            <v/>
          </cell>
        </row>
        <row r="130">
          <cell r="A130" t="str">
            <v>Frantisek Soucek</v>
          </cell>
          <cell r="B130">
            <v>1945</v>
          </cell>
          <cell r="C130" t="str">
            <v>Dvůr Králové</v>
          </cell>
          <cell r="D130" t="str">
            <v>CZ/C2</v>
          </cell>
          <cell r="E130" t="str">
            <v>M</v>
          </cell>
          <cell r="F130" t="str">
            <v/>
          </cell>
        </row>
        <row r="131">
          <cell r="A131" t="str">
            <v>Frantisek Sindelar</v>
          </cell>
          <cell r="B131">
            <v>1954</v>
          </cell>
          <cell r="C131" t="str">
            <v>Kralupy</v>
          </cell>
          <cell r="D131" t="str">
            <v>CZ/C1</v>
          </cell>
          <cell r="E131" t="str">
            <v>M</v>
          </cell>
          <cell r="F131" t="str">
            <v/>
          </cell>
        </row>
        <row r="132">
          <cell r="A132" t="str">
            <v>Frantisek Suna</v>
          </cell>
          <cell r="B132">
            <v>1983</v>
          </cell>
          <cell r="C132" t="str">
            <v>Hosín</v>
          </cell>
          <cell r="D132" t="str">
            <v>CZ/C1</v>
          </cell>
          <cell r="E132" t="str">
            <v>M</v>
          </cell>
          <cell r="F132" t="str">
            <v/>
          </cell>
        </row>
        <row r="133">
          <cell r="A133" t="str">
            <v>Frantisek Vancura</v>
          </cell>
          <cell r="B133">
            <v>1966</v>
          </cell>
          <cell r="C133" t="str">
            <v>Hranice</v>
          </cell>
          <cell r="D133" t="str">
            <v>CZ/M</v>
          </cell>
          <cell r="E133" t="str">
            <v>M</v>
          </cell>
          <cell r="F133" t="str">
            <v/>
          </cell>
        </row>
        <row r="134">
          <cell r="A134" t="str">
            <v>Gabriela Cervena</v>
          </cell>
          <cell r="B134">
            <v>1966</v>
          </cell>
          <cell r="C134" t="str">
            <v>Jaroměř</v>
          </cell>
          <cell r="D134" t="str">
            <v>CZ/C2</v>
          </cell>
          <cell r="E134" t="str">
            <v>F</v>
          </cell>
          <cell r="F134" t="str">
            <v/>
          </cell>
        </row>
        <row r="135">
          <cell r="A135" t="str">
            <v>Gustav Vrbacky</v>
          </cell>
          <cell r="B135">
            <v>1933</v>
          </cell>
          <cell r="C135" t="str">
            <v>Medlánky</v>
          </cell>
          <cell r="D135" t="str">
            <v>CZ/M</v>
          </cell>
          <cell r="E135" t="str">
            <v>M</v>
          </cell>
          <cell r="F135" t="str">
            <v/>
          </cell>
        </row>
        <row r="136">
          <cell r="A136" t="str">
            <v>Hana Treslova</v>
          </cell>
          <cell r="B136">
            <v>1991</v>
          </cell>
          <cell r="C136" t="str">
            <v>Raná</v>
          </cell>
          <cell r="D136" t="str">
            <v>CZ/C2</v>
          </cell>
          <cell r="E136" t="str">
            <v>F</v>
          </cell>
          <cell r="F136" t="str">
            <v/>
          </cell>
        </row>
        <row r="137">
          <cell r="A137" t="str">
            <v>Hana Vokrinkova</v>
          </cell>
          <cell r="B137">
            <v>1958</v>
          </cell>
          <cell r="C137" t="str">
            <v>Hodkovice</v>
          </cell>
          <cell r="D137" t="str">
            <v>CZ/C2</v>
          </cell>
          <cell r="E137" t="str">
            <v>F</v>
          </cell>
          <cell r="F137" t="str">
            <v/>
          </cell>
        </row>
        <row r="138">
          <cell r="A138" t="str">
            <v>Hynek Pokorny</v>
          </cell>
          <cell r="B138">
            <v>1991</v>
          </cell>
          <cell r="C138" t="str">
            <v>Letňany</v>
          </cell>
          <cell r="D138" t="str">
            <v>CZ/C1</v>
          </cell>
          <cell r="E138" t="str">
            <v>M</v>
          </cell>
          <cell r="F138" t="str">
            <v/>
          </cell>
        </row>
        <row r="139">
          <cell r="A139" t="str">
            <v>Christof Madory</v>
          </cell>
          <cell r="B139">
            <v>1958</v>
          </cell>
          <cell r="C139" t="str">
            <v>Šumperk</v>
          </cell>
          <cell r="D139" t="str">
            <v>CZ/M</v>
          </cell>
          <cell r="E139" t="str">
            <v>M</v>
          </cell>
          <cell r="F139" t="str">
            <v/>
          </cell>
        </row>
        <row r="140">
          <cell r="A140" t="str">
            <v>Ilja Kopacek</v>
          </cell>
          <cell r="B140">
            <v>1943</v>
          </cell>
          <cell r="C140" t="str">
            <v>Jičín</v>
          </cell>
          <cell r="D140" t="str">
            <v>CZ/C2</v>
          </cell>
          <cell r="E140" t="str">
            <v>M</v>
          </cell>
          <cell r="F140" t="str">
            <v/>
          </cell>
        </row>
        <row r="141">
          <cell r="A141" t="str">
            <v>Ivan Filakovsky</v>
          </cell>
          <cell r="B141">
            <v>1965</v>
          </cell>
          <cell r="C141" t="str">
            <v>Medlánky</v>
          </cell>
          <cell r="D141" t="str">
            <v>CZ/M</v>
          </cell>
          <cell r="E141" t="str">
            <v>M</v>
          </cell>
          <cell r="F141" t="str">
            <v/>
          </cell>
        </row>
        <row r="142">
          <cell r="A142" t="str">
            <v>Ivan Harasta 65</v>
          </cell>
          <cell r="B142">
            <v>1965</v>
          </cell>
          <cell r="C142" t="str">
            <v>Toužim</v>
          </cell>
          <cell r="D142" t="str">
            <v>CZ/C1</v>
          </cell>
          <cell r="E142" t="str">
            <v>M</v>
          </cell>
          <cell r="F142" t="str">
            <v/>
          </cell>
        </row>
        <row r="143">
          <cell r="A143" t="str">
            <v>Ivan Harasta 98</v>
          </cell>
          <cell r="B143">
            <v>1998</v>
          </cell>
          <cell r="C143" t="str">
            <v>Toužim</v>
          </cell>
          <cell r="D143" t="str">
            <v>CZ/C1</v>
          </cell>
          <cell r="E143" t="str">
            <v>M</v>
          </cell>
          <cell r="F143" t="str">
            <v/>
          </cell>
        </row>
        <row r="144">
          <cell r="A144" t="str">
            <v>Ivan Kuzelka</v>
          </cell>
          <cell r="B144">
            <v>1945</v>
          </cell>
          <cell r="C144" t="str">
            <v>Havlíčkův Brod</v>
          </cell>
          <cell r="D144" t="str">
            <v>CZ/C2</v>
          </cell>
          <cell r="E144" t="str">
            <v>M</v>
          </cell>
          <cell r="F144" t="str">
            <v/>
          </cell>
        </row>
        <row r="145">
          <cell r="A145" t="str">
            <v>Ivan Ladr</v>
          </cell>
          <cell r="B145">
            <v>1940</v>
          </cell>
          <cell r="C145" t="str">
            <v>Dvůr Králové</v>
          </cell>
          <cell r="D145" t="str">
            <v>CZ/C2</v>
          </cell>
          <cell r="E145" t="str">
            <v>M</v>
          </cell>
          <cell r="F145" t="str">
            <v/>
          </cell>
        </row>
        <row r="146">
          <cell r="A146" t="str">
            <v>Ivan Morkovsky</v>
          </cell>
          <cell r="B146">
            <v>2008</v>
          </cell>
          <cell r="C146" t="str">
            <v>Polička</v>
          </cell>
          <cell r="D146" t="str">
            <v>CZ/C2</v>
          </cell>
          <cell r="E146" t="str">
            <v>M</v>
          </cell>
          <cell r="F146" t="str">
            <v>Junior v roce 2026</v>
          </cell>
        </row>
        <row r="147">
          <cell r="A147" t="str">
            <v>Ivan Novak</v>
          </cell>
          <cell r="B147">
            <v>1962</v>
          </cell>
          <cell r="C147" t="str">
            <v>Mladá Boleslav</v>
          </cell>
          <cell r="D147" t="str">
            <v>CZ/C1</v>
          </cell>
          <cell r="E147" t="str">
            <v>M</v>
          </cell>
          <cell r="F147" t="str">
            <v/>
          </cell>
        </row>
        <row r="148">
          <cell r="A148" t="str">
            <v>Ivan Tvrdik</v>
          </cell>
          <cell r="B148">
            <v>1997</v>
          </cell>
          <cell r="C148" t="str">
            <v>Letňany</v>
          </cell>
          <cell r="D148" t="str">
            <v>CZ/C1</v>
          </cell>
          <cell r="E148" t="str">
            <v>M</v>
          </cell>
          <cell r="F148" t="str">
            <v/>
          </cell>
        </row>
        <row r="149">
          <cell r="A149" t="str">
            <v>Ivo Burda</v>
          </cell>
          <cell r="B149">
            <v>1962</v>
          </cell>
          <cell r="C149" t="str">
            <v>Zbraslavice</v>
          </cell>
          <cell r="D149" t="str">
            <v>CZ/C1</v>
          </cell>
          <cell r="E149" t="str">
            <v>M</v>
          </cell>
          <cell r="F149" t="str">
            <v/>
          </cell>
        </row>
        <row r="150">
          <cell r="A150" t="str">
            <v>Ivo Nezval</v>
          </cell>
          <cell r="B150">
            <v>1964</v>
          </cell>
          <cell r="C150" t="str">
            <v>Šumperk</v>
          </cell>
          <cell r="D150" t="str">
            <v>CZ/M</v>
          </cell>
          <cell r="E150" t="str">
            <v>M</v>
          </cell>
          <cell r="F150" t="str">
            <v/>
          </cell>
        </row>
        <row r="151">
          <cell r="A151" t="str">
            <v>Ivo Vudarcik</v>
          </cell>
          <cell r="B151">
            <v>1994</v>
          </cell>
          <cell r="C151" t="str">
            <v>Rakovník</v>
          </cell>
          <cell r="D151" t="str">
            <v>CZ/C1</v>
          </cell>
          <cell r="E151" t="str">
            <v>M</v>
          </cell>
          <cell r="F151" t="str">
            <v/>
          </cell>
        </row>
        <row r="152">
          <cell r="A152" t="str">
            <v>Jacek Kerum</v>
          </cell>
          <cell r="B152">
            <v>1943</v>
          </cell>
          <cell r="C152" t="str">
            <v>Příbram</v>
          </cell>
          <cell r="D152" t="str">
            <v>CZ/C1</v>
          </cell>
          <cell r="E152" t="str">
            <v>M</v>
          </cell>
          <cell r="F152" t="str">
            <v/>
          </cell>
        </row>
        <row r="153">
          <cell r="A153" t="str">
            <v>Jakub Brotanek</v>
          </cell>
          <cell r="B153">
            <v>1985</v>
          </cell>
          <cell r="C153" t="str">
            <v>Roudnice</v>
          </cell>
          <cell r="D153" t="str">
            <v>CZ/C2</v>
          </cell>
          <cell r="E153" t="str">
            <v>M</v>
          </cell>
          <cell r="F153" t="str">
            <v/>
          </cell>
        </row>
        <row r="154">
          <cell r="A154" t="str">
            <v>Jakub Hlavacek</v>
          </cell>
          <cell r="B154">
            <v>1991</v>
          </cell>
          <cell r="C154" t="str">
            <v>Letkov</v>
          </cell>
          <cell r="D154" t="str">
            <v>CZ/C1</v>
          </cell>
          <cell r="E154" t="str">
            <v>M</v>
          </cell>
          <cell r="F154" t="str">
            <v/>
          </cell>
        </row>
        <row r="155">
          <cell r="A155" t="str">
            <v>Jakub Jezek</v>
          </cell>
          <cell r="B155">
            <v>2002</v>
          </cell>
          <cell r="C155" t="str">
            <v>Ústí nad Orlicí</v>
          </cell>
          <cell r="D155" t="str">
            <v>CZ/C2</v>
          </cell>
          <cell r="E155" t="str">
            <v>M</v>
          </cell>
          <cell r="F155" t="str">
            <v>Junior v roce 2026</v>
          </cell>
        </row>
        <row r="156">
          <cell r="A156" t="str">
            <v>Jakub Kmosek</v>
          </cell>
          <cell r="B156">
            <v>1978</v>
          </cell>
          <cell r="C156" t="str">
            <v>Zbraslavice</v>
          </cell>
          <cell r="D156" t="str">
            <v>CZ/C1</v>
          </cell>
          <cell r="E156" t="str">
            <v>M</v>
          </cell>
          <cell r="F156" t="str">
            <v/>
          </cell>
        </row>
        <row r="157">
          <cell r="A157" t="str">
            <v>Jakub Kohn</v>
          </cell>
          <cell r="B157">
            <v>1992</v>
          </cell>
          <cell r="C157" t="str">
            <v>Prostějov</v>
          </cell>
          <cell r="D157" t="str">
            <v>CZ/M</v>
          </cell>
          <cell r="E157" t="str">
            <v>M</v>
          </cell>
          <cell r="F157" t="str">
            <v/>
          </cell>
        </row>
        <row r="158">
          <cell r="A158" t="str">
            <v>Jakub Koudelka</v>
          </cell>
          <cell r="B158">
            <v>2000</v>
          </cell>
          <cell r="C158" t="str">
            <v>Křižanov</v>
          </cell>
          <cell r="D158" t="str">
            <v>CZ/M</v>
          </cell>
          <cell r="E158" t="str">
            <v>M</v>
          </cell>
          <cell r="F158" t="str">
            <v/>
          </cell>
        </row>
        <row r="159">
          <cell r="A159" t="str">
            <v>Jakub Malik</v>
          </cell>
          <cell r="B159">
            <v>1999</v>
          </cell>
          <cell r="C159" t="str">
            <v>Letňany</v>
          </cell>
          <cell r="D159" t="str">
            <v>CZ/C1</v>
          </cell>
          <cell r="E159" t="str">
            <v>M</v>
          </cell>
          <cell r="F159" t="str">
            <v/>
          </cell>
        </row>
        <row r="160">
          <cell r="A160" t="str">
            <v>Jakub Michalicka</v>
          </cell>
          <cell r="B160">
            <v>1993</v>
          </cell>
          <cell r="C160" t="str">
            <v>Rakovník</v>
          </cell>
          <cell r="D160" t="str">
            <v>CZ/C1</v>
          </cell>
          <cell r="E160" t="str">
            <v>M</v>
          </cell>
          <cell r="F160" t="str">
            <v/>
          </cell>
        </row>
        <row r="161">
          <cell r="A161" t="str">
            <v>Jakub Safar</v>
          </cell>
          <cell r="B161">
            <v>1990</v>
          </cell>
          <cell r="C161" t="str">
            <v>Olomouc</v>
          </cell>
          <cell r="D161" t="str">
            <v>CZ/M</v>
          </cell>
          <cell r="E161" t="str">
            <v>M</v>
          </cell>
          <cell r="F161" t="str">
            <v/>
          </cell>
        </row>
        <row r="162">
          <cell r="A162" t="str">
            <v>Jakub Sachl</v>
          </cell>
          <cell r="B162">
            <v>2006</v>
          </cell>
          <cell r="C162" t="str">
            <v>Kralupy</v>
          </cell>
          <cell r="D162" t="str">
            <v>CZ/C1</v>
          </cell>
          <cell r="E162" t="str">
            <v>M</v>
          </cell>
          <cell r="F162" t="str">
            <v>Junior v roce 2026</v>
          </cell>
        </row>
        <row r="163">
          <cell r="A163" t="str">
            <v>Jakub Spanger</v>
          </cell>
          <cell r="B163">
            <v>2002</v>
          </cell>
          <cell r="C163" t="str">
            <v>Jeseník</v>
          </cell>
          <cell r="D163" t="str">
            <v>CZ/M</v>
          </cell>
          <cell r="E163" t="str">
            <v>M</v>
          </cell>
          <cell r="F163" t="str">
            <v>Junior v roce 2026</v>
          </cell>
        </row>
        <row r="164">
          <cell r="A164" t="str">
            <v>Jakub Tiller</v>
          </cell>
          <cell r="B164">
            <v>1987</v>
          </cell>
          <cell r="C164" t="str">
            <v>Broumov</v>
          </cell>
          <cell r="D164" t="str">
            <v>CZ/C2</v>
          </cell>
          <cell r="E164" t="str">
            <v>M</v>
          </cell>
          <cell r="F164" t="str">
            <v/>
          </cell>
        </row>
        <row r="165">
          <cell r="A165" t="str">
            <v>Jakub Vimr</v>
          </cell>
          <cell r="B165">
            <v>1975</v>
          </cell>
          <cell r="C165" t="str">
            <v>GAC Benešov</v>
          </cell>
          <cell r="D165" t="str">
            <v>CZ/C1</v>
          </cell>
          <cell r="E165" t="str">
            <v>M</v>
          </cell>
          <cell r="F165" t="str">
            <v/>
          </cell>
        </row>
        <row r="166">
          <cell r="A166" t="str">
            <v>Jakub Vlk</v>
          </cell>
          <cell r="B166">
            <v>1986</v>
          </cell>
          <cell r="C166" t="str">
            <v>GAC Benešov</v>
          </cell>
          <cell r="D166" t="str">
            <v>CZ/C1</v>
          </cell>
          <cell r="E166" t="str">
            <v>M</v>
          </cell>
          <cell r="F166" t="str">
            <v/>
          </cell>
        </row>
        <row r="167">
          <cell r="A167" t="str">
            <v>Jan Adam</v>
          </cell>
          <cell r="B167">
            <v>2002</v>
          </cell>
          <cell r="C167" t="str">
            <v>Podhořany</v>
          </cell>
          <cell r="D167" t="str">
            <v>CZ/C2</v>
          </cell>
          <cell r="E167" t="str">
            <v>M</v>
          </cell>
          <cell r="F167" t="str">
            <v>Junior v roce 2026</v>
          </cell>
        </row>
        <row r="168">
          <cell r="A168" t="str">
            <v>Jan Bejdl</v>
          </cell>
          <cell r="B168">
            <v>1978</v>
          </cell>
          <cell r="C168" t="str">
            <v>Zbraslavice</v>
          </cell>
          <cell r="D168" t="str">
            <v>CZ/C1</v>
          </cell>
          <cell r="E168" t="str">
            <v>M</v>
          </cell>
          <cell r="F168" t="str">
            <v/>
          </cell>
        </row>
        <row r="169">
          <cell r="A169" t="str">
            <v>Jan Belina</v>
          </cell>
          <cell r="B169">
            <v>1979</v>
          </cell>
          <cell r="C169" t="str">
            <v>Hořice</v>
          </cell>
          <cell r="D169" t="str">
            <v>CZ/C2</v>
          </cell>
          <cell r="E169" t="str">
            <v>M</v>
          </cell>
          <cell r="F169" t="str">
            <v/>
          </cell>
        </row>
        <row r="170">
          <cell r="A170" t="str">
            <v>Jan Beran</v>
          </cell>
          <cell r="B170">
            <v>1999</v>
          </cell>
          <cell r="C170" t="str">
            <v>Kladno</v>
          </cell>
          <cell r="D170" t="str">
            <v>CZ/C1</v>
          </cell>
          <cell r="E170" t="str">
            <v>M</v>
          </cell>
          <cell r="F170" t="str">
            <v/>
          </cell>
        </row>
        <row r="171">
          <cell r="A171" t="str">
            <v>Jan Beranek</v>
          </cell>
          <cell r="B171">
            <v>1976</v>
          </cell>
          <cell r="C171" t="str">
            <v>Jihlava</v>
          </cell>
          <cell r="D171" t="str">
            <v>CZ/M</v>
          </cell>
          <cell r="E171" t="str">
            <v>M</v>
          </cell>
          <cell r="F171" t="str">
            <v/>
          </cell>
        </row>
        <row r="172">
          <cell r="A172" t="str">
            <v>Jan Blaha</v>
          </cell>
          <cell r="B172">
            <v>1983</v>
          </cell>
          <cell r="C172" t="str">
            <v>Kyjov</v>
          </cell>
          <cell r="D172" t="str">
            <v>CZ/M</v>
          </cell>
          <cell r="E172" t="str">
            <v>M</v>
          </cell>
          <cell r="F172" t="str">
            <v/>
          </cell>
        </row>
        <row r="173">
          <cell r="A173" t="str">
            <v>Jan Boruvka</v>
          </cell>
          <cell r="B173">
            <v>1984</v>
          </cell>
          <cell r="C173" t="str">
            <v>Jičín</v>
          </cell>
          <cell r="D173" t="str">
            <v>CZ/C2</v>
          </cell>
          <cell r="E173" t="str">
            <v>M</v>
          </cell>
          <cell r="F173" t="str">
            <v/>
          </cell>
        </row>
        <row r="174">
          <cell r="A174" t="str">
            <v>Jan Camr</v>
          </cell>
          <cell r="B174">
            <v>2002</v>
          </cell>
          <cell r="C174" t="str">
            <v>Jaroměř</v>
          </cell>
          <cell r="D174" t="str">
            <v>CZ/C2</v>
          </cell>
          <cell r="E174" t="str">
            <v>M</v>
          </cell>
          <cell r="F174" t="str">
            <v>Junior v roce 2026</v>
          </cell>
        </row>
        <row r="175">
          <cell r="A175" t="str">
            <v>Jan Cerveny</v>
          </cell>
          <cell r="B175">
            <v>1984</v>
          </cell>
          <cell r="C175" t="str">
            <v>Jaroměř</v>
          </cell>
          <cell r="D175" t="str">
            <v>CZ/C2</v>
          </cell>
          <cell r="E175" t="str">
            <v>M</v>
          </cell>
          <cell r="F175" t="str">
            <v/>
          </cell>
        </row>
        <row r="176">
          <cell r="A176" t="str">
            <v>Jan Cibulka</v>
          </cell>
          <cell r="B176">
            <v>2002</v>
          </cell>
          <cell r="C176" t="str">
            <v>Letňany</v>
          </cell>
          <cell r="D176" t="str">
            <v>CZ/C1</v>
          </cell>
          <cell r="E176" t="str">
            <v>M</v>
          </cell>
          <cell r="F176" t="str">
            <v>Junior v roce 2026</v>
          </cell>
        </row>
        <row r="177">
          <cell r="A177" t="str">
            <v>Jan Dersak 69</v>
          </cell>
          <cell r="B177">
            <v>1969</v>
          </cell>
          <cell r="C177" t="str">
            <v>Kralupy</v>
          </cell>
          <cell r="D177" t="str">
            <v>CZ/C1</v>
          </cell>
          <cell r="E177" t="str">
            <v>M</v>
          </cell>
          <cell r="F177" t="str">
            <v/>
          </cell>
        </row>
        <row r="178">
          <cell r="A178" t="str">
            <v>Jan Dersak 92</v>
          </cell>
          <cell r="B178">
            <v>1992</v>
          </cell>
          <cell r="C178" t="str">
            <v>Kralupy</v>
          </cell>
          <cell r="D178" t="str">
            <v>CZ/C1</v>
          </cell>
          <cell r="E178" t="str">
            <v>M</v>
          </cell>
          <cell r="F178" t="str">
            <v/>
          </cell>
        </row>
        <row r="179">
          <cell r="A179" t="str">
            <v>Jan Drahota</v>
          </cell>
          <cell r="B179">
            <v>1988</v>
          </cell>
          <cell r="C179" t="str">
            <v>Rakovník</v>
          </cell>
          <cell r="D179" t="str">
            <v>CZ/C1</v>
          </cell>
          <cell r="E179" t="str">
            <v>M</v>
          </cell>
          <cell r="F179" t="str">
            <v/>
          </cell>
        </row>
        <row r="180">
          <cell r="A180" t="str">
            <v>Jan Drbohlav</v>
          </cell>
          <cell r="B180">
            <v>1999</v>
          </cell>
          <cell r="C180" t="str">
            <v>Hodkovice</v>
          </cell>
          <cell r="D180" t="str">
            <v>CZ/C2</v>
          </cell>
          <cell r="E180" t="str">
            <v>M</v>
          </cell>
          <cell r="F180" t="str">
            <v/>
          </cell>
        </row>
        <row r="181">
          <cell r="A181" t="str">
            <v>Jan Florian</v>
          </cell>
          <cell r="B181">
            <v>1992</v>
          </cell>
          <cell r="C181" t="str">
            <v>Zbraslavice</v>
          </cell>
          <cell r="D181" t="str">
            <v>CZ/C1</v>
          </cell>
          <cell r="E181" t="str">
            <v>M</v>
          </cell>
          <cell r="F181" t="str">
            <v/>
          </cell>
        </row>
        <row r="182">
          <cell r="A182" t="str">
            <v>Jan Habermann</v>
          </cell>
          <cell r="B182">
            <v>1975</v>
          </cell>
          <cell r="C182" t="str">
            <v>Vlašim</v>
          </cell>
          <cell r="D182" t="str">
            <v>CZ/C1</v>
          </cell>
          <cell r="E182" t="str">
            <v>M</v>
          </cell>
          <cell r="F182" t="str">
            <v/>
          </cell>
        </row>
        <row r="183">
          <cell r="A183" t="str">
            <v>Jan Hejret</v>
          </cell>
          <cell r="B183">
            <v>1976</v>
          </cell>
          <cell r="C183" t="str">
            <v>Jaroměř</v>
          </cell>
          <cell r="D183" t="str">
            <v>CZ/C2</v>
          </cell>
          <cell r="E183" t="str">
            <v>M</v>
          </cell>
          <cell r="F183" t="str">
            <v/>
          </cell>
        </row>
        <row r="184">
          <cell r="A184" t="str">
            <v>Jan Heroudek</v>
          </cell>
          <cell r="B184">
            <v>1970</v>
          </cell>
          <cell r="C184" t="str">
            <v>Rakovník</v>
          </cell>
          <cell r="D184" t="str">
            <v>CZ/C1</v>
          </cell>
          <cell r="E184" t="str">
            <v>M</v>
          </cell>
          <cell r="F184" t="str">
            <v/>
          </cell>
        </row>
        <row r="185">
          <cell r="A185" t="str">
            <v>Jan Hirs</v>
          </cell>
          <cell r="B185">
            <v>1975</v>
          </cell>
          <cell r="C185" t="str">
            <v>Strakonice</v>
          </cell>
          <cell r="D185" t="str">
            <v>CZ/C1</v>
          </cell>
          <cell r="E185" t="str">
            <v>M</v>
          </cell>
          <cell r="F185" t="str">
            <v/>
          </cell>
        </row>
        <row r="186">
          <cell r="A186" t="str">
            <v>Jan Hlavacek 65</v>
          </cell>
          <cell r="B186">
            <v>1965</v>
          </cell>
          <cell r="C186" t="str">
            <v>Rakovník</v>
          </cell>
          <cell r="D186" t="str">
            <v>CZ/C1</v>
          </cell>
          <cell r="E186" t="str">
            <v>M</v>
          </cell>
          <cell r="F186" t="str">
            <v/>
          </cell>
        </row>
        <row r="187">
          <cell r="A187" t="str">
            <v>Jan Hlavacek 04</v>
          </cell>
          <cell r="B187">
            <v>2004</v>
          </cell>
          <cell r="C187" t="str">
            <v>Hosín</v>
          </cell>
          <cell r="D187" t="str">
            <v>CZ/C1</v>
          </cell>
          <cell r="E187" t="str">
            <v>M</v>
          </cell>
          <cell r="F187" t="str">
            <v>Junior v roce 2026</v>
          </cell>
        </row>
        <row r="188">
          <cell r="A188" t="str">
            <v>Jan Horak</v>
          </cell>
          <cell r="B188">
            <v>1971</v>
          </cell>
          <cell r="C188" t="str">
            <v>Zbraslavice</v>
          </cell>
          <cell r="D188" t="str">
            <v>CZ/C1</v>
          </cell>
          <cell r="E188" t="str">
            <v>M</v>
          </cell>
          <cell r="F188" t="str">
            <v/>
          </cell>
        </row>
        <row r="189">
          <cell r="A189" t="str">
            <v>Jan Horky</v>
          </cell>
          <cell r="B189">
            <v>1968</v>
          </cell>
          <cell r="C189" t="str">
            <v>Medlánky</v>
          </cell>
          <cell r="D189" t="str">
            <v>CZ/M</v>
          </cell>
          <cell r="E189" t="str">
            <v>M</v>
          </cell>
          <cell r="F189" t="str">
            <v/>
          </cell>
        </row>
        <row r="190">
          <cell r="A190" t="str">
            <v>Jan Hrbatsch</v>
          </cell>
          <cell r="B190">
            <v>1989</v>
          </cell>
          <cell r="C190" t="str">
            <v>Hodkovice</v>
          </cell>
          <cell r="D190" t="str">
            <v>CZ/C2</v>
          </cell>
          <cell r="E190" t="str">
            <v>M</v>
          </cell>
          <cell r="F190" t="str">
            <v/>
          </cell>
        </row>
        <row r="191">
          <cell r="A191" t="str">
            <v>Jan Hruska</v>
          </cell>
          <cell r="B191">
            <v>1988</v>
          </cell>
          <cell r="C191" t="str">
            <v>Tábor</v>
          </cell>
          <cell r="D191" t="str">
            <v>CZ/C1</v>
          </cell>
          <cell r="E191" t="str">
            <v>M</v>
          </cell>
          <cell r="F191" t="str">
            <v/>
          </cell>
        </row>
        <row r="192">
          <cell r="A192" t="str">
            <v>Jan Hybner</v>
          </cell>
          <cell r="B192">
            <v>1977</v>
          </cell>
          <cell r="C192" t="str">
            <v>Liberec</v>
          </cell>
          <cell r="D192" t="str">
            <v>CZ/C2</v>
          </cell>
          <cell r="E192" t="str">
            <v>M</v>
          </cell>
          <cell r="F192" t="str">
            <v/>
          </cell>
        </row>
        <row r="193">
          <cell r="A193" t="str">
            <v>Jan Jicha</v>
          </cell>
          <cell r="B193">
            <v>1984</v>
          </cell>
          <cell r="C193" t="str">
            <v>Podhořany</v>
          </cell>
          <cell r="D193" t="str">
            <v>CZ/C2</v>
          </cell>
          <cell r="E193" t="str">
            <v>M</v>
          </cell>
          <cell r="F193" t="str">
            <v/>
          </cell>
        </row>
        <row r="194">
          <cell r="A194" t="str">
            <v>Jan Jindra</v>
          </cell>
          <cell r="B194">
            <v>1981</v>
          </cell>
          <cell r="C194" t="str">
            <v>Roudnice</v>
          </cell>
          <cell r="D194" t="str">
            <v>CZ/C2</v>
          </cell>
          <cell r="E194" t="str">
            <v>M</v>
          </cell>
          <cell r="F194" t="str">
            <v/>
          </cell>
        </row>
        <row r="195">
          <cell r="A195" t="str">
            <v>Jan Kantor</v>
          </cell>
          <cell r="B195">
            <v>1983</v>
          </cell>
          <cell r="C195" t="str">
            <v>Letňany</v>
          </cell>
          <cell r="D195" t="str">
            <v>CZ/C1</v>
          </cell>
          <cell r="E195" t="str">
            <v>M</v>
          </cell>
          <cell r="F195" t="str">
            <v/>
          </cell>
        </row>
        <row r="196">
          <cell r="A196" t="str">
            <v>Jan Kapralek</v>
          </cell>
          <cell r="B196">
            <v>1991</v>
          </cell>
          <cell r="C196" t="str">
            <v>Kladno</v>
          </cell>
          <cell r="D196" t="str">
            <v>CZ/C1</v>
          </cell>
          <cell r="E196" t="str">
            <v>M</v>
          </cell>
          <cell r="F196" t="str">
            <v/>
          </cell>
        </row>
        <row r="197">
          <cell r="A197" t="str">
            <v>Jan Karabec</v>
          </cell>
          <cell r="B197">
            <v>2000</v>
          </cell>
          <cell r="C197" t="str">
            <v>Podhořany</v>
          </cell>
          <cell r="D197" t="str">
            <v>CZ/C2</v>
          </cell>
          <cell r="E197" t="str">
            <v>M</v>
          </cell>
          <cell r="F197" t="str">
            <v/>
          </cell>
        </row>
        <row r="198">
          <cell r="A198" t="str">
            <v>Jan Karas</v>
          </cell>
          <cell r="B198">
            <v>1985</v>
          </cell>
          <cell r="C198" t="str">
            <v>Jihlava</v>
          </cell>
          <cell r="D198" t="str">
            <v>CZ/M</v>
          </cell>
          <cell r="E198" t="str">
            <v>M</v>
          </cell>
          <cell r="F198" t="str">
            <v/>
          </cell>
        </row>
        <row r="199">
          <cell r="A199" t="str">
            <v>Jan Karnik</v>
          </cell>
          <cell r="B199">
            <v>1976</v>
          </cell>
          <cell r="C199" t="str">
            <v>Letkov</v>
          </cell>
          <cell r="D199" t="str">
            <v>CZ/C1</v>
          </cell>
          <cell r="E199" t="str">
            <v>M</v>
          </cell>
          <cell r="F199" t="str">
            <v/>
          </cell>
        </row>
        <row r="200">
          <cell r="A200" t="str">
            <v>Jan Kaspar</v>
          </cell>
          <cell r="B200">
            <v>1994</v>
          </cell>
          <cell r="C200" t="str">
            <v>Letňany</v>
          </cell>
          <cell r="D200" t="str">
            <v>CZ/C1</v>
          </cell>
          <cell r="E200" t="str">
            <v>M</v>
          </cell>
          <cell r="F200" t="str">
            <v/>
          </cell>
        </row>
        <row r="201">
          <cell r="A201" t="str">
            <v>Jan Kohout</v>
          </cell>
          <cell r="B201">
            <v>1970</v>
          </cell>
          <cell r="C201" t="str">
            <v>Žamberk</v>
          </cell>
          <cell r="D201" t="str">
            <v>CZ/C2</v>
          </cell>
          <cell r="E201" t="str">
            <v>M</v>
          </cell>
          <cell r="F201" t="str">
            <v/>
          </cell>
        </row>
        <row r="202">
          <cell r="A202" t="str">
            <v>Jan Konecny</v>
          </cell>
          <cell r="B202">
            <v>1972</v>
          </cell>
          <cell r="C202" t="str">
            <v>Rakovník</v>
          </cell>
          <cell r="D202" t="str">
            <v>CZ/C1</v>
          </cell>
          <cell r="E202" t="str">
            <v>M</v>
          </cell>
          <cell r="F202" t="str">
            <v/>
          </cell>
        </row>
        <row r="203">
          <cell r="A203" t="str">
            <v>Jan Kostka</v>
          </cell>
          <cell r="B203">
            <v>1996</v>
          </cell>
          <cell r="C203" t="str">
            <v>Kladno</v>
          </cell>
          <cell r="D203" t="str">
            <v>CZ/C1</v>
          </cell>
          <cell r="E203" t="str">
            <v>M</v>
          </cell>
          <cell r="F203" t="str">
            <v/>
          </cell>
        </row>
        <row r="204">
          <cell r="A204" t="str">
            <v>Jan Kotan</v>
          </cell>
          <cell r="B204">
            <v>1982</v>
          </cell>
          <cell r="C204" t="str">
            <v>Letňany</v>
          </cell>
          <cell r="D204" t="str">
            <v>CZ/C1</v>
          </cell>
          <cell r="E204" t="str">
            <v>M</v>
          </cell>
          <cell r="F204" t="str">
            <v/>
          </cell>
        </row>
        <row r="205">
          <cell r="A205" t="str">
            <v>Jan Kralik</v>
          </cell>
          <cell r="B205">
            <v>1991</v>
          </cell>
          <cell r="C205" t="str">
            <v>Letkov</v>
          </cell>
          <cell r="D205" t="str">
            <v>CZ/C1</v>
          </cell>
          <cell r="E205" t="str">
            <v>M</v>
          </cell>
          <cell r="F205" t="str">
            <v/>
          </cell>
        </row>
        <row r="206">
          <cell r="A206" t="str">
            <v>Jan Kristof</v>
          </cell>
          <cell r="B206">
            <v>1962</v>
          </cell>
          <cell r="C206" t="str">
            <v>Frýdlant</v>
          </cell>
          <cell r="D206" t="str">
            <v>CZ/M</v>
          </cell>
          <cell r="E206" t="str">
            <v>M</v>
          </cell>
          <cell r="F206" t="str">
            <v/>
          </cell>
        </row>
        <row r="207">
          <cell r="A207" t="str">
            <v>Jan Kulistak</v>
          </cell>
          <cell r="B207">
            <v>1990</v>
          </cell>
          <cell r="C207" t="str">
            <v>Kunovice</v>
          </cell>
          <cell r="D207" t="str">
            <v>CZ/M</v>
          </cell>
          <cell r="E207" t="str">
            <v>M</v>
          </cell>
          <cell r="F207" t="str">
            <v/>
          </cell>
        </row>
        <row r="208">
          <cell r="A208" t="str">
            <v>Jan Lancdorf</v>
          </cell>
          <cell r="B208">
            <v>1988</v>
          </cell>
          <cell r="C208" t="str">
            <v>Panenský Týnec</v>
          </cell>
          <cell r="D208" t="str">
            <v>CZ/C1</v>
          </cell>
          <cell r="E208" t="str">
            <v>M</v>
          </cell>
          <cell r="F208" t="str">
            <v/>
          </cell>
        </row>
        <row r="209">
          <cell r="A209" t="str">
            <v>Jan Louda</v>
          </cell>
          <cell r="B209">
            <v>1986</v>
          </cell>
          <cell r="C209" t="str">
            <v>Mladá Boleslav</v>
          </cell>
          <cell r="D209" t="str">
            <v>CZ/C1</v>
          </cell>
          <cell r="E209" t="str">
            <v>M</v>
          </cell>
          <cell r="F209" t="str">
            <v/>
          </cell>
        </row>
        <row r="210">
          <cell r="A210" t="str">
            <v>Jan Manhal</v>
          </cell>
          <cell r="B210">
            <v>1990</v>
          </cell>
          <cell r="C210" t="str">
            <v>Letkov</v>
          </cell>
          <cell r="D210" t="str">
            <v>CZ/C1</v>
          </cell>
          <cell r="E210" t="str">
            <v>M</v>
          </cell>
          <cell r="F210" t="str">
            <v/>
          </cell>
        </row>
        <row r="211">
          <cell r="A211" t="str">
            <v>Jan Mareth</v>
          </cell>
          <cell r="B211">
            <v>1979</v>
          </cell>
          <cell r="C211" t="str">
            <v>Frýdlant</v>
          </cell>
          <cell r="D211" t="str">
            <v>CZ/M</v>
          </cell>
          <cell r="E211" t="str">
            <v>M</v>
          </cell>
          <cell r="F211" t="str">
            <v/>
          </cell>
        </row>
        <row r="212">
          <cell r="A212" t="str">
            <v>Jan Masek</v>
          </cell>
          <cell r="B212">
            <v>1977</v>
          </cell>
          <cell r="C212" t="str">
            <v>Kladno</v>
          </cell>
          <cell r="D212" t="str">
            <v>CZ/C1</v>
          </cell>
          <cell r="E212" t="str">
            <v>M</v>
          </cell>
          <cell r="F212" t="str">
            <v/>
          </cell>
        </row>
        <row r="213">
          <cell r="A213" t="str">
            <v>Jan Matejovsky</v>
          </cell>
          <cell r="B213">
            <v>1972</v>
          </cell>
          <cell r="C213" t="str">
            <v>Hranice</v>
          </cell>
          <cell r="D213" t="str">
            <v>CZ/M</v>
          </cell>
          <cell r="E213" t="str">
            <v>M</v>
          </cell>
          <cell r="F213" t="str">
            <v/>
          </cell>
        </row>
        <row r="214">
          <cell r="A214" t="str">
            <v>Jan Merta</v>
          </cell>
          <cell r="B214">
            <v>1952</v>
          </cell>
          <cell r="C214" t="str">
            <v>Šumperk</v>
          </cell>
          <cell r="D214" t="str">
            <v>CZ/M</v>
          </cell>
          <cell r="E214" t="str">
            <v>M</v>
          </cell>
          <cell r="F214" t="str">
            <v/>
          </cell>
        </row>
        <row r="215">
          <cell r="A215" t="str">
            <v>Jan Mittner</v>
          </cell>
          <cell r="B215">
            <v>1986</v>
          </cell>
          <cell r="C215" t="str">
            <v>Zbraslavice</v>
          </cell>
          <cell r="D215" t="str">
            <v>CZ/C1</v>
          </cell>
          <cell r="E215" t="str">
            <v>M</v>
          </cell>
          <cell r="F215" t="str">
            <v/>
          </cell>
        </row>
        <row r="216">
          <cell r="A216" t="str">
            <v>Jan Moravec</v>
          </cell>
          <cell r="B216">
            <v>1979</v>
          </cell>
          <cell r="C216" t="str">
            <v>Zábřeh</v>
          </cell>
          <cell r="D216" t="str">
            <v>CZ/M</v>
          </cell>
          <cell r="E216" t="str">
            <v>M</v>
          </cell>
          <cell r="F216" t="str">
            <v/>
          </cell>
        </row>
        <row r="217">
          <cell r="A217" t="str">
            <v>Jan Mrozek</v>
          </cell>
          <cell r="B217">
            <v>1982</v>
          </cell>
          <cell r="C217" t="str">
            <v>Frýdlant</v>
          </cell>
          <cell r="D217" t="str">
            <v>CZ/M</v>
          </cell>
          <cell r="E217" t="str">
            <v>M</v>
          </cell>
          <cell r="F217" t="str">
            <v/>
          </cell>
        </row>
        <row r="218">
          <cell r="A218" t="str">
            <v>Jan Muknsnabl</v>
          </cell>
          <cell r="B218">
            <v>1992</v>
          </cell>
          <cell r="C218" t="str">
            <v>Letkov</v>
          </cell>
          <cell r="D218" t="str">
            <v>CZ/C1</v>
          </cell>
          <cell r="E218" t="str">
            <v>M</v>
          </cell>
          <cell r="F218" t="str">
            <v/>
          </cell>
        </row>
        <row r="219">
          <cell r="A219" t="str">
            <v>Jan Nyc</v>
          </cell>
          <cell r="B219">
            <v>1943</v>
          </cell>
          <cell r="C219" t="str">
            <v>Dvůr Králové</v>
          </cell>
          <cell r="D219" t="str">
            <v>CZ/C2</v>
          </cell>
          <cell r="E219" t="str">
            <v>M</v>
          </cell>
          <cell r="F219" t="str">
            <v/>
          </cell>
        </row>
        <row r="220">
          <cell r="A220" t="str">
            <v>Jan Obrucnik</v>
          </cell>
          <cell r="B220">
            <v>1991</v>
          </cell>
          <cell r="C220" t="str">
            <v>Kralupy</v>
          </cell>
          <cell r="D220" t="str">
            <v>CZ/C1</v>
          </cell>
          <cell r="E220" t="str">
            <v>M</v>
          </cell>
          <cell r="F220" t="str">
            <v/>
          </cell>
        </row>
        <row r="221">
          <cell r="A221" t="str">
            <v>Jan Oscatka</v>
          </cell>
          <cell r="B221">
            <v>1990</v>
          </cell>
          <cell r="C221" t="str">
            <v>Jaroměř</v>
          </cell>
          <cell r="D221" t="str">
            <v>CZ/C2</v>
          </cell>
          <cell r="E221" t="str">
            <v>M</v>
          </cell>
          <cell r="F221" t="str">
            <v/>
          </cell>
        </row>
        <row r="222">
          <cell r="A222" t="str">
            <v>Jan Otrusina</v>
          </cell>
          <cell r="B222">
            <v>1976</v>
          </cell>
          <cell r="C222" t="str">
            <v>Křižanov</v>
          </cell>
          <cell r="D222" t="str">
            <v>CZ/M</v>
          </cell>
          <cell r="E222" t="str">
            <v>M</v>
          </cell>
          <cell r="F222" t="str">
            <v/>
          </cell>
        </row>
        <row r="223">
          <cell r="A223" t="str">
            <v>Jan Ourada</v>
          </cell>
          <cell r="B223">
            <v>1978</v>
          </cell>
          <cell r="C223" t="str">
            <v>Točná</v>
          </cell>
          <cell r="D223" t="str">
            <v>CZ/C1</v>
          </cell>
          <cell r="E223" t="str">
            <v>M</v>
          </cell>
          <cell r="F223" t="str">
            <v/>
          </cell>
        </row>
        <row r="224">
          <cell r="A224" t="str">
            <v>Jan Pavlik</v>
          </cell>
          <cell r="B224">
            <v>1987</v>
          </cell>
          <cell r="C224" t="str">
            <v>Křižanov</v>
          </cell>
          <cell r="D224" t="str">
            <v>CZ/M</v>
          </cell>
          <cell r="E224" t="str">
            <v>M</v>
          </cell>
          <cell r="F224" t="str">
            <v/>
          </cell>
        </row>
        <row r="225">
          <cell r="A225" t="str">
            <v>Jan Pazour</v>
          </cell>
          <cell r="B225">
            <v>1979</v>
          </cell>
          <cell r="C225" t="str">
            <v>Dvůr Králové</v>
          </cell>
          <cell r="D225" t="str">
            <v>CZ/C2</v>
          </cell>
          <cell r="E225" t="str">
            <v>M</v>
          </cell>
          <cell r="F225" t="str">
            <v/>
          </cell>
        </row>
        <row r="226">
          <cell r="A226" t="str">
            <v>Jan Platenik</v>
          </cell>
          <cell r="B226">
            <v>1981</v>
          </cell>
          <cell r="C226" t="str">
            <v>Krnov</v>
          </cell>
          <cell r="D226" t="str">
            <v>CZ/M</v>
          </cell>
          <cell r="E226" t="str">
            <v>M</v>
          </cell>
          <cell r="F226" t="str">
            <v/>
          </cell>
        </row>
        <row r="227">
          <cell r="A227" t="str">
            <v>Jan Plechac</v>
          </cell>
          <cell r="B227">
            <v>1966</v>
          </cell>
          <cell r="C227" t="str">
            <v>Slaný</v>
          </cell>
          <cell r="D227" t="str">
            <v>CZ/C1</v>
          </cell>
          <cell r="E227" t="str">
            <v>M</v>
          </cell>
          <cell r="F227" t="str">
            <v/>
          </cell>
        </row>
        <row r="228">
          <cell r="A228" t="str">
            <v>Jan Podhrazsky</v>
          </cell>
          <cell r="B228">
            <v>1976</v>
          </cell>
          <cell r="C228" t="str">
            <v>Šumperk</v>
          </cell>
          <cell r="D228" t="str">
            <v>CZ/M</v>
          </cell>
          <cell r="E228" t="str">
            <v>M</v>
          </cell>
          <cell r="F228" t="str">
            <v/>
          </cell>
        </row>
        <row r="229">
          <cell r="A229" t="str">
            <v>Jan Pokluda</v>
          </cell>
          <cell r="B229">
            <v>1973</v>
          </cell>
          <cell r="C229" t="str">
            <v>Šumperk</v>
          </cell>
          <cell r="D229" t="str">
            <v>CZ/M</v>
          </cell>
          <cell r="E229" t="str">
            <v>M</v>
          </cell>
          <cell r="F229" t="str">
            <v/>
          </cell>
        </row>
        <row r="230">
          <cell r="A230" t="str">
            <v>Jan Pubec</v>
          </cell>
          <cell r="B230">
            <v>1979</v>
          </cell>
          <cell r="C230" t="str">
            <v>Plzeň Bory</v>
          </cell>
          <cell r="D230" t="str">
            <v>CZ/C1</v>
          </cell>
          <cell r="E230" t="str">
            <v>M</v>
          </cell>
          <cell r="F230" t="str">
            <v/>
          </cell>
        </row>
        <row r="231">
          <cell r="A231" t="str">
            <v>Jan Ratz</v>
          </cell>
          <cell r="B231">
            <v>1987</v>
          </cell>
          <cell r="C231" t="str">
            <v>Zbraslavice</v>
          </cell>
          <cell r="D231" t="str">
            <v>CZ/C1</v>
          </cell>
          <cell r="E231" t="str">
            <v>M</v>
          </cell>
          <cell r="F231" t="str">
            <v/>
          </cell>
        </row>
        <row r="232">
          <cell r="A232" t="str">
            <v>Jan Rensa</v>
          </cell>
          <cell r="B232">
            <v>1980</v>
          </cell>
          <cell r="C232" t="str">
            <v>Polička</v>
          </cell>
          <cell r="D232" t="str">
            <v>CZ/C2</v>
          </cell>
          <cell r="E232" t="str">
            <v>M</v>
          </cell>
          <cell r="F232" t="str">
            <v/>
          </cell>
        </row>
        <row r="233">
          <cell r="A233" t="str">
            <v>Jan Rolinek</v>
          </cell>
          <cell r="B233">
            <v>1973</v>
          </cell>
          <cell r="C233" t="str">
            <v>Luhačovice</v>
          </cell>
          <cell r="D233" t="str">
            <v>CZ/M</v>
          </cell>
          <cell r="E233" t="str">
            <v>M</v>
          </cell>
          <cell r="F233" t="str">
            <v/>
          </cell>
        </row>
        <row r="234">
          <cell r="A234" t="str">
            <v>Jan Rott</v>
          </cell>
          <cell r="B234">
            <v>1962</v>
          </cell>
          <cell r="C234" t="str">
            <v>Hronov</v>
          </cell>
          <cell r="D234" t="str">
            <v>CZ/C2</v>
          </cell>
          <cell r="E234" t="str">
            <v>M</v>
          </cell>
          <cell r="F234" t="str">
            <v/>
          </cell>
        </row>
        <row r="235">
          <cell r="A235" t="str">
            <v>Jan Repka</v>
          </cell>
          <cell r="B235">
            <v>1959</v>
          </cell>
          <cell r="C235" t="str">
            <v>Liberec</v>
          </cell>
          <cell r="D235" t="str">
            <v>CZ/C2</v>
          </cell>
          <cell r="E235" t="str">
            <v>M</v>
          </cell>
          <cell r="F235" t="str">
            <v/>
          </cell>
        </row>
        <row r="236">
          <cell r="A236" t="str">
            <v>Jan Seifert</v>
          </cell>
          <cell r="B236">
            <v>1948</v>
          </cell>
          <cell r="C236" t="str">
            <v>Raná</v>
          </cell>
          <cell r="D236" t="str">
            <v>CZ/C2</v>
          </cell>
          <cell r="E236" t="str">
            <v>M</v>
          </cell>
          <cell r="F236" t="str">
            <v/>
          </cell>
        </row>
        <row r="237">
          <cell r="A237" t="str">
            <v>Jan Simon</v>
          </cell>
          <cell r="B237">
            <v>1970</v>
          </cell>
          <cell r="C237" t="str">
            <v>Kralupy</v>
          </cell>
          <cell r="D237" t="str">
            <v>CZ/C1</v>
          </cell>
          <cell r="E237" t="str">
            <v>M</v>
          </cell>
          <cell r="F237" t="str">
            <v/>
          </cell>
        </row>
        <row r="238">
          <cell r="A238" t="str">
            <v>Jan Sindelar</v>
          </cell>
          <cell r="B238">
            <v>1946</v>
          </cell>
          <cell r="C238" t="str">
            <v>Kunovice</v>
          </cell>
          <cell r="D238" t="str">
            <v>CZ/M</v>
          </cell>
          <cell r="E238" t="str">
            <v>M</v>
          </cell>
          <cell r="F238" t="str">
            <v/>
          </cell>
        </row>
        <row r="239">
          <cell r="A239" t="str">
            <v>Jan Smaha</v>
          </cell>
          <cell r="B239">
            <v>1958</v>
          </cell>
          <cell r="C239" t="str">
            <v>Česká Lípa</v>
          </cell>
          <cell r="D239" t="str">
            <v>CZ/C2</v>
          </cell>
          <cell r="E239" t="str">
            <v>M</v>
          </cell>
          <cell r="F239" t="str">
            <v/>
          </cell>
        </row>
        <row r="240">
          <cell r="A240" t="str">
            <v>Jan Smekal</v>
          </cell>
          <cell r="B240">
            <v>1976</v>
          </cell>
          <cell r="C240" t="str">
            <v>Zbraslavice</v>
          </cell>
          <cell r="D240" t="str">
            <v>CZ/C1</v>
          </cell>
          <cell r="E240" t="str">
            <v>M</v>
          </cell>
          <cell r="F240" t="str">
            <v/>
          </cell>
        </row>
        <row r="241">
          <cell r="A241" t="str">
            <v>Jan Sobotka</v>
          </cell>
          <cell r="B241">
            <v>1973</v>
          </cell>
          <cell r="C241" t="str">
            <v>Vyškov</v>
          </cell>
          <cell r="D241" t="str">
            <v>CZ/M</v>
          </cell>
          <cell r="E241" t="str">
            <v>M</v>
          </cell>
          <cell r="F241" t="str">
            <v/>
          </cell>
        </row>
        <row r="242">
          <cell r="A242" t="str">
            <v>Jan Sobek</v>
          </cell>
          <cell r="B242">
            <v>2004</v>
          </cell>
          <cell r="C242" t="str">
            <v>Hranice</v>
          </cell>
          <cell r="D242" t="str">
            <v>CZ/M</v>
          </cell>
          <cell r="E242" t="str">
            <v>M</v>
          </cell>
          <cell r="F242" t="str">
            <v>Junior v roce 2026</v>
          </cell>
        </row>
        <row r="243">
          <cell r="A243" t="str">
            <v>Jan Sponer</v>
          </cell>
          <cell r="B243">
            <v>1988</v>
          </cell>
          <cell r="C243" t="str">
            <v>Medlánky</v>
          </cell>
          <cell r="D243" t="str">
            <v>CZ/M</v>
          </cell>
          <cell r="E243" t="str">
            <v>M</v>
          </cell>
          <cell r="F243" t="str">
            <v/>
          </cell>
        </row>
        <row r="244">
          <cell r="A244" t="str">
            <v>Jan Stastny</v>
          </cell>
          <cell r="B244">
            <v>2003</v>
          </cell>
          <cell r="C244" t="str">
            <v>Medlánky</v>
          </cell>
          <cell r="D244" t="str">
            <v>CZ/M</v>
          </cell>
          <cell r="E244" t="str">
            <v>M</v>
          </cell>
          <cell r="F244" t="str">
            <v>Junior v roce 2026</v>
          </cell>
        </row>
        <row r="245">
          <cell r="A245" t="str">
            <v>Jan Stepan</v>
          </cell>
          <cell r="B245">
            <v>1991</v>
          </cell>
          <cell r="C245" t="str">
            <v>Hronov</v>
          </cell>
          <cell r="D245" t="str">
            <v>CZ/C2</v>
          </cell>
          <cell r="E245" t="str">
            <v>M</v>
          </cell>
          <cell r="F245" t="str">
            <v/>
          </cell>
        </row>
        <row r="246">
          <cell r="A246" t="str">
            <v>Jan Sustr 76</v>
          </cell>
          <cell r="B246">
            <v>1976</v>
          </cell>
          <cell r="C246" t="str">
            <v>Raná</v>
          </cell>
          <cell r="D246" t="str">
            <v>CZ/C2</v>
          </cell>
          <cell r="E246" t="str">
            <v>M</v>
          </cell>
          <cell r="F246" t="str">
            <v/>
          </cell>
        </row>
        <row r="247">
          <cell r="A247" t="str">
            <v>Jan Sustr 77</v>
          </cell>
          <cell r="B247">
            <v>1977</v>
          </cell>
          <cell r="C247" t="str">
            <v>Staňkov</v>
          </cell>
          <cell r="D247" t="str">
            <v>CZ/C1</v>
          </cell>
          <cell r="E247" t="str">
            <v>M</v>
          </cell>
          <cell r="F247" t="str">
            <v/>
          </cell>
        </row>
        <row r="248">
          <cell r="A248" t="str">
            <v>Jan Svarc</v>
          </cell>
          <cell r="B248">
            <v>1977</v>
          </cell>
          <cell r="C248" t="str">
            <v>Raná</v>
          </cell>
          <cell r="D248" t="str">
            <v>CZ/C2</v>
          </cell>
          <cell r="E248" t="str">
            <v>M</v>
          </cell>
          <cell r="F248" t="str">
            <v/>
          </cell>
        </row>
        <row r="249">
          <cell r="A249" t="str">
            <v>Jan Svestka</v>
          </cell>
          <cell r="B249">
            <v>2005</v>
          </cell>
          <cell r="C249" t="str">
            <v>Křižanov</v>
          </cell>
          <cell r="D249" t="str">
            <v>CZ/M</v>
          </cell>
          <cell r="E249" t="str">
            <v>M</v>
          </cell>
          <cell r="F249" t="str">
            <v>Junior v roce 2026</v>
          </cell>
        </row>
        <row r="250">
          <cell r="A250" t="str">
            <v>Jan Terrich</v>
          </cell>
          <cell r="B250">
            <v>1978</v>
          </cell>
          <cell r="C250" t="str">
            <v>Liberec</v>
          </cell>
          <cell r="D250" t="str">
            <v>CZ/C2</v>
          </cell>
          <cell r="E250" t="str">
            <v>M</v>
          </cell>
          <cell r="F250" t="str">
            <v/>
          </cell>
        </row>
        <row r="251">
          <cell r="A251" t="str">
            <v>Jan Tomasek</v>
          </cell>
          <cell r="B251">
            <v>1970</v>
          </cell>
          <cell r="C251" t="str">
            <v>Dvůr Králové</v>
          </cell>
          <cell r="D251" t="str">
            <v>CZ/C2</v>
          </cell>
          <cell r="E251" t="str">
            <v>M</v>
          </cell>
          <cell r="F251" t="str">
            <v/>
          </cell>
        </row>
        <row r="252">
          <cell r="A252" t="str">
            <v>Jan Turek</v>
          </cell>
          <cell r="B252">
            <v>1987</v>
          </cell>
          <cell r="C252" t="str">
            <v>Toužim</v>
          </cell>
          <cell r="D252" t="str">
            <v>CZ/C1</v>
          </cell>
          <cell r="E252" t="str">
            <v>M</v>
          </cell>
          <cell r="F252" t="str">
            <v/>
          </cell>
        </row>
        <row r="253">
          <cell r="A253" t="str">
            <v>Jan Vacik</v>
          </cell>
          <cell r="B253">
            <v>1977</v>
          </cell>
          <cell r="C253" t="str">
            <v>Staňkov</v>
          </cell>
          <cell r="D253" t="str">
            <v>CZ/C1</v>
          </cell>
          <cell r="E253" t="str">
            <v>M</v>
          </cell>
          <cell r="F253" t="str">
            <v/>
          </cell>
        </row>
        <row r="254">
          <cell r="A254" t="str">
            <v>Jan Vavrin</v>
          </cell>
          <cell r="B254">
            <v>1987</v>
          </cell>
          <cell r="C254" t="str">
            <v>Vysoké Mýto</v>
          </cell>
          <cell r="D254" t="str">
            <v>CZ/C2</v>
          </cell>
          <cell r="E254" t="str">
            <v>M</v>
          </cell>
          <cell r="F254" t="str">
            <v/>
          </cell>
        </row>
        <row r="255">
          <cell r="A255" t="str">
            <v>Jan Viskot</v>
          </cell>
          <cell r="B255">
            <v>1995</v>
          </cell>
          <cell r="C255" t="str">
            <v>Břeclav</v>
          </cell>
          <cell r="D255" t="str">
            <v>CZ/M</v>
          </cell>
          <cell r="E255" t="str">
            <v>M</v>
          </cell>
          <cell r="F255" t="str">
            <v/>
          </cell>
        </row>
        <row r="256">
          <cell r="A256" t="str">
            <v>Jan Vozeh</v>
          </cell>
          <cell r="B256">
            <v>1995</v>
          </cell>
          <cell r="C256" t="str">
            <v>Rakovník</v>
          </cell>
          <cell r="D256" t="str">
            <v>CZ/C1</v>
          </cell>
          <cell r="E256" t="str">
            <v>M</v>
          </cell>
          <cell r="F256" t="str">
            <v/>
          </cell>
        </row>
        <row r="257">
          <cell r="A257" t="str">
            <v>Jan Zahradka</v>
          </cell>
          <cell r="B257">
            <v>1981</v>
          </cell>
          <cell r="C257" t="str">
            <v>Hodkovice</v>
          </cell>
          <cell r="D257" t="str">
            <v>CZ/C2</v>
          </cell>
          <cell r="E257" t="str">
            <v>M</v>
          </cell>
          <cell r="F257" t="str">
            <v/>
          </cell>
        </row>
        <row r="258">
          <cell r="A258" t="str">
            <v>Jan Zapletal</v>
          </cell>
          <cell r="B258">
            <v>1997</v>
          </cell>
          <cell r="C258" t="str">
            <v>Břeclav</v>
          </cell>
          <cell r="D258" t="str">
            <v>CZ/M</v>
          </cell>
          <cell r="E258" t="str">
            <v>M</v>
          </cell>
          <cell r="F258" t="str">
            <v/>
          </cell>
        </row>
        <row r="259">
          <cell r="A259" t="str">
            <v>Jan Zdvorak</v>
          </cell>
          <cell r="B259">
            <v>1980</v>
          </cell>
          <cell r="C259" t="str">
            <v>Roudnice</v>
          </cell>
          <cell r="D259" t="str">
            <v>CZ/C2</v>
          </cell>
          <cell r="E259" t="str">
            <v>M</v>
          </cell>
          <cell r="F259" t="str">
            <v/>
          </cell>
        </row>
        <row r="260">
          <cell r="A260" t="str">
            <v>Jan Zezula</v>
          </cell>
          <cell r="B260">
            <v>1979</v>
          </cell>
          <cell r="C260" t="str">
            <v>Letňany</v>
          </cell>
          <cell r="D260" t="str">
            <v>CZ/C1</v>
          </cell>
          <cell r="E260" t="str">
            <v>M</v>
          </cell>
          <cell r="F260" t="str">
            <v/>
          </cell>
        </row>
        <row r="261">
          <cell r="A261" t="str">
            <v>Jan Zona</v>
          </cell>
          <cell r="B261">
            <v>1965</v>
          </cell>
          <cell r="C261" t="str">
            <v>Kroměříž</v>
          </cell>
          <cell r="D261" t="str">
            <v>CZ/M</v>
          </cell>
          <cell r="E261" t="str">
            <v>M</v>
          </cell>
          <cell r="F261" t="str">
            <v/>
          </cell>
        </row>
        <row r="262">
          <cell r="A262" t="str">
            <v>Jan Zanda</v>
          </cell>
          <cell r="B262">
            <v>1983</v>
          </cell>
          <cell r="C262" t="str">
            <v>Letkov</v>
          </cell>
          <cell r="D262" t="str">
            <v>CZ/C1</v>
          </cell>
          <cell r="E262" t="str">
            <v>M</v>
          </cell>
          <cell r="F262" t="str">
            <v/>
          </cell>
        </row>
        <row r="263">
          <cell r="A263" t="str">
            <v>Jana Dvorakova</v>
          </cell>
          <cell r="B263">
            <v>1953</v>
          </cell>
          <cell r="C263" t="str">
            <v>Raná</v>
          </cell>
          <cell r="D263" t="str">
            <v>CZ/C2</v>
          </cell>
          <cell r="E263" t="str">
            <v>F</v>
          </cell>
          <cell r="F263" t="str">
            <v/>
          </cell>
        </row>
        <row r="264">
          <cell r="A264" t="str">
            <v>Jana Kantorova</v>
          </cell>
          <cell r="B264">
            <v>1980</v>
          </cell>
          <cell r="C264" t="str">
            <v>Hosín</v>
          </cell>
          <cell r="D264" t="str">
            <v>CZ/C1</v>
          </cell>
          <cell r="E264" t="str">
            <v>F</v>
          </cell>
          <cell r="F264" t="str">
            <v/>
          </cell>
        </row>
        <row r="265">
          <cell r="A265" t="str">
            <v>Jana Krejcova</v>
          </cell>
          <cell r="B265">
            <v>1972</v>
          </cell>
          <cell r="C265" t="str">
            <v>Křižanov</v>
          </cell>
          <cell r="D265" t="str">
            <v>CZ/M</v>
          </cell>
          <cell r="E265" t="str">
            <v>F</v>
          </cell>
          <cell r="F265" t="str">
            <v/>
          </cell>
        </row>
        <row r="266">
          <cell r="A266" t="str">
            <v>Jana Mezerova</v>
          </cell>
          <cell r="B266">
            <v>1975</v>
          </cell>
          <cell r="C266" t="str">
            <v>Raná</v>
          </cell>
          <cell r="D266" t="str">
            <v>CZ/C2</v>
          </cell>
          <cell r="E266" t="str">
            <v>F</v>
          </cell>
          <cell r="F266" t="str">
            <v/>
          </cell>
        </row>
        <row r="267">
          <cell r="A267" t="str">
            <v>Jana Treslova</v>
          </cell>
          <cell r="B267">
            <v>1963</v>
          </cell>
          <cell r="C267" t="str">
            <v>Raná</v>
          </cell>
          <cell r="D267" t="str">
            <v>CZ/C2</v>
          </cell>
          <cell r="E267" t="str">
            <v>F</v>
          </cell>
          <cell r="F267" t="str">
            <v/>
          </cell>
        </row>
        <row r="268">
          <cell r="A268" t="str">
            <v>Jana Veprekova</v>
          </cell>
          <cell r="B268">
            <v>1961</v>
          </cell>
          <cell r="C268" t="str">
            <v>Dvůr Králové</v>
          </cell>
          <cell r="D268" t="str">
            <v>CZ/C2</v>
          </cell>
          <cell r="E268" t="str">
            <v>F</v>
          </cell>
          <cell r="F268" t="str">
            <v/>
          </cell>
        </row>
        <row r="269">
          <cell r="A269" t="str">
            <v>Jarmila Zatykova</v>
          </cell>
          <cell r="B269">
            <v>1959</v>
          </cell>
          <cell r="C269" t="str">
            <v>Kralupy</v>
          </cell>
          <cell r="D269" t="str">
            <v>CZ/C1</v>
          </cell>
          <cell r="E269" t="str">
            <v>F</v>
          </cell>
          <cell r="F269" t="str">
            <v/>
          </cell>
        </row>
        <row r="270">
          <cell r="A270" t="str">
            <v>Jaromir Hammer</v>
          </cell>
          <cell r="B270">
            <v>1965</v>
          </cell>
          <cell r="C270" t="str">
            <v>Křižanov</v>
          </cell>
          <cell r="D270" t="str">
            <v>CZ/M</v>
          </cell>
          <cell r="E270" t="str">
            <v>M</v>
          </cell>
          <cell r="F270" t="str">
            <v/>
          </cell>
        </row>
        <row r="271">
          <cell r="A271" t="str">
            <v>Jaromir Hendrych</v>
          </cell>
          <cell r="B271">
            <v>1954</v>
          </cell>
          <cell r="C271" t="str">
            <v>Raná</v>
          </cell>
          <cell r="D271" t="str">
            <v>CZ/C2</v>
          </cell>
          <cell r="E271" t="str">
            <v>M</v>
          </cell>
          <cell r="F271" t="str">
            <v/>
          </cell>
        </row>
        <row r="272">
          <cell r="A272" t="str">
            <v>Jaromir Jedlicka</v>
          </cell>
          <cell r="B272">
            <v>1972</v>
          </cell>
          <cell r="C272" t="str">
            <v>Letňany</v>
          </cell>
          <cell r="D272" t="str">
            <v>CZ/C1</v>
          </cell>
          <cell r="E272" t="str">
            <v>M</v>
          </cell>
          <cell r="F272" t="str">
            <v/>
          </cell>
        </row>
        <row r="273">
          <cell r="A273" t="str">
            <v>Jaromir Macoun</v>
          </cell>
          <cell r="B273">
            <v>1999</v>
          </cell>
          <cell r="C273" t="str">
            <v>Jičín</v>
          </cell>
          <cell r="D273" t="str">
            <v>CZ/C2</v>
          </cell>
          <cell r="E273" t="str">
            <v>M</v>
          </cell>
          <cell r="F273" t="str">
            <v/>
          </cell>
        </row>
        <row r="274">
          <cell r="A274" t="str">
            <v>Jaromir Pauer</v>
          </cell>
          <cell r="B274">
            <v>1974</v>
          </cell>
          <cell r="C274" t="str">
            <v>Hosín</v>
          </cell>
          <cell r="D274" t="str">
            <v>CZ/C1</v>
          </cell>
          <cell r="E274" t="str">
            <v>M</v>
          </cell>
          <cell r="F274" t="str">
            <v/>
          </cell>
        </row>
        <row r="275">
          <cell r="A275" t="str">
            <v>Jaromir Prokes</v>
          </cell>
          <cell r="B275">
            <v>1984</v>
          </cell>
          <cell r="C275" t="str">
            <v>Tábor</v>
          </cell>
          <cell r="D275" t="str">
            <v>CZ/C1</v>
          </cell>
          <cell r="E275" t="str">
            <v>M</v>
          </cell>
          <cell r="F275" t="str">
            <v/>
          </cell>
        </row>
        <row r="276">
          <cell r="A276" t="str">
            <v>Jaromir Simunek</v>
          </cell>
          <cell r="B276">
            <v>1975</v>
          </cell>
          <cell r="C276" t="str">
            <v>Rakovník</v>
          </cell>
          <cell r="D276" t="str">
            <v>CZ/C1</v>
          </cell>
          <cell r="E276" t="str">
            <v>M</v>
          </cell>
          <cell r="F276" t="str">
            <v/>
          </cell>
        </row>
        <row r="277">
          <cell r="A277" t="str">
            <v>Jaromir Vlk</v>
          </cell>
          <cell r="B277">
            <v>1959</v>
          </cell>
          <cell r="C277" t="str">
            <v>Šumperk</v>
          </cell>
          <cell r="D277" t="str">
            <v>CZ/M</v>
          </cell>
          <cell r="E277" t="str">
            <v>M</v>
          </cell>
          <cell r="F277" t="str">
            <v/>
          </cell>
        </row>
        <row r="278">
          <cell r="A278" t="str">
            <v>Jaroslav Bocek</v>
          </cell>
          <cell r="B278">
            <v>1962</v>
          </cell>
          <cell r="C278" t="str">
            <v>Turnov</v>
          </cell>
          <cell r="D278" t="str">
            <v>CZ/C2</v>
          </cell>
          <cell r="E278" t="str">
            <v>M</v>
          </cell>
          <cell r="F278" t="str">
            <v/>
          </cell>
        </row>
        <row r="279">
          <cell r="A279" t="str">
            <v>Jaroslav Buryan</v>
          </cell>
          <cell r="B279">
            <v>1953</v>
          </cell>
          <cell r="C279" t="str">
            <v>Zábřeh</v>
          </cell>
          <cell r="D279" t="str">
            <v>CZ/M</v>
          </cell>
          <cell r="E279" t="str">
            <v>M</v>
          </cell>
          <cell r="F279" t="str">
            <v/>
          </cell>
        </row>
        <row r="280">
          <cell r="A280" t="str">
            <v>Jaroslav Cempirek 51</v>
          </cell>
          <cell r="B280">
            <v>1951</v>
          </cell>
          <cell r="C280" t="str">
            <v>Jindřichův Hradec</v>
          </cell>
          <cell r="D280" t="str">
            <v>CZ/C1</v>
          </cell>
          <cell r="E280" t="str">
            <v>M</v>
          </cell>
          <cell r="F280" t="str">
            <v/>
          </cell>
        </row>
        <row r="281">
          <cell r="A281" t="str">
            <v>Jaroslav Cempirek 77</v>
          </cell>
          <cell r="B281">
            <v>1977</v>
          </cell>
          <cell r="C281" t="str">
            <v>Jihlava</v>
          </cell>
          <cell r="D281" t="str">
            <v>CZ/M</v>
          </cell>
          <cell r="E281" t="str">
            <v>M</v>
          </cell>
          <cell r="F281" t="str">
            <v/>
          </cell>
        </row>
        <row r="282">
          <cell r="A282" t="str">
            <v>Jaroslav Cejka</v>
          </cell>
          <cell r="B282">
            <v>1952</v>
          </cell>
          <cell r="C282" t="str">
            <v>Letkov</v>
          </cell>
          <cell r="D282" t="str">
            <v>CZ/C1</v>
          </cell>
          <cell r="E282" t="str">
            <v>M</v>
          </cell>
          <cell r="F282" t="str">
            <v/>
          </cell>
        </row>
        <row r="283">
          <cell r="A283" t="str">
            <v>Jaroslav Deml</v>
          </cell>
          <cell r="B283">
            <v>1986</v>
          </cell>
          <cell r="C283" t="str">
            <v>Hořice</v>
          </cell>
          <cell r="D283" t="str">
            <v>CZ/C2</v>
          </cell>
          <cell r="E283" t="str">
            <v>M</v>
          </cell>
          <cell r="F283" t="str">
            <v/>
          </cell>
        </row>
        <row r="284">
          <cell r="A284" t="str">
            <v>Jaroslav Dvorak</v>
          </cell>
          <cell r="B284">
            <v>1980</v>
          </cell>
          <cell r="C284" t="str">
            <v>Letkov</v>
          </cell>
          <cell r="D284" t="str">
            <v>CZ/C1</v>
          </cell>
          <cell r="E284" t="str">
            <v>M</v>
          </cell>
          <cell r="F284" t="str">
            <v/>
          </cell>
        </row>
        <row r="285">
          <cell r="A285" t="str">
            <v>Jaroslav Florian</v>
          </cell>
          <cell r="B285">
            <v>1977</v>
          </cell>
          <cell r="C285" t="str">
            <v>Medlánky</v>
          </cell>
          <cell r="D285" t="str">
            <v>CZ/M</v>
          </cell>
          <cell r="E285" t="str">
            <v>M</v>
          </cell>
          <cell r="F285" t="str">
            <v/>
          </cell>
        </row>
        <row r="286">
          <cell r="A286" t="str">
            <v>Jaroslav Hendrych</v>
          </cell>
          <cell r="B286">
            <v>1946</v>
          </cell>
          <cell r="C286" t="str">
            <v>Příbram</v>
          </cell>
          <cell r="D286" t="str">
            <v>CZ/C1</v>
          </cell>
          <cell r="E286" t="str">
            <v>M</v>
          </cell>
          <cell r="F286" t="str">
            <v/>
          </cell>
        </row>
        <row r="287">
          <cell r="A287" t="str">
            <v>Jaroslav Hot</v>
          </cell>
          <cell r="B287">
            <v>1965</v>
          </cell>
          <cell r="C287" t="str">
            <v>Toužim</v>
          </cell>
          <cell r="D287" t="str">
            <v>CZ/C1</v>
          </cell>
          <cell r="E287" t="str">
            <v>M</v>
          </cell>
          <cell r="F287" t="str">
            <v/>
          </cell>
        </row>
        <row r="288">
          <cell r="A288" t="str">
            <v>Jaroslav Juracka</v>
          </cell>
          <cell r="B288">
            <v>1971</v>
          </cell>
          <cell r="C288" t="str">
            <v>Křižanov</v>
          </cell>
          <cell r="D288" t="str">
            <v>CZ/M</v>
          </cell>
          <cell r="E288" t="str">
            <v>M</v>
          </cell>
          <cell r="F288" t="str">
            <v/>
          </cell>
        </row>
        <row r="289">
          <cell r="A289" t="str">
            <v>Jaroslav Kacer</v>
          </cell>
          <cell r="B289">
            <v>1978</v>
          </cell>
          <cell r="C289" t="str">
            <v>Raná</v>
          </cell>
          <cell r="D289" t="str">
            <v>CZ/C2</v>
          </cell>
          <cell r="E289" t="str">
            <v>M</v>
          </cell>
          <cell r="F289" t="str">
            <v/>
          </cell>
        </row>
        <row r="290">
          <cell r="A290" t="str">
            <v>Jaroslav Kares</v>
          </cell>
          <cell r="B290">
            <v>1962</v>
          </cell>
          <cell r="C290" t="str">
            <v>Olomouc</v>
          </cell>
          <cell r="D290" t="str">
            <v>CZ/M</v>
          </cell>
          <cell r="E290" t="str">
            <v>M</v>
          </cell>
          <cell r="F290" t="str">
            <v/>
          </cell>
        </row>
        <row r="291">
          <cell r="A291" t="str">
            <v>Jaroslav Koudelka 95</v>
          </cell>
          <cell r="B291">
            <v>1995</v>
          </cell>
          <cell r="C291" t="str">
            <v>Hosín</v>
          </cell>
          <cell r="D291" t="str">
            <v>CZ/C1</v>
          </cell>
          <cell r="E291" t="str">
            <v>M</v>
          </cell>
          <cell r="F291" t="str">
            <v/>
          </cell>
        </row>
        <row r="292">
          <cell r="A292" t="str">
            <v>Jaroslav Kral</v>
          </cell>
          <cell r="B292">
            <v>1961</v>
          </cell>
          <cell r="C292" t="str">
            <v>Přibyslav</v>
          </cell>
          <cell r="D292" t="str">
            <v>CZ/C2</v>
          </cell>
          <cell r="E292" t="str">
            <v>M</v>
          </cell>
          <cell r="F292" t="str">
            <v/>
          </cell>
        </row>
        <row r="293">
          <cell r="A293" t="str">
            <v>Jaroslav Marek</v>
          </cell>
          <cell r="B293">
            <v>1938</v>
          </cell>
          <cell r="C293" t="str">
            <v>Luhačovice</v>
          </cell>
          <cell r="D293" t="str">
            <v>CZ/M</v>
          </cell>
          <cell r="E293" t="str">
            <v>M</v>
          </cell>
          <cell r="F293" t="str">
            <v/>
          </cell>
        </row>
        <row r="294">
          <cell r="A294" t="str">
            <v>Jaroslav Nedorost</v>
          </cell>
          <cell r="B294">
            <v>1986</v>
          </cell>
          <cell r="C294" t="str">
            <v>Letňany</v>
          </cell>
          <cell r="D294" t="str">
            <v>CZ/C1</v>
          </cell>
          <cell r="E294" t="str">
            <v>M</v>
          </cell>
          <cell r="F294" t="str">
            <v/>
          </cell>
        </row>
        <row r="295">
          <cell r="A295" t="str">
            <v>Jaroslav Palicka</v>
          </cell>
          <cell r="B295">
            <v>1992</v>
          </cell>
          <cell r="C295" t="str">
            <v>Frýdlant</v>
          </cell>
          <cell r="D295" t="str">
            <v>CZ/M</v>
          </cell>
          <cell r="E295" t="str">
            <v>M</v>
          </cell>
          <cell r="F295" t="str">
            <v/>
          </cell>
        </row>
        <row r="296">
          <cell r="A296" t="str">
            <v>Jaroslav Petrasek</v>
          </cell>
          <cell r="B296">
            <v>1976</v>
          </cell>
          <cell r="C296" t="str">
            <v>Jičín</v>
          </cell>
          <cell r="D296" t="str">
            <v>CZ/C2</v>
          </cell>
          <cell r="E296" t="str">
            <v>M</v>
          </cell>
          <cell r="F296" t="str">
            <v/>
          </cell>
        </row>
        <row r="297">
          <cell r="A297" t="str">
            <v>Jaroslav Potmesil</v>
          </cell>
          <cell r="B297">
            <v>1964</v>
          </cell>
          <cell r="C297" t="str">
            <v>Zbraslavice</v>
          </cell>
          <cell r="D297" t="str">
            <v>CZ/C1</v>
          </cell>
          <cell r="E297" t="str">
            <v>M</v>
          </cell>
          <cell r="F297" t="str">
            <v/>
          </cell>
        </row>
        <row r="298">
          <cell r="A298" t="str">
            <v>Jaroslav Rapac</v>
          </cell>
          <cell r="B298">
            <v>1977</v>
          </cell>
          <cell r="C298" t="str">
            <v>Dvůr Králové</v>
          </cell>
          <cell r="D298" t="str">
            <v>CZ/C2</v>
          </cell>
          <cell r="E298" t="str">
            <v>M</v>
          </cell>
          <cell r="F298" t="str">
            <v/>
          </cell>
        </row>
        <row r="299">
          <cell r="A299" t="str">
            <v>Jaroslav Sefc</v>
          </cell>
          <cell r="B299">
            <v>1971</v>
          </cell>
          <cell r="C299" t="str">
            <v>Broumov</v>
          </cell>
          <cell r="D299" t="str">
            <v>CZ/C2</v>
          </cell>
          <cell r="E299" t="str">
            <v>M</v>
          </cell>
          <cell r="F299" t="str">
            <v/>
          </cell>
        </row>
        <row r="300">
          <cell r="A300" t="str">
            <v>Jaroslav Sima</v>
          </cell>
          <cell r="B300">
            <v>1972</v>
          </cell>
          <cell r="C300" t="str">
            <v>Chomutov</v>
          </cell>
          <cell r="D300" t="str">
            <v>CZ/C2</v>
          </cell>
          <cell r="E300" t="str">
            <v>M</v>
          </cell>
          <cell r="F300" t="str">
            <v/>
          </cell>
        </row>
        <row r="301">
          <cell r="A301" t="str">
            <v>Jaroslav Simek</v>
          </cell>
          <cell r="B301">
            <v>1968</v>
          </cell>
          <cell r="C301" t="str">
            <v>Letkov</v>
          </cell>
          <cell r="D301" t="str">
            <v>CZ/C1</v>
          </cell>
          <cell r="E301" t="str">
            <v>M</v>
          </cell>
          <cell r="F301" t="str">
            <v/>
          </cell>
        </row>
        <row r="302">
          <cell r="A302" t="str">
            <v>Jaroslav Szakal</v>
          </cell>
          <cell r="B302">
            <v>1955</v>
          </cell>
          <cell r="C302" t="str">
            <v>Jaroměř</v>
          </cell>
          <cell r="D302" t="str">
            <v>CZ/C2</v>
          </cell>
          <cell r="E302" t="str">
            <v>M</v>
          </cell>
          <cell r="F302" t="str">
            <v/>
          </cell>
        </row>
        <row r="303">
          <cell r="A303" t="str">
            <v>Jaroslav Tomana</v>
          </cell>
          <cell r="B303">
            <v>1975</v>
          </cell>
          <cell r="C303" t="str">
            <v>Zbraslavice</v>
          </cell>
          <cell r="D303" t="str">
            <v>CZ/C1</v>
          </cell>
          <cell r="E303" t="str">
            <v>M</v>
          </cell>
          <cell r="F303" t="str">
            <v/>
          </cell>
        </row>
        <row r="304">
          <cell r="A304" t="str">
            <v>Jaroslav Tyls</v>
          </cell>
          <cell r="B304">
            <v>1941</v>
          </cell>
          <cell r="C304" t="str">
            <v>Hronov</v>
          </cell>
          <cell r="D304" t="str">
            <v>CZ/C2</v>
          </cell>
          <cell r="E304" t="str">
            <v>M</v>
          </cell>
          <cell r="F304" t="str">
            <v/>
          </cell>
        </row>
        <row r="305">
          <cell r="A305" t="str">
            <v>Jaroslav Vancata</v>
          </cell>
          <cell r="B305">
            <v>1985</v>
          </cell>
          <cell r="C305" t="str">
            <v>Raná</v>
          </cell>
          <cell r="D305" t="str">
            <v>CZ/C2</v>
          </cell>
          <cell r="E305" t="str">
            <v>M</v>
          </cell>
          <cell r="F305" t="str">
            <v/>
          </cell>
        </row>
        <row r="306">
          <cell r="A306" t="str">
            <v>Jaroslav Zavrel</v>
          </cell>
          <cell r="B306">
            <v>1971</v>
          </cell>
          <cell r="C306" t="str">
            <v>Medlánky</v>
          </cell>
          <cell r="D306" t="str">
            <v>CZ/M</v>
          </cell>
          <cell r="E306" t="str">
            <v>M</v>
          </cell>
          <cell r="F306" t="str">
            <v/>
          </cell>
        </row>
        <row r="307">
          <cell r="A307" t="str">
            <v>Jindrich Hala</v>
          </cell>
          <cell r="B307">
            <v>1989</v>
          </cell>
          <cell r="C307" t="str">
            <v>Rakovník</v>
          </cell>
          <cell r="D307" t="str">
            <v>CZ/C1</v>
          </cell>
          <cell r="E307" t="str">
            <v>M</v>
          </cell>
          <cell r="F307" t="str">
            <v/>
          </cell>
        </row>
        <row r="308">
          <cell r="A308" t="str">
            <v>Jindrich Hruska</v>
          </cell>
          <cell r="B308">
            <v>1986</v>
          </cell>
          <cell r="C308" t="str">
            <v>Soběslav</v>
          </cell>
          <cell r="D308" t="str">
            <v>CZ/C1</v>
          </cell>
          <cell r="E308" t="str">
            <v>M</v>
          </cell>
          <cell r="F308" t="str">
            <v/>
          </cell>
        </row>
        <row r="309">
          <cell r="A309" t="str">
            <v>Jindrich Svorc</v>
          </cell>
          <cell r="B309">
            <v>1978</v>
          </cell>
          <cell r="C309" t="str">
            <v>Letňany</v>
          </cell>
          <cell r="D309" t="str">
            <v>CZ/C1</v>
          </cell>
          <cell r="E309" t="str">
            <v>M</v>
          </cell>
          <cell r="F309" t="str">
            <v/>
          </cell>
        </row>
        <row r="310">
          <cell r="A310" t="str">
            <v>Jindriska Sloukova</v>
          </cell>
          <cell r="B310">
            <v>1973</v>
          </cell>
          <cell r="C310" t="str">
            <v>Medlánky</v>
          </cell>
          <cell r="D310" t="str">
            <v>CZ/M</v>
          </cell>
          <cell r="E310" t="str">
            <v>F</v>
          </cell>
          <cell r="F310" t="str">
            <v/>
          </cell>
        </row>
        <row r="311">
          <cell r="A311" t="str">
            <v>Jirka Rybar</v>
          </cell>
          <cell r="B311">
            <v>1958</v>
          </cell>
          <cell r="C311" t="str">
            <v>Hodkovice</v>
          </cell>
          <cell r="D311" t="str">
            <v>CZ/C2</v>
          </cell>
          <cell r="E311" t="str">
            <v>M</v>
          </cell>
          <cell r="F311" t="str">
            <v/>
          </cell>
        </row>
        <row r="312">
          <cell r="A312" t="str">
            <v>Jiri Balak</v>
          </cell>
          <cell r="B312">
            <v>1978</v>
          </cell>
          <cell r="C312" t="str">
            <v>Zbraslavice</v>
          </cell>
          <cell r="D312" t="str">
            <v>CZ/C1</v>
          </cell>
          <cell r="E312" t="str">
            <v>M</v>
          </cell>
          <cell r="F312" t="str">
            <v/>
          </cell>
        </row>
        <row r="313">
          <cell r="A313" t="str">
            <v>Jiri Bartak</v>
          </cell>
          <cell r="B313">
            <v>1978</v>
          </cell>
          <cell r="C313" t="str">
            <v>Letkov</v>
          </cell>
          <cell r="D313" t="str">
            <v>CZ/C1</v>
          </cell>
          <cell r="E313" t="str">
            <v>M</v>
          </cell>
          <cell r="F313" t="str">
            <v/>
          </cell>
        </row>
        <row r="314">
          <cell r="A314" t="str">
            <v>Jiri Bartunek</v>
          </cell>
          <cell r="B314">
            <v>1982</v>
          </cell>
          <cell r="C314" t="str">
            <v>Mladá Boleslav</v>
          </cell>
          <cell r="D314" t="str">
            <v>CZ/C1</v>
          </cell>
          <cell r="E314" t="str">
            <v>M</v>
          </cell>
          <cell r="F314" t="str">
            <v/>
          </cell>
        </row>
        <row r="315">
          <cell r="A315" t="str">
            <v>Jiri Bastl</v>
          </cell>
          <cell r="B315">
            <v>1944</v>
          </cell>
          <cell r="C315" t="str">
            <v>Turnov</v>
          </cell>
          <cell r="D315" t="str">
            <v>CZ/C2</v>
          </cell>
          <cell r="E315" t="str">
            <v>M</v>
          </cell>
          <cell r="F315" t="str">
            <v/>
          </cell>
        </row>
        <row r="316">
          <cell r="A316" t="str">
            <v>Jiri Bergman</v>
          </cell>
          <cell r="B316">
            <v>1978</v>
          </cell>
          <cell r="C316" t="str">
            <v>Mladá Boleslav</v>
          </cell>
          <cell r="D316" t="str">
            <v>CZ/C1</v>
          </cell>
          <cell r="E316" t="str">
            <v>M</v>
          </cell>
          <cell r="F316" t="str">
            <v/>
          </cell>
        </row>
        <row r="317">
          <cell r="A317" t="str">
            <v>Jiri Bojko</v>
          </cell>
          <cell r="B317">
            <v>1959</v>
          </cell>
          <cell r="C317" t="str">
            <v>Krnov</v>
          </cell>
          <cell r="D317" t="str">
            <v>CZ/M</v>
          </cell>
          <cell r="E317" t="str">
            <v>M</v>
          </cell>
          <cell r="F317" t="str">
            <v/>
          </cell>
        </row>
        <row r="318">
          <cell r="A318" t="str">
            <v>Jiri Bulanek</v>
          </cell>
          <cell r="B318">
            <v>1983</v>
          </cell>
          <cell r="C318" t="str">
            <v>Rakovník</v>
          </cell>
          <cell r="D318" t="str">
            <v>CZ/C1</v>
          </cell>
          <cell r="E318" t="str">
            <v>M</v>
          </cell>
          <cell r="F318" t="str">
            <v/>
          </cell>
        </row>
        <row r="319">
          <cell r="A319" t="str">
            <v>Jiri Cincera</v>
          </cell>
          <cell r="B319">
            <v>1966</v>
          </cell>
          <cell r="C319" t="str">
            <v>Toužim</v>
          </cell>
          <cell r="D319" t="str">
            <v>CZ/C1</v>
          </cell>
          <cell r="E319" t="str">
            <v>M</v>
          </cell>
          <cell r="F319" t="str">
            <v/>
          </cell>
        </row>
        <row r="320">
          <cell r="A320" t="str">
            <v>Jiri Dockal</v>
          </cell>
          <cell r="B320">
            <v>1982</v>
          </cell>
          <cell r="C320" t="str">
            <v>Letňany</v>
          </cell>
          <cell r="D320" t="str">
            <v>CZ/C1</v>
          </cell>
          <cell r="E320" t="str">
            <v>M</v>
          </cell>
          <cell r="F320" t="str">
            <v/>
          </cell>
        </row>
        <row r="321">
          <cell r="A321" t="str">
            <v>Jiri Donat</v>
          </cell>
          <cell r="B321">
            <v>1983</v>
          </cell>
          <cell r="C321" t="str">
            <v>Letňany</v>
          </cell>
          <cell r="D321" t="str">
            <v>CZ/C1</v>
          </cell>
          <cell r="E321" t="str">
            <v>M</v>
          </cell>
          <cell r="F321" t="str">
            <v/>
          </cell>
        </row>
        <row r="322">
          <cell r="A322" t="str">
            <v>Jiri Fousek</v>
          </cell>
          <cell r="B322">
            <v>1990</v>
          </cell>
          <cell r="C322" t="str">
            <v>Raná</v>
          </cell>
          <cell r="D322" t="str">
            <v>CZ/C2</v>
          </cell>
          <cell r="E322" t="str">
            <v>M</v>
          </cell>
          <cell r="F322" t="str">
            <v/>
          </cell>
        </row>
        <row r="323">
          <cell r="A323" t="str">
            <v>Jiri Hendrych</v>
          </cell>
          <cell r="B323">
            <v>1943</v>
          </cell>
          <cell r="C323" t="str">
            <v>Točná</v>
          </cell>
          <cell r="D323" t="str">
            <v>CZ/C1</v>
          </cell>
          <cell r="E323" t="str">
            <v>M</v>
          </cell>
          <cell r="F323" t="str">
            <v/>
          </cell>
        </row>
        <row r="324">
          <cell r="A324" t="str">
            <v>Jiri Hodan</v>
          </cell>
          <cell r="B324">
            <v>1959</v>
          </cell>
          <cell r="C324" t="str">
            <v>Zbraslavice</v>
          </cell>
          <cell r="D324" t="str">
            <v>CZ/C1</v>
          </cell>
          <cell r="E324" t="str">
            <v>M</v>
          </cell>
          <cell r="F324" t="str">
            <v/>
          </cell>
        </row>
        <row r="325">
          <cell r="A325" t="str">
            <v>Jiri Holcman</v>
          </cell>
          <cell r="B325">
            <v>1976</v>
          </cell>
          <cell r="C325" t="str">
            <v>Hosín</v>
          </cell>
          <cell r="D325" t="str">
            <v>CZ/C1</v>
          </cell>
          <cell r="E325" t="str">
            <v>M</v>
          </cell>
          <cell r="F325" t="str">
            <v/>
          </cell>
        </row>
        <row r="326">
          <cell r="A326" t="str">
            <v>Jiri Horak</v>
          </cell>
          <cell r="B326">
            <v>1971</v>
          </cell>
          <cell r="C326" t="str">
            <v>Kladno</v>
          </cell>
          <cell r="D326" t="str">
            <v>CZ/C1</v>
          </cell>
          <cell r="E326" t="str">
            <v>M</v>
          </cell>
          <cell r="F326" t="str">
            <v/>
          </cell>
        </row>
        <row r="327">
          <cell r="A327" t="str">
            <v>Jiri Hula</v>
          </cell>
          <cell r="B327">
            <v>1973</v>
          </cell>
          <cell r="C327" t="str">
            <v>Slaný</v>
          </cell>
          <cell r="D327" t="str">
            <v>CZ/C1</v>
          </cell>
          <cell r="E327" t="str">
            <v>M</v>
          </cell>
          <cell r="F327" t="str">
            <v/>
          </cell>
        </row>
        <row r="328">
          <cell r="A328" t="str">
            <v>Jiri Janda</v>
          </cell>
          <cell r="B328">
            <v>1966</v>
          </cell>
          <cell r="C328" t="str">
            <v>Letňany</v>
          </cell>
          <cell r="D328" t="str">
            <v>CZ/C1</v>
          </cell>
          <cell r="E328" t="str">
            <v>M</v>
          </cell>
          <cell r="F328" t="str">
            <v/>
          </cell>
        </row>
        <row r="329">
          <cell r="A329" t="str">
            <v>Jiri Jirmus</v>
          </cell>
          <cell r="B329">
            <v>2003</v>
          </cell>
          <cell r="C329" t="str">
            <v>Tábor</v>
          </cell>
          <cell r="D329" t="str">
            <v>CZ/C1</v>
          </cell>
          <cell r="E329" t="str">
            <v>M</v>
          </cell>
          <cell r="F329" t="str">
            <v>Junior v roce 2026</v>
          </cell>
        </row>
        <row r="330">
          <cell r="A330" t="str">
            <v>Jiri Klicnar</v>
          </cell>
          <cell r="B330">
            <v>1965</v>
          </cell>
          <cell r="C330" t="str">
            <v>Medlánky</v>
          </cell>
          <cell r="D330" t="str">
            <v>CZ/M</v>
          </cell>
          <cell r="E330" t="str">
            <v>M</v>
          </cell>
          <cell r="F330" t="str">
            <v/>
          </cell>
        </row>
        <row r="331">
          <cell r="A331" t="str">
            <v>Jiri Kobik</v>
          </cell>
          <cell r="B331">
            <v>1952</v>
          </cell>
          <cell r="C331" t="str">
            <v>Hořice</v>
          </cell>
          <cell r="D331" t="str">
            <v>CZ/C2</v>
          </cell>
          <cell r="E331" t="str">
            <v>M</v>
          </cell>
          <cell r="F331" t="str">
            <v/>
          </cell>
        </row>
        <row r="332">
          <cell r="A332" t="str">
            <v>Jiri Kohoutek</v>
          </cell>
          <cell r="B332">
            <v>1983</v>
          </cell>
          <cell r="C332" t="str">
            <v>Olomouc</v>
          </cell>
          <cell r="D332" t="str">
            <v>CZ/M</v>
          </cell>
          <cell r="E332" t="str">
            <v>M</v>
          </cell>
          <cell r="F332" t="str">
            <v/>
          </cell>
        </row>
        <row r="333">
          <cell r="A333" t="str">
            <v>Jiri Kokrment</v>
          </cell>
          <cell r="B333">
            <v>1950</v>
          </cell>
          <cell r="C333" t="str">
            <v>Frýdlant</v>
          </cell>
          <cell r="D333" t="str">
            <v>CZ/M</v>
          </cell>
          <cell r="E333" t="str">
            <v>M</v>
          </cell>
          <cell r="F333" t="str">
            <v/>
          </cell>
        </row>
        <row r="334">
          <cell r="A334" t="str">
            <v>Jiri Koudela</v>
          </cell>
          <cell r="B334">
            <v>1974</v>
          </cell>
          <cell r="C334" t="str">
            <v>Vyškov</v>
          </cell>
          <cell r="D334" t="str">
            <v>CZ/M</v>
          </cell>
          <cell r="E334" t="str">
            <v>M</v>
          </cell>
          <cell r="F334" t="str">
            <v/>
          </cell>
        </row>
        <row r="335">
          <cell r="A335" t="str">
            <v>Jiri Kratochvil</v>
          </cell>
          <cell r="B335">
            <v>2003</v>
          </cell>
          <cell r="C335" t="str">
            <v>Podhořany</v>
          </cell>
          <cell r="D335" t="str">
            <v>CZ/C2</v>
          </cell>
          <cell r="E335" t="str">
            <v>M</v>
          </cell>
          <cell r="F335" t="str">
            <v>Junior v roce 2026</v>
          </cell>
        </row>
        <row r="336">
          <cell r="A336" t="str">
            <v>Jiri Krofta</v>
          </cell>
          <cell r="B336">
            <v>1988</v>
          </cell>
          <cell r="C336" t="str">
            <v>Hosín</v>
          </cell>
          <cell r="D336" t="str">
            <v>CZ/C1</v>
          </cell>
          <cell r="E336" t="str">
            <v>M</v>
          </cell>
          <cell r="F336" t="str">
            <v/>
          </cell>
        </row>
        <row r="337">
          <cell r="A337" t="str">
            <v>Jiri Krticka</v>
          </cell>
          <cell r="B337">
            <v>1965</v>
          </cell>
          <cell r="C337" t="str">
            <v>Jaroměř</v>
          </cell>
          <cell r="D337" t="str">
            <v>CZ/C2</v>
          </cell>
          <cell r="E337" t="str">
            <v>M</v>
          </cell>
          <cell r="F337" t="str">
            <v/>
          </cell>
        </row>
        <row r="338">
          <cell r="A338" t="str">
            <v>Jiri Krzanowski</v>
          </cell>
          <cell r="B338">
            <v>1944</v>
          </cell>
          <cell r="C338" t="str">
            <v>Letkov</v>
          </cell>
          <cell r="D338" t="str">
            <v>CZ/C1</v>
          </cell>
          <cell r="E338" t="str">
            <v>M</v>
          </cell>
          <cell r="F338" t="str">
            <v/>
          </cell>
        </row>
        <row r="339">
          <cell r="A339" t="str">
            <v>Jiri Kupec</v>
          </cell>
          <cell r="B339">
            <v>1960</v>
          </cell>
          <cell r="C339" t="str">
            <v>Medlánky</v>
          </cell>
          <cell r="D339" t="str">
            <v>CZ/M</v>
          </cell>
          <cell r="E339" t="str">
            <v>M</v>
          </cell>
          <cell r="F339" t="str">
            <v/>
          </cell>
        </row>
        <row r="340">
          <cell r="A340" t="str">
            <v>Jiri Kusbach</v>
          </cell>
          <cell r="B340">
            <v>1959</v>
          </cell>
          <cell r="C340" t="str">
            <v>Luhačovice</v>
          </cell>
          <cell r="D340" t="str">
            <v>CZ/M</v>
          </cell>
          <cell r="E340" t="str">
            <v>M</v>
          </cell>
          <cell r="F340" t="str">
            <v/>
          </cell>
        </row>
        <row r="341">
          <cell r="A341" t="str">
            <v>Jiri Kyslik</v>
          </cell>
          <cell r="B341">
            <v>1968</v>
          </cell>
          <cell r="C341" t="str">
            <v>Česká Lípa</v>
          </cell>
          <cell r="D341" t="str">
            <v>CZ/C2</v>
          </cell>
          <cell r="E341" t="str">
            <v>M</v>
          </cell>
          <cell r="F341" t="str">
            <v/>
          </cell>
        </row>
        <row r="342">
          <cell r="A342" t="str">
            <v>Jiri Lenik</v>
          </cell>
          <cell r="B342">
            <v>1947</v>
          </cell>
          <cell r="C342" t="str">
            <v>Raná</v>
          </cell>
          <cell r="D342" t="str">
            <v>CZ/C2</v>
          </cell>
          <cell r="E342" t="str">
            <v>M</v>
          </cell>
          <cell r="F342" t="str">
            <v/>
          </cell>
        </row>
        <row r="343">
          <cell r="A343" t="str">
            <v>Jiri Maier 66</v>
          </cell>
          <cell r="B343">
            <v>1966</v>
          </cell>
          <cell r="C343" t="str">
            <v>Raná</v>
          </cell>
          <cell r="D343" t="str">
            <v>CZ/C2</v>
          </cell>
          <cell r="E343" t="str">
            <v>M</v>
          </cell>
          <cell r="F343" t="str">
            <v/>
          </cell>
        </row>
        <row r="344">
          <cell r="A344" t="str">
            <v>Jiri Maier 99</v>
          </cell>
          <cell r="B344">
            <v>1999</v>
          </cell>
          <cell r="C344" t="str">
            <v>Raná</v>
          </cell>
          <cell r="D344" t="str">
            <v>CZ/C2</v>
          </cell>
          <cell r="E344" t="str">
            <v>M</v>
          </cell>
          <cell r="F344" t="str">
            <v/>
          </cell>
        </row>
        <row r="345">
          <cell r="A345" t="str">
            <v>Jiri Mlejnek</v>
          </cell>
          <cell r="B345">
            <v>1984</v>
          </cell>
          <cell r="C345" t="str">
            <v>Mladá Boleslav</v>
          </cell>
          <cell r="D345" t="str">
            <v>CZ/C1</v>
          </cell>
          <cell r="E345" t="str">
            <v>M</v>
          </cell>
          <cell r="F345" t="str">
            <v/>
          </cell>
        </row>
        <row r="346">
          <cell r="A346" t="str">
            <v>Jiri Obst</v>
          </cell>
          <cell r="B346">
            <v>1964</v>
          </cell>
          <cell r="C346" t="str">
            <v>Vrchlabí</v>
          </cell>
          <cell r="D346" t="str">
            <v>CZ/C2</v>
          </cell>
          <cell r="E346" t="str">
            <v>M</v>
          </cell>
          <cell r="F346" t="str">
            <v/>
          </cell>
        </row>
        <row r="347">
          <cell r="A347" t="str">
            <v>Jiri Pajer</v>
          </cell>
          <cell r="B347">
            <v>1977</v>
          </cell>
          <cell r="C347" t="str">
            <v>Zbraslavice</v>
          </cell>
          <cell r="D347" t="str">
            <v>CZ/C1</v>
          </cell>
          <cell r="E347" t="str">
            <v>M</v>
          </cell>
          <cell r="F347" t="str">
            <v/>
          </cell>
        </row>
        <row r="348">
          <cell r="A348" t="str">
            <v>Jiri Pelucha</v>
          </cell>
          <cell r="B348">
            <v>1984</v>
          </cell>
          <cell r="C348" t="str">
            <v>Frýdlant</v>
          </cell>
          <cell r="D348" t="str">
            <v>CZ/M</v>
          </cell>
          <cell r="E348" t="str">
            <v>M</v>
          </cell>
          <cell r="F348" t="str">
            <v/>
          </cell>
        </row>
        <row r="349">
          <cell r="A349" t="str">
            <v>Jiri Pesta</v>
          </cell>
          <cell r="B349">
            <v>1973</v>
          </cell>
          <cell r="C349" t="str">
            <v>Dvůr Králové</v>
          </cell>
          <cell r="D349" t="str">
            <v>CZ/C2</v>
          </cell>
          <cell r="E349" t="str">
            <v>M</v>
          </cell>
          <cell r="F349" t="str">
            <v/>
          </cell>
        </row>
        <row r="350">
          <cell r="A350" t="str">
            <v>Jiri Peterka</v>
          </cell>
          <cell r="B350">
            <v>1951</v>
          </cell>
          <cell r="C350" t="str">
            <v>Křižanov</v>
          </cell>
          <cell r="D350" t="str">
            <v>CZ/M</v>
          </cell>
          <cell r="E350" t="str">
            <v>M</v>
          </cell>
          <cell r="F350" t="str">
            <v/>
          </cell>
        </row>
        <row r="351">
          <cell r="A351" t="str">
            <v>Jiri Piskaty</v>
          </cell>
          <cell r="B351">
            <v>1962</v>
          </cell>
          <cell r="C351" t="str">
            <v>Kunovice</v>
          </cell>
          <cell r="D351" t="str">
            <v>CZ/M</v>
          </cell>
          <cell r="E351" t="str">
            <v>M</v>
          </cell>
          <cell r="F351" t="str">
            <v/>
          </cell>
        </row>
        <row r="352">
          <cell r="A352" t="str">
            <v>Jiri Pixa</v>
          </cell>
          <cell r="B352">
            <v>1968</v>
          </cell>
          <cell r="C352" t="str">
            <v>Slaný</v>
          </cell>
          <cell r="D352" t="str">
            <v>CZ/C1</v>
          </cell>
          <cell r="E352" t="str">
            <v>M</v>
          </cell>
          <cell r="F352" t="str">
            <v/>
          </cell>
        </row>
        <row r="353">
          <cell r="A353" t="str">
            <v>Jiri Prochazka</v>
          </cell>
          <cell r="B353">
            <v>1971</v>
          </cell>
          <cell r="C353" t="str">
            <v>Toužim</v>
          </cell>
          <cell r="D353" t="str">
            <v>CZ/C1</v>
          </cell>
          <cell r="E353" t="str">
            <v>M</v>
          </cell>
          <cell r="F353" t="str">
            <v/>
          </cell>
        </row>
        <row r="354">
          <cell r="A354" t="str">
            <v>Jiri Prucha</v>
          </cell>
          <cell r="B354">
            <v>1963</v>
          </cell>
          <cell r="C354" t="str">
            <v>Chomutov</v>
          </cell>
          <cell r="D354" t="str">
            <v>CZ/C2</v>
          </cell>
          <cell r="E354" t="str">
            <v>M</v>
          </cell>
          <cell r="F354" t="str">
            <v/>
          </cell>
        </row>
        <row r="355">
          <cell r="A355" t="str">
            <v>Jiri Skarka</v>
          </cell>
          <cell r="B355">
            <v>1965</v>
          </cell>
          <cell r="C355" t="str">
            <v>Chomutov</v>
          </cell>
          <cell r="D355" t="str">
            <v>CZ/C2</v>
          </cell>
          <cell r="E355" t="str">
            <v>M</v>
          </cell>
          <cell r="F355" t="str">
            <v/>
          </cell>
        </row>
        <row r="356">
          <cell r="A356" t="str">
            <v>Jiri Slouka</v>
          </cell>
          <cell r="B356">
            <v>1967</v>
          </cell>
          <cell r="C356" t="str">
            <v>Medlánky</v>
          </cell>
          <cell r="D356" t="str">
            <v>CZ/M</v>
          </cell>
          <cell r="E356" t="str">
            <v>M</v>
          </cell>
          <cell r="F356" t="str">
            <v/>
          </cell>
        </row>
        <row r="357">
          <cell r="A357" t="str">
            <v>Jiri Sohr</v>
          </cell>
          <cell r="B357">
            <v>1960</v>
          </cell>
          <cell r="C357" t="str">
            <v>Šumperk</v>
          </cell>
          <cell r="D357" t="str">
            <v>CZ/M</v>
          </cell>
          <cell r="E357" t="str">
            <v>M</v>
          </cell>
          <cell r="F357" t="str">
            <v/>
          </cell>
        </row>
        <row r="358">
          <cell r="A358" t="str">
            <v>Jiri Steiger</v>
          </cell>
          <cell r="B358">
            <v>1969</v>
          </cell>
          <cell r="C358" t="str">
            <v>Olomouc</v>
          </cell>
          <cell r="D358" t="str">
            <v>CZ/M</v>
          </cell>
          <cell r="E358" t="str">
            <v>M</v>
          </cell>
          <cell r="F358" t="str">
            <v/>
          </cell>
        </row>
        <row r="359">
          <cell r="A359" t="str">
            <v>Jiri Suchomel</v>
          </cell>
          <cell r="B359">
            <v>1950</v>
          </cell>
          <cell r="C359" t="str">
            <v>Broumov</v>
          </cell>
          <cell r="D359" t="str">
            <v>CZ/C2</v>
          </cell>
          <cell r="E359" t="str">
            <v>M</v>
          </cell>
          <cell r="F359" t="str">
            <v/>
          </cell>
        </row>
        <row r="360">
          <cell r="A360" t="str">
            <v>Jiri Slemr</v>
          </cell>
          <cell r="B360">
            <v>1979</v>
          </cell>
          <cell r="C360" t="str">
            <v>Vysoké Mýto</v>
          </cell>
          <cell r="D360" t="str">
            <v>CZ/C2</v>
          </cell>
          <cell r="E360" t="str">
            <v>M</v>
          </cell>
          <cell r="F360" t="str">
            <v/>
          </cell>
        </row>
        <row r="361">
          <cell r="A361" t="str">
            <v>Jiri Stepanek</v>
          </cell>
          <cell r="B361">
            <v>1956</v>
          </cell>
          <cell r="C361" t="str">
            <v>Moravská Třebová</v>
          </cell>
          <cell r="D361" t="str">
            <v>CZ/M</v>
          </cell>
          <cell r="E361" t="str">
            <v>M</v>
          </cell>
          <cell r="F361" t="str">
            <v/>
          </cell>
        </row>
        <row r="362">
          <cell r="A362" t="str">
            <v>Jiri Tomicek</v>
          </cell>
          <cell r="B362">
            <v>1947</v>
          </cell>
          <cell r="C362" t="str">
            <v>Dvůr Králové</v>
          </cell>
          <cell r="D362" t="str">
            <v>CZ/C2</v>
          </cell>
          <cell r="E362" t="str">
            <v>M</v>
          </cell>
          <cell r="F362" t="str">
            <v/>
          </cell>
        </row>
        <row r="363">
          <cell r="A363" t="str">
            <v>Jiri Valentr</v>
          </cell>
          <cell r="B363">
            <v>1947</v>
          </cell>
          <cell r="C363" t="str">
            <v>Rakovník</v>
          </cell>
          <cell r="D363" t="str">
            <v>CZ/C1</v>
          </cell>
          <cell r="E363" t="str">
            <v>M</v>
          </cell>
          <cell r="F363" t="str">
            <v/>
          </cell>
        </row>
        <row r="364">
          <cell r="A364" t="str">
            <v>Jiri Vavrina</v>
          </cell>
          <cell r="B364">
            <v>1958</v>
          </cell>
          <cell r="C364" t="str">
            <v>Kyjov</v>
          </cell>
          <cell r="D364" t="str">
            <v>CZ/M</v>
          </cell>
          <cell r="E364" t="str">
            <v>M</v>
          </cell>
          <cell r="F364" t="str">
            <v/>
          </cell>
        </row>
        <row r="365">
          <cell r="A365" t="str">
            <v>Jiri Veprek</v>
          </cell>
          <cell r="B365">
            <v>1959</v>
          </cell>
          <cell r="C365" t="str">
            <v>Dvůr Králové</v>
          </cell>
          <cell r="D365" t="str">
            <v>CZ/C2</v>
          </cell>
          <cell r="E365" t="str">
            <v>M</v>
          </cell>
          <cell r="F365" t="str">
            <v/>
          </cell>
        </row>
        <row r="366">
          <cell r="A366" t="str">
            <v>Jiri Vojta</v>
          </cell>
          <cell r="B366">
            <v>1969</v>
          </cell>
          <cell r="C366" t="str">
            <v>Kroměříž</v>
          </cell>
          <cell r="D366" t="str">
            <v>CZ/M</v>
          </cell>
          <cell r="E366" t="str">
            <v>M</v>
          </cell>
          <cell r="F366" t="str">
            <v/>
          </cell>
        </row>
        <row r="367">
          <cell r="A367" t="str">
            <v>Jiri Vokrinek</v>
          </cell>
          <cell r="B367">
            <v>1965</v>
          </cell>
          <cell r="C367" t="str">
            <v>Hodkovice</v>
          </cell>
          <cell r="D367" t="str">
            <v>CZ/C2</v>
          </cell>
          <cell r="E367" t="str">
            <v>M</v>
          </cell>
          <cell r="F367" t="str">
            <v/>
          </cell>
        </row>
        <row r="368">
          <cell r="A368" t="str">
            <v>Jiri Vondracek</v>
          </cell>
          <cell r="B368">
            <v>1989</v>
          </cell>
          <cell r="C368" t="str">
            <v>Kladno</v>
          </cell>
          <cell r="D368" t="str">
            <v>CZ/C1</v>
          </cell>
          <cell r="E368" t="str">
            <v>M</v>
          </cell>
          <cell r="F368" t="str">
            <v/>
          </cell>
        </row>
        <row r="369">
          <cell r="A369" t="str">
            <v>Jiri Zablatzky</v>
          </cell>
          <cell r="B369">
            <v>1978</v>
          </cell>
          <cell r="C369" t="str">
            <v>Hranice</v>
          </cell>
          <cell r="D369" t="str">
            <v>CZ/M</v>
          </cell>
          <cell r="E369" t="str">
            <v>M</v>
          </cell>
          <cell r="F369" t="str">
            <v/>
          </cell>
        </row>
        <row r="370">
          <cell r="A370" t="str">
            <v>Jitka Hromkova</v>
          </cell>
          <cell r="B370">
            <v>1985</v>
          </cell>
          <cell r="C370" t="str">
            <v>Šumperk</v>
          </cell>
          <cell r="D370" t="str">
            <v>CZ/M</v>
          </cell>
          <cell r="E370" t="str">
            <v>F</v>
          </cell>
          <cell r="F370" t="str">
            <v/>
          </cell>
        </row>
        <row r="371">
          <cell r="A371" t="str">
            <v>Jitka Skalova</v>
          </cell>
          <cell r="B371">
            <v>1955</v>
          </cell>
          <cell r="C371" t="str">
            <v>Zbraslavice</v>
          </cell>
          <cell r="D371" t="str">
            <v>CZ/C1</v>
          </cell>
          <cell r="E371" t="str">
            <v>F</v>
          </cell>
          <cell r="F371" t="str">
            <v/>
          </cell>
        </row>
        <row r="372">
          <cell r="A372" t="str">
            <v>Jitka Zimova</v>
          </cell>
          <cell r="B372">
            <v>1981</v>
          </cell>
          <cell r="C372" t="str">
            <v>Hodkovice</v>
          </cell>
          <cell r="D372" t="str">
            <v>CZ/C2</v>
          </cell>
          <cell r="E372" t="str">
            <v>F</v>
          </cell>
          <cell r="F372" t="str">
            <v/>
          </cell>
        </row>
        <row r="373">
          <cell r="A373" t="str">
            <v>Josef Andrasovsky</v>
          </cell>
          <cell r="B373">
            <v>1954</v>
          </cell>
          <cell r="C373" t="str">
            <v>Jaroměř</v>
          </cell>
          <cell r="D373" t="str">
            <v>CZ/C2</v>
          </cell>
          <cell r="E373" t="str">
            <v>M</v>
          </cell>
          <cell r="F373" t="str">
            <v/>
          </cell>
        </row>
        <row r="374">
          <cell r="A374" t="str">
            <v>Josef Bacina</v>
          </cell>
          <cell r="B374">
            <v>1976</v>
          </cell>
          <cell r="C374" t="str">
            <v>Vysoké Mýto</v>
          </cell>
          <cell r="D374" t="str">
            <v>CZ/C2</v>
          </cell>
          <cell r="E374" t="str">
            <v>M</v>
          </cell>
          <cell r="F374" t="str">
            <v/>
          </cell>
        </row>
        <row r="375">
          <cell r="A375" t="str">
            <v>Josef Barta</v>
          </cell>
          <cell r="B375">
            <v>1977</v>
          </cell>
          <cell r="C375" t="str">
            <v>Vysoké Mýto</v>
          </cell>
          <cell r="D375" t="str">
            <v>CZ/C2</v>
          </cell>
          <cell r="E375" t="str">
            <v>M</v>
          </cell>
          <cell r="F375" t="str">
            <v/>
          </cell>
        </row>
        <row r="376">
          <cell r="A376" t="str">
            <v>Josef Beran</v>
          </cell>
          <cell r="B376">
            <v>1982</v>
          </cell>
          <cell r="C376" t="str">
            <v>Slaný</v>
          </cell>
          <cell r="D376" t="str">
            <v>CZ/C1</v>
          </cell>
          <cell r="E376" t="str">
            <v>M</v>
          </cell>
          <cell r="F376" t="str">
            <v/>
          </cell>
        </row>
        <row r="377">
          <cell r="A377" t="str">
            <v>Josef Bostik</v>
          </cell>
          <cell r="B377">
            <v>1963</v>
          </cell>
          <cell r="C377" t="str">
            <v>GAC Benešov</v>
          </cell>
          <cell r="D377" t="str">
            <v>CZ/C1</v>
          </cell>
          <cell r="E377" t="str">
            <v>M</v>
          </cell>
          <cell r="F377" t="str">
            <v/>
          </cell>
        </row>
        <row r="378">
          <cell r="A378" t="str">
            <v>Josef Busek</v>
          </cell>
          <cell r="B378">
            <v>1967</v>
          </cell>
          <cell r="C378" t="str">
            <v>Hosín</v>
          </cell>
          <cell r="D378" t="str">
            <v>CZ/C1</v>
          </cell>
          <cell r="E378" t="str">
            <v>M</v>
          </cell>
          <cell r="F378" t="str">
            <v/>
          </cell>
        </row>
        <row r="379">
          <cell r="A379" t="str">
            <v>Josef Hlusek</v>
          </cell>
          <cell r="B379">
            <v>1993</v>
          </cell>
          <cell r="C379" t="str">
            <v>Kunovice</v>
          </cell>
          <cell r="D379" t="str">
            <v>CZ/M</v>
          </cell>
          <cell r="E379" t="str">
            <v>M</v>
          </cell>
          <cell r="F379" t="str">
            <v/>
          </cell>
        </row>
        <row r="380">
          <cell r="A380" t="str">
            <v>Josef Kolman</v>
          </cell>
          <cell r="B380">
            <v>1983</v>
          </cell>
          <cell r="C380" t="str">
            <v>Letňany</v>
          </cell>
          <cell r="D380" t="str">
            <v>CZ/C1</v>
          </cell>
          <cell r="E380" t="str">
            <v>M</v>
          </cell>
          <cell r="F380" t="str">
            <v/>
          </cell>
        </row>
        <row r="381">
          <cell r="A381" t="str">
            <v>Josef Krejsa</v>
          </cell>
          <cell r="B381">
            <v>1938</v>
          </cell>
          <cell r="C381" t="str">
            <v>Hranice</v>
          </cell>
          <cell r="D381" t="str">
            <v>CZ/M</v>
          </cell>
          <cell r="E381" t="str">
            <v>M</v>
          </cell>
          <cell r="F381" t="str">
            <v/>
          </cell>
        </row>
        <row r="382">
          <cell r="A382" t="str">
            <v>Josef Kreutzer</v>
          </cell>
          <cell r="B382">
            <v>1992</v>
          </cell>
          <cell r="C382" t="str">
            <v>Letkov</v>
          </cell>
          <cell r="D382" t="str">
            <v>CZ/C1</v>
          </cell>
          <cell r="E382" t="str">
            <v>M</v>
          </cell>
          <cell r="F382" t="str">
            <v/>
          </cell>
        </row>
        <row r="383">
          <cell r="A383" t="str">
            <v>Josef Linhart</v>
          </cell>
          <cell r="B383">
            <v>1972</v>
          </cell>
          <cell r="C383" t="str">
            <v>Medlánky</v>
          </cell>
          <cell r="D383" t="str">
            <v>CZ/M</v>
          </cell>
          <cell r="E383" t="str">
            <v>M</v>
          </cell>
          <cell r="F383" t="str">
            <v/>
          </cell>
        </row>
        <row r="384">
          <cell r="A384" t="str">
            <v>Josef Macicek</v>
          </cell>
          <cell r="B384">
            <v>1949</v>
          </cell>
          <cell r="C384" t="str">
            <v>Frýdlant</v>
          </cell>
          <cell r="D384" t="str">
            <v>CZ/M</v>
          </cell>
          <cell r="E384" t="str">
            <v>M</v>
          </cell>
          <cell r="F384" t="str">
            <v/>
          </cell>
        </row>
        <row r="385">
          <cell r="A385" t="str">
            <v>Josef Mezera</v>
          </cell>
          <cell r="B385">
            <v>1951</v>
          </cell>
          <cell r="C385" t="str">
            <v>Raná</v>
          </cell>
          <cell r="D385" t="str">
            <v>CZ/C2</v>
          </cell>
          <cell r="E385" t="str">
            <v>M</v>
          </cell>
          <cell r="F385" t="str">
            <v/>
          </cell>
        </row>
        <row r="386">
          <cell r="A386" t="str">
            <v>Josef Novak</v>
          </cell>
          <cell r="B386">
            <v>1981</v>
          </cell>
          <cell r="C386" t="str">
            <v>Kunovice</v>
          </cell>
          <cell r="D386" t="str">
            <v>CZ/M</v>
          </cell>
          <cell r="E386" t="str">
            <v>M</v>
          </cell>
          <cell r="F386" t="str">
            <v/>
          </cell>
        </row>
        <row r="387">
          <cell r="A387" t="str">
            <v>Josef Novotny</v>
          </cell>
          <cell r="B387">
            <v>1983</v>
          </cell>
          <cell r="C387" t="str">
            <v>Přibyslav</v>
          </cell>
          <cell r="D387" t="str">
            <v>CZ/C2</v>
          </cell>
          <cell r="E387" t="str">
            <v>M</v>
          </cell>
          <cell r="F387" t="str">
            <v/>
          </cell>
        </row>
        <row r="388">
          <cell r="A388" t="str">
            <v>Josef Plechac</v>
          </cell>
          <cell r="B388">
            <v>1942</v>
          </cell>
          <cell r="C388" t="str">
            <v>Hronov</v>
          </cell>
          <cell r="D388" t="str">
            <v>CZ/C2</v>
          </cell>
          <cell r="E388" t="str">
            <v>M</v>
          </cell>
          <cell r="F388" t="str">
            <v/>
          </cell>
        </row>
        <row r="389">
          <cell r="A389" t="str">
            <v>Josef Rydl</v>
          </cell>
          <cell r="B389">
            <v>1940</v>
          </cell>
          <cell r="C389" t="str">
            <v>Turnov</v>
          </cell>
          <cell r="D389" t="str">
            <v>CZ/C2</v>
          </cell>
          <cell r="E389" t="str">
            <v>M</v>
          </cell>
          <cell r="F389" t="str">
            <v/>
          </cell>
        </row>
        <row r="390">
          <cell r="A390" t="str">
            <v>Josef Sedlacek</v>
          </cell>
          <cell r="B390">
            <v>1968</v>
          </cell>
          <cell r="C390" t="str">
            <v>Zbraslavice</v>
          </cell>
          <cell r="D390" t="str">
            <v>CZ/C1</v>
          </cell>
          <cell r="E390" t="str">
            <v>M</v>
          </cell>
          <cell r="F390" t="str">
            <v/>
          </cell>
        </row>
        <row r="391">
          <cell r="A391" t="str">
            <v>Jozef Hartinger</v>
          </cell>
          <cell r="B391">
            <v>1987</v>
          </cell>
          <cell r="C391" t="str">
            <v>Medlánky</v>
          </cell>
          <cell r="D391" t="str">
            <v>CZ/M</v>
          </cell>
          <cell r="E391" t="str">
            <v>M</v>
          </cell>
          <cell r="F391" t="str">
            <v/>
          </cell>
        </row>
        <row r="392">
          <cell r="A392" t="str">
            <v>Jurij Sikorsky</v>
          </cell>
          <cell r="B392">
            <v>1975</v>
          </cell>
          <cell r="C392" t="str">
            <v>Hodkovice</v>
          </cell>
          <cell r="D392" t="str">
            <v>CZ/C2</v>
          </cell>
          <cell r="E392" t="str">
            <v>M</v>
          </cell>
          <cell r="F392" t="str">
            <v/>
          </cell>
        </row>
        <row r="393">
          <cell r="A393" t="str">
            <v>Kamil Hejda</v>
          </cell>
          <cell r="B393">
            <v>1973</v>
          </cell>
          <cell r="C393" t="str">
            <v>Jičín</v>
          </cell>
          <cell r="D393" t="str">
            <v>CZ/C2</v>
          </cell>
          <cell r="E393" t="str">
            <v>M</v>
          </cell>
          <cell r="F393" t="str">
            <v/>
          </cell>
        </row>
        <row r="394">
          <cell r="A394" t="str">
            <v>Kamil Novak</v>
          </cell>
          <cell r="B394">
            <v>1970</v>
          </cell>
          <cell r="C394" t="str">
            <v>Jaroměř</v>
          </cell>
          <cell r="D394" t="str">
            <v>CZ/C2</v>
          </cell>
          <cell r="E394" t="str">
            <v>M</v>
          </cell>
          <cell r="F394" t="str">
            <v/>
          </cell>
        </row>
        <row r="395">
          <cell r="A395" t="str">
            <v>Kamil Sohr</v>
          </cell>
          <cell r="B395">
            <v>1973</v>
          </cell>
          <cell r="C395" t="str">
            <v>Šumperk</v>
          </cell>
          <cell r="D395" t="str">
            <v>CZ/M</v>
          </cell>
          <cell r="E395" t="str">
            <v>M</v>
          </cell>
          <cell r="F395" t="str">
            <v/>
          </cell>
        </row>
        <row r="396">
          <cell r="A396" t="str">
            <v>Karel Balatka</v>
          </cell>
          <cell r="B396">
            <v>1965</v>
          </cell>
          <cell r="C396" t="str">
            <v>Liberec</v>
          </cell>
          <cell r="D396" t="str">
            <v>CZ/C2</v>
          </cell>
          <cell r="E396" t="str">
            <v>M</v>
          </cell>
          <cell r="F396" t="str">
            <v/>
          </cell>
        </row>
        <row r="397">
          <cell r="A397" t="str">
            <v>Karel Benes</v>
          </cell>
          <cell r="B397">
            <v>1980</v>
          </cell>
          <cell r="C397" t="str">
            <v>Polička</v>
          </cell>
          <cell r="D397" t="str">
            <v>CZ/C2</v>
          </cell>
          <cell r="E397" t="str">
            <v>M</v>
          </cell>
          <cell r="F397" t="str">
            <v/>
          </cell>
        </row>
        <row r="398">
          <cell r="A398" t="str">
            <v>Karel Benisek 48</v>
          </cell>
          <cell r="B398">
            <v>1948</v>
          </cell>
          <cell r="C398" t="str">
            <v>Toužim</v>
          </cell>
          <cell r="D398" t="str">
            <v>CZ/C1</v>
          </cell>
          <cell r="E398" t="str">
            <v>M</v>
          </cell>
          <cell r="F398" t="str">
            <v/>
          </cell>
        </row>
        <row r="399">
          <cell r="A399" t="str">
            <v>Karel Benisek 76</v>
          </cell>
          <cell r="B399">
            <v>1976</v>
          </cell>
          <cell r="C399" t="str">
            <v>Toužim</v>
          </cell>
          <cell r="D399" t="str">
            <v>CZ/C1</v>
          </cell>
          <cell r="E399" t="str">
            <v>M</v>
          </cell>
          <cell r="F399" t="str">
            <v/>
          </cell>
        </row>
        <row r="400">
          <cell r="A400" t="str">
            <v>Karel Cerny</v>
          </cell>
          <cell r="B400">
            <v>1943</v>
          </cell>
          <cell r="C400" t="str">
            <v>Beroun</v>
          </cell>
          <cell r="D400" t="str">
            <v>CZ/C1</v>
          </cell>
          <cell r="E400" t="str">
            <v>M</v>
          </cell>
          <cell r="F400" t="str">
            <v/>
          </cell>
        </row>
        <row r="401">
          <cell r="A401" t="str">
            <v>Karel Elsnic</v>
          </cell>
          <cell r="B401">
            <v>1974</v>
          </cell>
          <cell r="C401" t="str">
            <v>Křižanov</v>
          </cell>
          <cell r="D401" t="str">
            <v>CZ/M</v>
          </cell>
          <cell r="E401" t="str">
            <v>M</v>
          </cell>
          <cell r="F401" t="str">
            <v/>
          </cell>
        </row>
        <row r="402">
          <cell r="A402" t="str">
            <v>Karel Ertl</v>
          </cell>
          <cell r="B402">
            <v>1939</v>
          </cell>
          <cell r="C402" t="str">
            <v>LK Břeclav</v>
          </cell>
          <cell r="D402" t="str">
            <v>CZ/M</v>
          </cell>
          <cell r="E402" t="str">
            <v>M</v>
          </cell>
          <cell r="F402" t="str">
            <v/>
          </cell>
        </row>
        <row r="403">
          <cell r="A403" t="str">
            <v>Karel Grotz</v>
          </cell>
          <cell r="B403">
            <v>1934</v>
          </cell>
          <cell r="C403" t="str">
            <v>Toužim</v>
          </cell>
          <cell r="D403" t="str">
            <v>CZ/C1</v>
          </cell>
          <cell r="E403" t="str">
            <v>M</v>
          </cell>
          <cell r="F403" t="str">
            <v/>
          </cell>
        </row>
        <row r="404">
          <cell r="A404" t="str">
            <v>Karel Horalek</v>
          </cell>
          <cell r="B404">
            <v>1976</v>
          </cell>
          <cell r="C404" t="str">
            <v>Olomouc</v>
          </cell>
          <cell r="D404" t="str">
            <v>CZ/M</v>
          </cell>
          <cell r="E404" t="str">
            <v>M</v>
          </cell>
          <cell r="F404" t="str">
            <v/>
          </cell>
        </row>
        <row r="405">
          <cell r="A405" t="str">
            <v>Karel Knotek</v>
          </cell>
          <cell r="B405">
            <v>1961</v>
          </cell>
          <cell r="C405" t="str">
            <v>Soběslav</v>
          </cell>
          <cell r="D405" t="str">
            <v>CZ/C1</v>
          </cell>
          <cell r="E405" t="str">
            <v>M</v>
          </cell>
          <cell r="F405" t="str">
            <v/>
          </cell>
        </row>
        <row r="406">
          <cell r="A406" t="str">
            <v>Karel Kolomaznik</v>
          </cell>
          <cell r="B406">
            <v>1955</v>
          </cell>
          <cell r="C406" t="str">
            <v>Šumperk</v>
          </cell>
          <cell r="D406" t="str">
            <v>CZ/M</v>
          </cell>
          <cell r="E406" t="str">
            <v>M</v>
          </cell>
          <cell r="F406" t="str">
            <v/>
          </cell>
        </row>
        <row r="407">
          <cell r="A407" t="str">
            <v>Karel Kotlan</v>
          </cell>
          <cell r="B407">
            <v>1957</v>
          </cell>
          <cell r="C407" t="str">
            <v>Medlánky</v>
          </cell>
          <cell r="D407" t="str">
            <v>CZ/M</v>
          </cell>
          <cell r="E407" t="str">
            <v>M</v>
          </cell>
          <cell r="F407" t="str">
            <v/>
          </cell>
        </row>
        <row r="408">
          <cell r="A408" t="str">
            <v>Karel Lang</v>
          </cell>
          <cell r="B408">
            <v>1967</v>
          </cell>
          <cell r="C408" t="str">
            <v>Medlánky</v>
          </cell>
          <cell r="D408" t="str">
            <v>CZ/M</v>
          </cell>
          <cell r="E408" t="str">
            <v>M</v>
          </cell>
          <cell r="F408" t="str">
            <v/>
          </cell>
        </row>
        <row r="409">
          <cell r="A409" t="str">
            <v>Karel Mares</v>
          </cell>
          <cell r="B409">
            <v>1974</v>
          </cell>
          <cell r="C409" t="str">
            <v>Slaný</v>
          </cell>
          <cell r="D409" t="str">
            <v>CZ/C1</v>
          </cell>
          <cell r="E409" t="str">
            <v>M</v>
          </cell>
          <cell r="F409" t="str">
            <v/>
          </cell>
        </row>
        <row r="410">
          <cell r="A410" t="str">
            <v>Karel Minarik</v>
          </cell>
          <cell r="B410">
            <v>1965</v>
          </cell>
          <cell r="C410" t="str">
            <v>Hranice</v>
          </cell>
          <cell r="D410" t="str">
            <v>CZ/M</v>
          </cell>
          <cell r="E410" t="str">
            <v>M</v>
          </cell>
          <cell r="F410" t="str">
            <v/>
          </cell>
        </row>
        <row r="411">
          <cell r="A411" t="str">
            <v>Karel Mrazek</v>
          </cell>
          <cell r="B411">
            <v>1954</v>
          </cell>
          <cell r="C411" t="str">
            <v>Slaný</v>
          </cell>
          <cell r="D411" t="str">
            <v>CZ/C1</v>
          </cell>
          <cell r="E411" t="str">
            <v>M</v>
          </cell>
          <cell r="F411" t="str">
            <v/>
          </cell>
        </row>
        <row r="412">
          <cell r="A412" t="str">
            <v>Karel Novak</v>
          </cell>
          <cell r="B412">
            <v>1993</v>
          </cell>
          <cell r="C412" t="str">
            <v>Mladá Boleslav</v>
          </cell>
          <cell r="D412" t="str">
            <v>CZ/C1</v>
          </cell>
          <cell r="E412" t="str">
            <v>M</v>
          </cell>
          <cell r="F412" t="str">
            <v/>
          </cell>
        </row>
        <row r="413">
          <cell r="A413" t="str">
            <v>Karel Policky</v>
          </cell>
          <cell r="B413">
            <v>1950</v>
          </cell>
          <cell r="C413" t="str">
            <v>Kolín</v>
          </cell>
          <cell r="D413" t="str">
            <v>CZ/C1</v>
          </cell>
          <cell r="E413" t="str">
            <v>M</v>
          </cell>
          <cell r="F413" t="str">
            <v/>
          </cell>
        </row>
        <row r="414">
          <cell r="A414" t="str">
            <v>Karel Stach</v>
          </cell>
          <cell r="B414">
            <v>1963</v>
          </cell>
          <cell r="C414" t="str">
            <v>Letňany</v>
          </cell>
          <cell r="D414" t="str">
            <v>CZ/C1</v>
          </cell>
          <cell r="E414" t="str">
            <v>M</v>
          </cell>
          <cell r="F414" t="str">
            <v/>
          </cell>
        </row>
        <row r="415">
          <cell r="A415" t="str">
            <v>Karel Toman</v>
          </cell>
          <cell r="B415">
            <v>1976</v>
          </cell>
          <cell r="C415" t="str">
            <v>Letňany</v>
          </cell>
          <cell r="D415" t="str">
            <v>CZ/C1</v>
          </cell>
          <cell r="E415" t="str">
            <v>M</v>
          </cell>
          <cell r="F415" t="str">
            <v/>
          </cell>
        </row>
        <row r="416">
          <cell r="A416" t="str">
            <v>Karel Vagenknecht</v>
          </cell>
          <cell r="B416">
            <v>1960</v>
          </cell>
          <cell r="C416" t="str">
            <v>Šumperk</v>
          </cell>
          <cell r="D416" t="str">
            <v>CZ/M</v>
          </cell>
          <cell r="E416" t="str">
            <v>M</v>
          </cell>
          <cell r="F416" t="str">
            <v/>
          </cell>
        </row>
        <row r="417">
          <cell r="A417" t="str">
            <v>Karel Vladar</v>
          </cell>
          <cell r="B417">
            <v>1972</v>
          </cell>
          <cell r="C417" t="str">
            <v>Hodkovice</v>
          </cell>
          <cell r="D417" t="str">
            <v>CZ/C2</v>
          </cell>
          <cell r="E417" t="str">
            <v>M</v>
          </cell>
          <cell r="F417" t="str">
            <v/>
          </cell>
        </row>
        <row r="418">
          <cell r="A418" t="str">
            <v>Katerina Dvorakova</v>
          </cell>
          <cell r="B418">
            <v>1984</v>
          </cell>
          <cell r="C418" t="str">
            <v>Most</v>
          </cell>
          <cell r="D418" t="str">
            <v>CZ/C2</v>
          </cell>
          <cell r="E418" t="str">
            <v>F</v>
          </cell>
          <cell r="F418" t="str">
            <v/>
          </cell>
        </row>
        <row r="419">
          <cell r="A419" t="str">
            <v>Katerina Kardosova</v>
          </cell>
          <cell r="B419">
            <v>1988</v>
          </cell>
          <cell r="C419" t="str">
            <v>Kunovice</v>
          </cell>
          <cell r="D419" t="str">
            <v>CZ/M</v>
          </cell>
          <cell r="E419" t="str">
            <v>F</v>
          </cell>
          <cell r="F419" t="str">
            <v/>
          </cell>
        </row>
        <row r="420">
          <cell r="A420" t="str">
            <v>Katerina Vancurova</v>
          </cell>
          <cell r="B420">
            <v>2002</v>
          </cell>
          <cell r="C420" t="str">
            <v>Hranice</v>
          </cell>
          <cell r="D420" t="str">
            <v>CZ/M</v>
          </cell>
          <cell r="E420" t="str">
            <v>F</v>
          </cell>
          <cell r="F420" t="str">
            <v>Junior v roce 2026</v>
          </cell>
        </row>
        <row r="421">
          <cell r="A421" t="str">
            <v>Katerina Vojtova</v>
          </cell>
          <cell r="B421">
            <v>1983</v>
          </cell>
          <cell r="C421" t="str">
            <v>Slaný</v>
          </cell>
          <cell r="D421" t="str">
            <v>CZ/C1</v>
          </cell>
          <cell r="E421" t="str">
            <v>F</v>
          </cell>
          <cell r="F421" t="str">
            <v/>
          </cell>
        </row>
        <row r="422">
          <cell r="A422" t="str">
            <v>Klara Teichmannova</v>
          </cell>
          <cell r="B422">
            <v>1993</v>
          </cell>
          <cell r="C422" t="str">
            <v>Hronov</v>
          </cell>
          <cell r="D422" t="str">
            <v>CZ/C2</v>
          </cell>
          <cell r="E422" t="str">
            <v>F</v>
          </cell>
          <cell r="F422" t="str">
            <v/>
          </cell>
        </row>
        <row r="423">
          <cell r="A423" t="str">
            <v>Kristina Santruckova</v>
          </cell>
          <cell r="B423">
            <v>1996</v>
          </cell>
          <cell r="C423" t="str">
            <v>Podhořany</v>
          </cell>
          <cell r="D423" t="str">
            <v>CZ/C2</v>
          </cell>
          <cell r="E423" t="str">
            <v>F</v>
          </cell>
          <cell r="F423" t="str">
            <v/>
          </cell>
        </row>
        <row r="424">
          <cell r="A424" t="str">
            <v>Krystof Mimra</v>
          </cell>
          <cell r="B424">
            <v>1992</v>
          </cell>
          <cell r="C424" t="str">
            <v>Most</v>
          </cell>
          <cell r="D424" t="str">
            <v>CZ/C2</v>
          </cell>
          <cell r="E424" t="str">
            <v>M</v>
          </cell>
          <cell r="F424" t="str">
            <v/>
          </cell>
        </row>
        <row r="425">
          <cell r="A425" t="str">
            <v>Krystof Urban</v>
          </cell>
          <cell r="B425">
            <v>1999</v>
          </cell>
          <cell r="C425" t="str">
            <v>Jindřichův Hradec</v>
          </cell>
          <cell r="D425" t="str">
            <v>CZ/C1</v>
          </cell>
          <cell r="E425" t="str">
            <v>M</v>
          </cell>
          <cell r="F425" t="str">
            <v/>
          </cell>
        </row>
        <row r="426">
          <cell r="A426" t="str">
            <v>Kuk</v>
          </cell>
          <cell r="B426">
            <v>1900</v>
          </cell>
          <cell r="C426" t="str">
            <v>Dvůr Králové</v>
          </cell>
          <cell r="D426" t="str">
            <v>CZ/C2</v>
          </cell>
          <cell r="E426" t="str">
            <v>M</v>
          </cell>
          <cell r="F426" t="str">
            <v/>
          </cell>
        </row>
        <row r="427">
          <cell r="A427" t="str">
            <v>Ladislav Berger</v>
          </cell>
          <cell r="B427">
            <v>1970</v>
          </cell>
          <cell r="C427" t="str">
            <v>Kralupy</v>
          </cell>
          <cell r="D427" t="str">
            <v>CZ/C1</v>
          </cell>
          <cell r="E427" t="str">
            <v>M</v>
          </cell>
          <cell r="F427" t="str">
            <v/>
          </cell>
        </row>
        <row r="428">
          <cell r="A428" t="str">
            <v>Ladislav Durnik</v>
          </cell>
          <cell r="B428">
            <v>1974</v>
          </cell>
          <cell r="C428" t="str">
            <v>Kunovice</v>
          </cell>
          <cell r="D428" t="str">
            <v>CZ/M</v>
          </cell>
          <cell r="E428" t="str">
            <v>M</v>
          </cell>
          <cell r="F428" t="str">
            <v/>
          </cell>
        </row>
        <row r="429">
          <cell r="A429" t="str">
            <v>Ladislav Hybl</v>
          </cell>
          <cell r="B429">
            <v>1955</v>
          </cell>
          <cell r="C429" t="str">
            <v>Šumperk</v>
          </cell>
          <cell r="D429" t="str">
            <v>CZ/M</v>
          </cell>
          <cell r="E429" t="str">
            <v>M</v>
          </cell>
          <cell r="F429" t="str">
            <v/>
          </cell>
        </row>
        <row r="430">
          <cell r="A430" t="str">
            <v>Ladislav Jozsa</v>
          </cell>
          <cell r="B430">
            <v>1981</v>
          </cell>
          <cell r="C430" t="str">
            <v>Medlánky</v>
          </cell>
          <cell r="D430" t="str">
            <v>CZ/M</v>
          </cell>
          <cell r="E430" t="str">
            <v>M</v>
          </cell>
          <cell r="F430" t="str">
            <v/>
          </cell>
        </row>
        <row r="431">
          <cell r="A431" t="str">
            <v>Ladislav Krecbach</v>
          </cell>
          <cell r="B431">
            <v>1985</v>
          </cell>
          <cell r="C431" t="str">
            <v>Jaroměř</v>
          </cell>
          <cell r="D431" t="str">
            <v>CZ/C2</v>
          </cell>
          <cell r="E431" t="str">
            <v>M</v>
          </cell>
          <cell r="F431" t="str">
            <v/>
          </cell>
        </row>
        <row r="432">
          <cell r="A432" t="str">
            <v>Ladislav Krizek</v>
          </cell>
          <cell r="B432">
            <v>1982</v>
          </cell>
          <cell r="C432" t="str">
            <v>Šumperk</v>
          </cell>
          <cell r="D432" t="str">
            <v>CZ/M</v>
          </cell>
          <cell r="E432" t="str">
            <v>M</v>
          </cell>
          <cell r="F432" t="str">
            <v/>
          </cell>
        </row>
        <row r="433">
          <cell r="A433" t="str">
            <v>Ladislav Prokes</v>
          </cell>
          <cell r="B433">
            <v>1954</v>
          </cell>
          <cell r="C433" t="str">
            <v>Vrchlabí</v>
          </cell>
          <cell r="D433" t="str">
            <v>CZ/C2</v>
          </cell>
          <cell r="E433" t="str">
            <v>M</v>
          </cell>
          <cell r="F433" t="str">
            <v/>
          </cell>
        </row>
        <row r="434">
          <cell r="A434" t="str">
            <v>Ladislav Valenta</v>
          </cell>
          <cell r="B434">
            <v>1961</v>
          </cell>
          <cell r="C434" t="str">
            <v>Žamberk</v>
          </cell>
          <cell r="D434" t="str">
            <v>CZ/C2</v>
          </cell>
          <cell r="E434" t="str">
            <v>M</v>
          </cell>
          <cell r="F434" t="str">
            <v/>
          </cell>
        </row>
        <row r="435">
          <cell r="A435" t="str">
            <v>Ladislav Vratny</v>
          </cell>
          <cell r="B435">
            <v>1959</v>
          </cell>
          <cell r="C435" t="str">
            <v>Jaroměř</v>
          </cell>
          <cell r="D435" t="str">
            <v>CZ/C2</v>
          </cell>
          <cell r="E435" t="str">
            <v>M</v>
          </cell>
          <cell r="F435" t="str">
            <v/>
          </cell>
        </row>
        <row r="436">
          <cell r="A436" t="str">
            <v>Lenka Hajkova</v>
          </cell>
          <cell r="B436">
            <v>1982</v>
          </cell>
          <cell r="C436" t="str">
            <v>Raná</v>
          </cell>
          <cell r="D436" t="str">
            <v>CZ/C2</v>
          </cell>
          <cell r="E436" t="str">
            <v>F</v>
          </cell>
          <cell r="F436" t="str">
            <v/>
          </cell>
        </row>
        <row r="437">
          <cell r="A437" t="str">
            <v>Lenka Kuthanova</v>
          </cell>
          <cell r="B437">
            <v>1960</v>
          </cell>
          <cell r="C437" t="str">
            <v>Tábor</v>
          </cell>
          <cell r="D437" t="str">
            <v>CZ/C1</v>
          </cell>
          <cell r="E437" t="str">
            <v>F</v>
          </cell>
          <cell r="F437" t="str">
            <v/>
          </cell>
        </row>
        <row r="438">
          <cell r="A438" t="str">
            <v>Lenka Stovickova</v>
          </cell>
          <cell r="B438">
            <v>1963</v>
          </cell>
          <cell r="C438" t="str">
            <v>Hořice</v>
          </cell>
          <cell r="D438" t="str">
            <v>CZ/C2</v>
          </cell>
          <cell r="E438" t="str">
            <v>F</v>
          </cell>
          <cell r="F438" t="str">
            <v/>
          </cell>
        </row>
        <row r="439">
          <cell r="A439" t="str">
            <v>Leos Nosek</v>
          </cell>
          <cell r="B439">
            <v>1958</v>
          </cell>
          <cell r="C439" t="str">
            <v>Křižanov</v>
          </cell>
          <cell r="D439" t="str">
            <v>CZ/M</v>
          </cell>
          <cell r="E439" t="str">
            <v>M</v>
          </cell>
          <cell r="F439" t="str">
            <v/>
          </cell>
        </row>
        <row r="440">
          <cell r="A440" t="str">
            <v>Leos Strnadek</v>
          </cell>
          <cell r="B440">
            <v>1983</v>
          </cell>
          <cell r="C440" t="str">
            <v>Hodkovice</v>
          </cell>
          <cell r="D440" t="str">
            <v>CZ/C2</v>
          </cell>
          <cell r="E440" t="str">
            <v>M</v>
          </cell>
          <cell r="F440" t="str">
            <v/>
          </cell>
        </row>
        <row r="441">
          <cell r="A441" t="str">
            <v>Libor Bednarik</v>
          </cell>
          <cell r="B441">
            <v>1972</v>
          </cell>
          <cell r="C441" t="str">
            <v>Kunovice</v>
          </cell>
          <cell r="D441" t="str">
            <v>CZ/M</v>
          </cell>
          <cell r="E441" t="str">
            <v>M</v>
          </cell>
          <cell r="F441" t="str">
            <v/>
          </cell>
        </row>
        <row r="442">
          <cell r="A442" t="str">
            <v>Libor Danhel</v>
          </cell>
          <cell r="B442">
            <v>1966</v>
          </cell>
          <cell r="C442" t="str">
            <v>Kunovice</v>
          </cell>
          <cell r="D442" t="str">
            <v>CZ/M</v>
          </cell>
          <cell r="E442" t="str">
            <v>M</v>
          </cell>
          <cell r="F442" t="str">
            <v/>
          </cell>
        </row>
        <row r="443">
          <cell r="A443" t="str">
            <v>Libor Hyps</v>
          </cell>
          <cell r="B443">
            <v>1988</v>
          </cell>
          <cell r="C443" t="str">
            <v>Chrudim</v>
          </cell>
          <cell r="D443" t="str">
            <v>CZ/C2</v>
          </cell>
          <cell r="E443" t="str">
            <v>M</v>
          </cell>
          <cell r="F443" t="str">
            <v/>
          </cell>
        </row>
        <row r="444">
          <cell r="A444" t="str">
            <v>Libor Kovarik</v>
          </cell>
          <cell r="B444">
            <v>1966</v>
          </cell>
          <cell r="C444" t="str">
            <v>Mladá Boleslav</v>
          </cell>
          <cell r="D444" t="str">
            <v>CZ/C1</v>
          </cell>
          <cell r="E444" t="str">
            <v>M</v>
          </cell>
          <cell r="F444" t="str">
            <v/>
          </cell>
        </row>
        <row r="445">
          <cell r="A445" t="str">
            <v>Libor Kovarnik</v>
          </cell>
          <cell r="B445">
            <v>1968</v>
          </cell>
          <cell r="C445" t="str">
            <v>Mladá Boleslav</v>
          </cell>
          <cell r="D445" t="str">
            <v>CZ/C1</v>
          </cell>
          <cell r="E445" t="str">
            <v>M</v>
          </cell>
          <cell r="F445" t="str">
            <v/>
          </cell>
        </row>
        <row r="446">
          <cell r="A446" t="str">
            <v>Linda Vasatova</v>
          </cell>
          <cell r="B446">
            <v>1990</v>
          </cell>
          <cell r="C446" t="str">
            <v>Mladá Boleslav</v>
          </cell>
          <cell r="D446" t="str">
            <v>CZ/C1</v>
          </cell>
          <cell r="E446" t="str">
            <v>F</v>
          </cell>
          <cell r="F446" t="str">
            <v/>
          </cell>
        </row>
        <row r="447">
          <cell r="A447" t="str">
            <v>Lubomir Doupal</v>
          </cell>
          <cell r="B447">
            <v>1975</v>
          </cell>
          <cell r="C447" t="str">
            <v>Kroměříž</v>
          </cell>
          <cell r="D447" t="str">
            <v>CZ/M</v>
          </cell>
          <cell r="E447" t="str">
            <v>M</v>
          </cell>
          <cell r="F447" t="str">
            <v/>
          </cell>
        </row>
        <row r="448">
          <cell r="A448" t="str">
            <v>Lubomir Mekota</v>
          </cell>
          <cell r="B448">
            <v>1956</v>
          </cell>
          <cell r="C448" t="str">
            <v>Plasy</v>
          </cell>
          <cell r="D448" t="str">
            <v>CZ/C1</v>
          </cell>
          <cell r="E448" t="str">
            <v>M</v>
          </cell>
          <cell r="F448" t="str">
            <v/>
          </cell>
        </row>
        <row r="449">
          <cell r="A449" t="str">
            <v>Lubomir Motl</v>
          </cell>
          <cell r="B449">
            <v>1959</v>
          </cell>
          <cell r="C449" t="str">
            <v>Kyjov</v>
          </cell>
          <cell r="D449" t="str">
            <v>CZ/M</v>
          </cell>
          <cell r="E449" t="str">
            <v>M</v>
          </cell>
          <cell r="F449" t="str">
            <v/>
          </cell>
        </row>
        <row r="450">
          <cell r="A450" t="str">
            <v>Lubomir Papezik</v>
          </cell>
          <cell r="B450">
            <v>1951</v>
          </cell>
          <cell r="C450" t="str">
            <v>Luhačovice</v>
          </cell>
          <cell r="D450" t="str">
            <v>CZ/M</v>
          </cell>
          <cell r="E450" t="str">
            <v>M</v>
          </cell>
          <cell r="F450" t="str">
            <v/>
          </cell>
        </row>
        <row r="451">
          <cell r="A451" t="str">
            <v>Lubomir Svoboda</v>
          </cell>
          <cell r="B451">
            <v>1959</v>
          </cell>
          <cell r="C451" t="str">
            <v>Letkov</v>
          </cell>
          <cell r="D451" t="str">
            <v>CZ/C1</v>
          </cell>
          <cell r="E451" t="str">
            <v>M</v>
          </cell>
          <cell r="F451" t="str">
            <v/>
          </cell>
        </row>
        <row r="452">
          <cell r="A452" t="str">
            <v>Lubomir Vrba</v>
          </cell>
          <cell r="B452">
            <v>1955</v>
          </cell>
          <cell r="C452" t="str">
            <v>Toužim</v>
          </cell>
          <cell r="D452" t="str">
            <v>CZ/C1</v>
          </cell>
          <cell r="E452" t="str">
            <v>M</v>
          </cell>
          <cell r="F452" t="str">
            <v/>
          </cell>
        </row>
        <row r="453">
          <cell r="A453" t="str">
            <v>Lubor Sobek</v>
          </cell>
          <cell r="B453">
            <v>1979</v>
          </cell>
          <cell r="C453" t="str">
            <v>Frýdlant</v>
          </cell>
          <cell r="D453" t="str">
            <v>CZ/M</v>
          </cell>
          <cell r="E453" t="str">
            <v>M</v>
          </cell>
          <cell r="F453" t="str">
            <v/>
          </cell>
        </row>
        <row r="454">
          <cell r="A454" t="str">
            <v>Lubor Vyhlid</v>
          </cell>
          <cell r="B454">
            <v>1972</v>
          </cell>
          <cell r="C454" t="str">
            <v>Kroměříž</v>
          </cell>
          <cell r="D454" t="str">
            <v>CZ/M</v>
          </cell>
          <cell r="E454" t="str">
            <v>M</v>
          </cell>
          <cell r="F454" t="str">
            <v/>
          </cell>
        </row>
        <row r="455">
          <cell r="A455" t="str">
            <v>Lubor Zeleny</v>
          </cell>
          <cell r="B455">
            <v>1957</v>
          </cell>
          <cell r="C455" t="str">
            <v>Přibyslav</v>
          </cell>
          <cell r="D455" t="str">
            <v>CZ/C2</v>
          </cell>
          <cell r="E455" t="str">
            <v>M</v>
          </cell>
          <cell r="F455" t="str">
            <v/>
          </cell>
        </row>
        <row r="456">
          <cell r="A456" t="str">
            <v>Lubos Florian</v>
          </cell>
          <cell r="B456">
            <v>1966</v>
          </cell>
          <cell r="C456" t="str">
            <v>Jičín</v>
          </cell>
          <cell r="D456" t="str">
            <v>CZ/C2</v>
          </cell>
          <cell r="E456" t="str">
            <v>M</v>
          </cell>
          <cell r="F456" t="str">
            <v/>
          </cell>
        </row>
        <row r="457">
          <cell r="A457" t="str">
            <v>Lubos Kunc 56</v>
          </cell>
          <cell r="B457">
            <v>1956</v>
          </cell>
          <cell r="C457" t="str">
            <v>Dvůr Králové</v>
          </cell>
          <cell r="D457" t="str">
            <v>CZ/C2</v>
          </cell>
          <cell r="E457" t="str">
            <v>M</v>
          </cell>
          <cell r="F457" t="str">
            <v/>
          </cell>
        </row>
        <row r="458">
          <cell r="A458" t="str">
            <v>Lubos Kunc 85</v>
          </cell>
          <cell r="B458">
            <v>1985</v>
          </cell>
          <cell r="C458" t="str">
            <v>Vrchlabí</v>
          </cell>
          <cell r="D458" t="str">
            <v>CZ/C2</v>
          </cell>
          <cell r="E458" t="str">
            <v>M</v>
          </cell>
          <cell r="F458" t="str">
            <v/>
          </cell>
        </row>
        <row r="459">
          <cell r="A459" t="str">
            <v>Lubos Muknsnabl</v>
          </cell>
          <cell r="B459">
            <v>1995</v>
          </cell>
          <cell r="C459" t="str">
            <v>Letkov</v>
          </cell>
          <cell r="D459" t="str">
            <v>CZ/C1</v>
          </cell>
          <cell r="E459" t="str">
            <v>M</v>
          </cell>
          <cell r="F459" t="str">
            <v/>
          </cell>
        </row>
        <row r="460">
          <cell r="A460" t="str">
            <v>Lubos Stiburek</v>
          </cell>
          <cell r="B460">
            <v>1954</v>
          </cell>
          <cell r="C460" t="str">
            <v>Letkov</v>
          </cell>
          <cell r="D460" t="str">
            <v>CZ/C1</v>
          </cell>
          <cell r="E460" t="str">
            <v>M</v>
          </cell>
          <cell r="F460" t="str">
            <v/>
          </cell>
        </row>
        <row r="461">
          <cell r="A461" t="str">
            <v>Lubos Svoboda</v>
          </cell>
          <cell r="B461">
            <v>1959</v>
          </cell>
          <cell r="C461" t="str">
            <v>Letkov</v>
          </cell>
          <cell r="D461" t="str">
            <v>CZ/C1</v>
          </cell>
          <cell r="E461" t="str">
            <v>M</v>
          </cell>
          <cell r="F461" t="str">
            <v/>
          </cell>
        </row>
        <row r="462">
          <cell r="A462" t="str">
            <v>Ludek Kluger</v>
          </cell>
          <cell r="B462">
            <v>1963</v>
          </cell>
          <cell r="C462" t="str">
            <v>Tábor</v>
          </cell>
          <cell r="D462" t="str">
            <v>CZ/C1</v>
          </cell>
          <cell r="E462" t="str">
            <v>M</v>
          </cell>
          <cell r="F462" t="str">
            <v/>
          </cell>
        </row>
        <row r="463">
          <cell r="A463" t="str">
            <v>Ludek Mikl</v>
          </cell>
          <cell r="B463">
            <v>1963</v>
          </cell>
          <cell r="C463" t="str">
            <v>Šumperk</v>
          </cell>
          <cell r="D463" t="str">
            <v>CZ/M</v>
          </cell>
          <cell r="E463" t="str">
            <v>M</v>
          </cell>
          <cell r="F463" t="str">
            <v/>
          </cell>
        </row>
        <row r="464">
          <cell r="A464" t="str">
            <v>Ludek Souhrada</v>
          </cell>
          <cell r="B464">
            <v>1974</v>
          </cell>
          <cell r="C464" t="str">
            <v>Raná</v>
          </cell>
          <cell r="D464" t="str">
            <v>CZ/C2</v>
          </cell>
          <cell r="E464" t="str">
            <v>M</v>
          </cell>
          <cell r="F464" t="str">
            <v/>
          </cell>
        </row>
        <row r="465">
          <cell r="A465" t="str">
            <v>Lukas Capek</v>
          </cell>
          <cell r="B465">
            <v>1992</v>
          </cell>
          <cell r="C465" t="str">
            <v>Letňany</v>
          </cell>
          <cell r="D465" t="str">
            <v>CZ/C1</v>
          </cell>
          <cell r="E465" t="str">
            <v>M</v>
          </cell>
          <cell r="F465" t="str">
            <v/>
          </cell>
        </row>
        <row r="466">
          <cell r="A466" t="str">
            <v>Lukas Fiala</v>
          </cell>
          <cell r="B466">
            <v>1976</v>
          </cell>
          <cell r="C466" t="str">
            <v>Kralupy</v>
          </cell>
          <cell r="D466" t="str">
            <v>CZ/C1</v>
          </cell>
          <cell r="E466" t="str">
            <v>M</v>
          </cell>
          <cell r="F466" t="str">
            <v/>
          </cell>
        </row>
        <row r="467">
          <cell r="A467" t="str">
            <v>Lukas Fronek</v>
          </cell>
          <cell r="B467">
            <v>1989</v>
          </cell>
          <cell r="C467" t="str">
            <v>Kyjov</v>
          </cell>
          <cell r="D467" t="str">
            <v>CZ/M</v>
          </cell>
          <cell r="E467" t="str">
            <v>M</v>
          </cell>
          <cell r="F467" t="str">
            <v/>
          </cell>
        </row>
        <row r="468">
          <cell r="A468" t="str">
            <v>Lukas Hykl</v>
          </cell>
          <cell r="B468">
            <v>1985</v>
          </cell>
          <cell r="C468" t="str">
            <v>Kolín</v>
          </cell>
          <cell r="D468" t="str">
            <v>CZ/C1</v>
          </cell>
          <cell r="E468" t="str">
            <v>M</v>
          </cell>
          <cell r="F468" t="str">
            <v/>
          </cell>
        </row>
        <row r="469">
          <cell r="A469" t="str">
            <v>Lukas Hynek</v>
          </cell>
          <cell r="B469">
            <v>1979</v>
          </cell>
          <cell r="C469" t="str">
            <v>Dvůr Králové</v>
          </cell>
          <cell r="D469" t="str">
            <v>CZ/C2</v>
          </cell>
          <cell r="E469" t="str">
            <v>M</v>
          </cell>
          <cell r="F469" t="str">
            <v/>
          </cell>
        </row>
        <row r="470">
          <cell r="A470" t="str">
            <v>Lukas Jezek</v>
          </cell>
          <cell r="B470">
            <v>1975</v>
          </cell>
          <cell r="C470" t="str">
            <v>Jičín</v>
          </cell>
          <cell r="D470" t="str">
            <v>CZ/C2</v>
          </cell>
          <cell r="E470" t="str">
            <v>M</v>
          </cell>
          <cell r="F470" t="str">
            <v/>
          </cell>
        </row>
        <row r="471">
          <cell r="A471" t="str">
            <v>Lukas Kotek</v>
          </cell>
          <cell r="B471">
            <v>1994</v>
          </cell>
          <cell r="C471" t="str">
            <v>Frýdlant</v>
          </cell>
          <cell r="D471" t="str">
            <v>CZ/M</v>
          </cell>
          <cell r="E471" t="str">
            <v>M</v>
          </cell>
          <cell r="F471" t="str">
            <v/>
          </cell>
        </row>
        <row r="472">
          <cell r="A472" t="str">
            <v>Lukas Koukal</v>
          </cell>
          <cell r="B472">
            <v>1991</v>
          </cell>
          <cell r="C472" t="str">
            <v>Letkov</v>
          </cell>
          <cell r="D472" t="str">
            <v>CZ/C1</v>
          </cell>
          <cell r="E472" t="str">
            <v>M</v>
          </cell>
          <cell r="F472" t="str">
            <v/>
          </cell>
        </row>
        <row r="473">
          <cell r="A473" t="str">
            <v>Lukas Kriz</v>
          </cell>
          <cell r="B473">
            <v>2003</v>
          </cell>
          <cell r="C473" t="str">
            <v>Křižanov</v>
          </cell>
          <cell r="D473" t="str">
            <v>CZ/M</v>
          </cell>
          <cell r="E473" t="str">
            <v>M</v>
          </cell>
          <cell r="F473" t="str">
            <v>Junior v roce 2026</v>
          </cell>
        </row>
        <row r="474">
          <cell r="A474" t="str">
            <v>Lukas Mach</v>
          </cell>
          <cell r="B474">
            <v>1988</v>
          </cell>
          <cell r="C474" t="str">
            <v>Hronov</v>
          </cell>
          <cell r="D474" t="str">
            <v>CZ/C2</v>
          </cell>
          <cell r="E474" t="str">
            <v>M</v>
          </cell>
          <cell r="F474" t="str">
            <v/>
          </cell>
        </row>
        <row r="475">
          <cell r="A475" t="str">
            <v>Lukas Maly</v>
          </cell>
          <cell r="B475">
            <v>1998</v>
          </cell>
          <cell r="C475" t="str">
            <v>Vysoké Mýto</v>
          </cell>
          <cell r="D475" t="str">
            <v>CZ/C2</v>
          </cell>
          <cell r="E475" t="str">
            <v>M</v>
          </cell>
          <cell r="F475" t="str">
            <v/>
          </cell>
        </row>
        <row r="476">
          <cell r="A476" t="str">
            <v>Lukas Nalos</v>
          </cell>
          <cell r="B476">
            <v>1976</v>
          </cell>
          <cell r="C476" t="str">
            <v>Letkov</v>
          </cell>
          <cell r="D476" t="str">
            <v>CZ/C1</v>
          </cell>
          <cell r="E476" t="str">
            <v>M</v>
          </cell>
          <cell r="F476" t="str">
            <v/>
          </cell>
        </row>
        <row r="477">
          <cell r="A477" t="str">
            <v>Lukas Petrzela</v>
          </cell>
          <cell r="B477">
            <v>1987</v>
          </cell>
          <cell r="C477" t="str">
            <v>Olomouc</v>
          </cell>
          <cell r="D477" t="str">
            <v>CZ/M</v>
          </cell>
          <cell r="E477" t="str">
            <v>M</v>
          </cell>
          <cell r="F477" t="str">
            <v/>
          </cell>
        </row>
        <row r="478">
          <cell r="A478" t="str">
            <v>Lukas Plocek</v>
          </cell>
          <cell r="B478">
            <v>1990</v>
          </cell>
          <cell r="C478" t="str">
            <v>Mladá Boleslav</v>
          </cell>
          <cell r="D478" t="str">
            <v>CZ/C1</v>
          </cell>
          <cell r="E478" t="str">
            <v>M</v>
          </cell>
          <cell r="F478" t="str">
            <v/>
          </cell>
        </row>
        <row r="479">
          <cell r="A479" t="str">
            <v>Lukas Popelka</v>
          </cell>
          <cell r="B479">
            <v>1977</v>
          </cell>
          <cell r="C479" t="str">
            <v>Polička</v>
          </cell>
          <cell r="D479" t="str">
            <v>CZ/C2</v>
          </cell>
          <cell r="E479" t="str">
            <v>M</v>
          </cell>
          <cell r="F479" t="str">
            <v/>
          </cell>
        </row>
        <row r="480">
          <cell r="A480" t="str">
            <v>Lukas Volek</v>
          </cell>
          <cell r="B480">
            <v>2004</v>
          </cell>
          <cell r="C480" t="str">
            <v>Hodkovice</v>
          </cell>
          <cell r="D480" t="str">
            <v>CZ/C2</v>
          </cell>
          <cell r="E480" t="str">
            <v>M</v>
          </cell>
          <cell r="F480" t="str">
            <v>Junior v roce 2026</v>
          </cell>
        </row>
        <row r="481">
          <cell r="A481" t="str">
            <v>Lukas Zach</v>
          </cell>
          <cell r="B481">
            <v>1987</v>
          </cell>
          <cell r="C481" t="str">
            <v>Vyškov</v>
          </cell>
          <cell r="D481" t="str">
            <v>CZ/M</v>
          </cell>
          <cell r="E481" t="str">
            <v>M</v>
          </cell>
          <cell r="F481" t="str">
            <v/>
          </cell>
        </row>
        <row r="482">
          <cell r="A482" t="str">
            <v>Lukas Zeman</v>
          </cell>
          <cell r="B482">
            <v>2000</v>
          </cell>
          <cell r="C482" t="str">
            <v>Rakovník</v>
          </cell>
          <cell r="D482" t="str">
            <v>CZ/C1</v>
          </cell>
          <cell r="E482" t="str">
            <v>M</v>
          </cell>
          <cell r="F482" t="str">
            <v/>
          </cell>
        </row>
        <row r="483">
          <cell r="A483" t="str">
            <v>Lukas Zemek</v>
          </cell>
          <cell r="B483">
            <v>1994</v>
          </cell>
          <cell r="C483" t="str">
            <v>Letkov</v>
          </cell>
          <cell r="D483" t="str">
            <v>CZ/C1</v>
          </cell>
          <cell r="E483" t="str">
            <v>M</v>
          </cell>
          <cell r="F483" t="str">
            <v/>
          </cell>
        </row>
        <row r="484">
          <cell r="A484" t="str">
            <v>Lumir Motyka</v>
          </cell>
          <cell r="B484">
            <v>1955</v>
          </cell>
          <cell r="C484" t="str">
            <v>Frýdlant</v>
          </cell>
          <cell r="D484" t="str">
            <v>CZ/M</v>
          </cell>
          <cell r="E484" t="str">
            <v>M</v>
          </cell>
          <cell r="F484" t="str">
            <v/>
          </cell>
        </row>
        <row r="485">
          <cell r="A485" t="str">
            <v>Marcel Skarohlid</v>
          </cell>
          <cell r="B485">
            <v>1972</v>
          </cell>
          <cell r="C485" t="str">
            <v>Hodkovice</v>
          </cell>
          <cell r="D485" t="str">
            <v>CZ/C2</v>
          </cell>
          <cell r="E485" t="str">
            <v>M</v>
          </cell>
          <cell r="F485" t="str">
            <v/>
          </cell>
        </row>
        <row r="486">
          <cell r="A486" t="str">
            <v>Marek Blatak</v>
          </cell>
          <cell r="B486">
            <v>1969</v>
          </cell>
          <cell r="C486" t="str">
            <v>Šumperk</v>
          </cell>
          <cell r="D486" t="str">
            <v>CZ/M</v>
          </cell>
          <cell r="E486" t="str">
            <v>M</v>
          </cell>
          <cell r="F486" t="str">
            <v/>
          </cell>
        </row>
        <row r="487">
          <cell r="A487" t="str">
            <v>Marek Csukas</v>
          </cell>
          <cell r="B487">
            <v>1982</v>
          </cell>
          <cell r="C487" t="str">
            <v>Podhořany</v>
          </cell>
          <cell r="D487" t="str">
            <v>CZ/C2</v>
          </cell>
          <cell r="E487" t="str">
            <v>M</v>
          </cell>
          <cell r="F487" t="str">
            <v/>
          </cell>
        </row>
        <row r="488">
          <cell r="A488" t="str">
            <v>Marek Cacky</v>
          </cell>
          <cell r="B488">
            <v>1971</v>
          </cell>
          <cell r="C488" t="str">
            <v>Kladno</v>
          </cell>
          <cell r="D488" t="str">
            <v>CZ/C1</v>
          </cell>
          <cell r="E488" t="str">
            <v>M</v>
          </cell>
          <cell r="F488" t="str">
            <v/>
          </cell>
        </row>
        <row r="489">
          <cell r="A489" t="str">
            <v>Marek Cerveny</v>
          </cell>
          <cell r="B489">
            <v>1989</v>
          </cell>
          <cell r="C489" t="str">
            <v>Jaroměř</v>
          </cell>
          <cell r="D489" t="str">
            <v>CZ/C2</v>
          </cell>
          <cell r="E489" t="str">
            <v>M</v>
          </cell>
          <cell r="F489" t="str">
            <v/>
          </cell>
        </row>
        <row r="490">
          <cell r="A490" t="str">
            <v>Marek Hlavaty</v>
          </cell>
          <cell r="B490">
            <v>1974</v>
          </cell>
          <cell r="C490" t="str">
            <v>Liberec</v>
          </cell>
          <cell r="D490" t="str">
            <v>CZ/C2</v>
          </cell>
          <cell r="E490" t="str">
            <v>M</v>
          </cell>
          <cell r="F490" t="str">
            <v/>
          </cell>
        </row>
        <row r="491">
          <cell r="A491" t="str">
            <v>Marek Kornec</v>
          </cell>
          <cell r="B491">
            <v>1957</v>
          </cell>
          <cell r="C491" t="str">
            <v>Dvůr Králové</v>
          </cell>
          <cell r="D491" t="str">
            <v>CZ/C2</v>
          </cell>
          <cell r="E491" t="str">
            <v>M</v>
          </cell>
          <cell r="F491" t="str">
            <v/>
          </cell>
        </row>
        <row r="492">
          <cell r="A492" t="str">
            <v>Marek Loukota</v>
          </cell>
          <cell r="B492">
            <v>2000</v>
          </cell>
          <cell r="C492" t="str">
            <v>Letkov</v>
          </cell>
          <cell r="D492" t="str">
            <v>CZ/C1</v>
          </cell>
          <cell r="E492" t="str">
            <v>M</v>
          </cell>
          <cell r="F492" t="str">
            <v/>
          </cell>
        </row>
        <row r="493">
          <cell r="A493" t="str">
            <v>Marek Malinsky</v>
          </cell>
          <cell r="B493">
            <v>1985</v>
          </cell>
          <cell r="C493" t="str">
            <v>Chrudim</v>
          </cell>
          <cell r="D493" t="str">
            <v>CZ/C2</v>
          </cell>
          <cell r="E493" t="str">
            <v>M</v>
          </cell>
          <cell r="F493" t="str">
            <v/>
          </cell>
        </row>
        <row r="494">
          <cell r="A494" t="str">
            <v>Marek Novotny</v>
          </cell>
          <cell r="B494">
            <v>2004</v>
          </cell>
          <cell r="C494" t="str">
            <v>Kladno</v>
          </cell>
          <cell r="D494" t="str">
            <v>CZ/C1</v>
          </cell>
          <cell r="E494" t="str">
            <v>M</v>
          </cell>
          <cell r="F494" t="str">
            <v>Junior v roce 2026</v>
          </cell>
        </row>
        <row r="495">
          <cell r="A495" t="str">
            <v>Marek Novy</v>
          </cell>
          <cell r="B495">
            <v>1973</v>
          </cell>
          <cell r="C495" t="str">
            <v>Roudnice</v>
          </cell>
          <cell r="D495" t="str">
            <v>CZ/C2</v>
          </cell>
          <cell r="E495" t="str">
            <v>M</v>
          </cell>
          <cell r="F495" t="str">
            <v/>
          </cell>
        </row>
        <row r="496">
          <cell r="A496" t="str">
            <v>Marek Pechanec</v>
          </cell>
          <cell r="B496">
            <v>1970</v>
          </cell>
          <cell r="C496" t="str">
            <v>Luhačovice</v>
          </cell>
          <cell r="D496" t="str">
            <v>CZ/M</v>
          </cell>
          <cell r="E496" t="str">
            <v>M</v>
          </cell>
          <cell r="F496" t="str">
            <v/>
          </cell>
        </row>
        <row r="497">
          <cell r="A497" t="str">
            <v>Marek Pechar</v>
          </cell>
          <cell r="B497">
            <v>1995</v>
          </cell>
          <cell r="C497" t="str">
            <v>Chrudim</v>
          </cell>
          <cell r="D497" t="str">
            <v>CZ/C2</v>
          </cell>
          <cell r="E497" t="str">
            <v>M</v>
          </cell>
          <cell r="F497" t="str">
            <v/>
          </cell>
        </row>
        <row r="498">
          <cell r="A498" t="str">
            <v>Marek Seitl</v>
          </cell>
          <cell r="B498">
            <v>1995</v>
          </cell>
          <cell r="C498" t="str">
            <v>Dvůr Králové</v>
          </cell>
          <cell r="D498" t="str">
            <v>CZ/C2</v>
          </cell>
          <cell r="E498" t="str">
            <v>M</v>
          </cell>
          <cell r="F498" t="str">
            <v/>
          </cell>
        </row>
        <row r="499">
          <cell r="A499" t="str">
            <v>Marek Sild</v>
          </cell>
          <cell r="B499">
            <v>1976</v>
          </cell>
          <cell r="C499" t="str">
            <v>Kunovice</v>
          </cell>
          <cell r="D499" t="str">
            <v>CZ/M</v>
          </cell>
          <cell r="E499" t="str">
            <v>M</v>
          </cell>
          <cell r="F499" t="str">
            <v/>
          </cell>
        </row>
        <row r="500">
          <cell r="A500" t="str">
            <v>Marek Simon</v>
          </cell>
          <cell r="B500">
            <v>1998</v>
          </cell>
          <cell r="C500" t="str">
            <v>Kralupy</v>
          </cell>
          <cell r="D500" t="str">
            <v>CZ/C1</v>
          </cell>
          <cell r="E500" t="str">
            <v>M</v>
          </cell>
          <cell r="F500" t="str">
            <v/>
          </cell>
        </row>
        <row r="501">
          <cell r="A501" t="str">
            <v>Marek Svancara</v>
          </cell>
          <cell r="B501">
            <v>1976</v>
          </cell>
          <cell r="C501" t="str">
            <v>GAC Benešov</v>
          </cell>
          <cell r="D501" t="str">
            <v>CZ/C1</v>
          </cell>
          <cell r="E501" t="str">
            <v>M</v>
          </cell>
          <cell r="F501" t="str">
            <v/>
          </cell>
        </row>
        <row r="502">
          <cell r="A502" t="str">
            <v>Marek Vinar</v>
          </cell>
          <cell r="B502">
            <v>1976</v>
          </cell>
          <cell r="C502" t="str">
            <v>Letňany</v>
          </cell>
          <cell r="D502" t="str">
            <v>CZ/C1</v>
          </cell>
          <cell r="E502" t="str">
            <v>M</v>
          </cell>
          <cell r="F502" t="str">
            <v/>
          </cell>
        </row>
        <row r="503">
          <cell r="A503" t="str">
            <v>Marie Vesela</v>
          </cell>
          <cell r="B503">
            <v>1999</v>
          </cell>
          <cell r="C503" t="str">
            <v>Staňkov</v>
          </cell>
          <cell r="D503" t="str">
            <v>CZ/C1</v>
          </cell>
          <cell r="E503" t="str">
            <v>F</v>
          </cell>
          <cell r="F503" t="str">
            <v/>
          </cell>
        </row>
        <row r="504">
          <cell r="A504" t="str">
            <v>Martin Adamec</v>
          </cell>
          <cell r="B504">
            <v>1971</v>
          </cell>
          <cell r="C504" t="str">
            <v>Medlánky</v>
          </cell>
          <cell r="D504" t="str">
            <v>CZ/M</v>
          </cell>
          <cell r="E504" t="str">
            <v>M</v>
          </cell>
          <cell r="F504" t="str">
            <v/>
          </cell>
        </row>
        <row r="505">
          <cell r="A505" t="str">
            <v>Martin Babak</v>
          </cell>
          <cell r="B505">
            <v>1976</v>
          </cell>
          <cell r="C505" t="str">
            <v>Hořice</v>
          </cell>
          <cell r="D505" t="str">
            <v>CZ/C2</v>
          </cell>
          <cell r="E505" t="str">
            <v>M</v>
          </cell>
          <cell r="F505" t="str">
            <v/>
          </cell>
        </row>
        <row r="506">
          <cell r="A506" t="str">
            <v>Martin Balik</v>
          </cell>
          <cell r="B506">
            <v>1982</v>
          </cell>
          <cell r="C506" t="str">
            <v>Kralupy</v>
          </cell>
          <cell r="D506" t="str">
            <v>CZ/C1</v>
          </cell>
          <cell r="E506" t="str">
            <v>M</v>
          </cell>
          <cell r="F506" t="str">
            <v/>
          </cell>
        </row>
        <row r="507">
          <cell r="A507" t="str">
            <v>Martin Benesovsky</v>
          </cell>
          <cell r="B507">
            <v>1975</v>
          </cell>
          <cell r="C507" t="str">
            <v>Kolín</v>
          </cell>
          <cell r="D507" t="str">
            <v>CZ/C1</v>
          </cell>
          <cell r="E507" t="str">
            <v>M</v>
          </cell>
          <cell r="F507" t="str">
            <v/>
          </cell>
        </row>
        <row r="508">
          <cell r="A508" t="str">
            <v>Martin Cicvarek</v>
          </cell>
          <cell r="B508">
            <v>1966</v>
          </cell>
          <cell r="C508" t="str">
            <v>Liberec</v>
          </cell>
          <cell r="D508" t="str">
            <v>CZ/C2</v>
          </cell>
          <cell r="E508" t="str">
            <v>M</v>
          </cell>
          <cell r="F508" t="str">
            <v/>
          </cell>
        </row>
        <row r="509">
          <cell r="A509" t="str">
            <v>Martin Donek</v>
          </cell>
          <cell r="B509">
            <v>1976</v>
          </cell>
          <cell r="C509" t="str">
            <v>Beroun</v>
          </cell>
          <cell r="D509" t="str">
            <v>CZ/C1</v>
          </cell>
          <cell r="E509" t="str">
            <v>M</v>
          </cell>
          <cell r="F509" t="str">
            <v/>
          </cell>
        </row>
        <row r="510">
          <cell r="A510" t="str">
            <v>Martin Dundr</v>
          </cell>
          <cell r="B510">
            <v>1968</v>
          </cell>
          <cell r="C510" t="str">
            <v>Hořice</v>
          </cell>
          <cell r="D510" t="str">
            <v>CZ/C2</v>
          </cell>
          <cell r="E510" t="str">
            <v>M</v>
          </cell>
          <cell r="F510" t="str">
            <v/>
          </cell>
        </row>
        <row r="511">
          <cell r="A511" t="str">
            <v>Martin Ficnar</v>
          </cell>
          <cell r="B511">
            <v>1971</v>
          </cell>
          <cell r="C511" t="str">
            <v>Šumperk</v>
          </cell>
          <cell r="D511" t="str">
            <v>CZ/M</v>
          </cell>
          <cell r="E511" t="str">
            <v>M</v>
          </cell>
          <cell r="F511" t="str">
            <v/>
          </cell>
        </row>
        <row r="512">
          <cell r="A512" t="str">
            <v>Martin Fric</v>
          </cell>
          <cell r="B512">
            <v>1967</v>
          </cell>
          <cell r="C512" t="str">
            <v>Raná</v>
          </cell>
          <cell r="D512" t="str">
            <v>CZ/C2</v>
          </cell>
          <cell r="E512" t="str">
            <v>M</v>
          </cell>
          <cell r="F512" t="str">
            <v/>
          </cell>
        </row>
        <row r="513">
          <cell r="A513" t="str">
            <v>Martin Gedeon</v>
          </cell>
          <cell r="B513">
            <v>1989</v>
          </cell>
          <cell r="C513" t="str">
            <v>Letkov</v>
          </cell>
          <cell r="D513" t="str">
            <v>CZ/C1</v>
          </cell>
          <cell r="E513" t="str">
            <v>M</v>
          </cell>
          <cell r="F513" t="str">
            <v/>
          </cell>
        </row>
        <row r="514">
          <cell r="A514" t="str">
            <v>Martin Grmela</v>
          </cell>
          <cell r="B514">
            <v>1989</v>
          </cell>
          <cell r="C514" t="str">
            <v>Zbraslavice</v>
          </cell>
          <cell r="D514" t="str">
            <v>CZ/C1</v>
          </cell>
          <cell r="E514" t="str">
            <v>M</v>
          </cell>
          <cell r="F514" t="str">
            <v/>
          </cell>
        </row>
        <row r="515">
          <cell r="A515" t="str">
            <v>Martin Hejny</v>
          </cell>
          <cell r="B515">
            <v>1984</v>
          </cell>
          <cell r="C515" t="str">
            <v>Šumperk</v>
          </cell>
          <cell r="D515" t="str">
            <v>CZ/M</v>
          </cell>
          <cell r="E515" t="str">
            <v>M</v>
          </cell>
          <cell r="F515" t="str">
            <v/>
          </cell>
        </row>
        <row r="516">
          <cell r="A516" t="str">
            <v>Martin Holik</v>
          </cell>
          <cell r="B516">
            <v>1959</v>
          </cell>
          <cell r="C516" t="str">
            <v>Letňany</v>
          </cell>
          <cell r="D516" t="str">
            <v>CZ/C1</v>
          </cell>
          <cell r="E516" t="str">
            <v>M</v>
          </cell>
          <cell r="F516" t="str">
            <v/>
          </cell>
        </row>
        <row r="517">
          <cell r="A517" t="str">
            <v>Martin Horacek</v>
          </cell>
          <cell r="B517">
            <v>1985</v>
          </cell>
          <cell r="C517" t="str">
            <v>Dvůr Králové</v>
          </cell>
          <cell r="D517" t="str">
            <v>CZ/C2</v>
          </cell>
          <cell r="E517" t="str">
            <v>M</v>
          </cell>
          <cell r="F517" t="str">
            <v/>
          </cell>
        </row>
        <row r="518">
          <cell r="A518" t="str">
            <v>Martin Hrivna</v>
          </cell>
          <cell r="B518">
            <v>1978</v>
          </cell>
          <cell r="C518" t="str">
            <v>Zbraslavice</v>
          </cell>
          <cell r="D518" t="str">
            <v>CZ/C1</v>
          </cell>
          <cell r="E518" t="str">
            <v>M</v>
          </cell>
          <cell r="F518" t="str">
            <v/>
          </cell>
        </row>
        <row r="519">
          <cell r="A519" t="str">
            <v>Martin Chovan</v>
          </cell>
          <cell r="B519">
            <v>1973</v>
          </cell>
          <cell r="C519" t="str">
            <v>Zbraslavice</v>
          </cell>
          <cell r="D519" t="str">
            <v>CZ/C1</v>
          </cell>
          <cell r="E519" t="str">
            <v>M</v>
          </cell>
          <cell r="F519" t="str">
            <v/>
          </cell>
        </row>
        <row r="520">
          <cell r="A520" t="str">
            <v>Martin Janousek</v>
          </cell>
          <cell r="B520">
            <v>1985</v>
          </cell>
          <cell r="C520" t="str">
            <v>Turnov</v>
          </cell>
          <cell r="D520" t="str">
            <v>CZ/C2</v>
          </cell>
          <cell r="E520" t="str">
            <v>M</v>
          </cell>
          <cell r="F520" t="str">
            <v/>
          </cell>
        </row>
        <row r="521">
          <cell r="A521" t="str">
            <v>Martin Koci</v>
          </cell>
          <cell r="B521">
            <v>1975</v>
          </cell>
          <cell r="C521" t="str">
            <v>Ústí nad Orlicí</v>
          </cell>
          <cell r="D521" t="str">
            <v>CZ/C2</v>
          </cell>
          <cell r="E521" t="str">
            <v>M</v>
          </cell>
          <cell r="F521" t="str">
            <v/>
          </cell>
        </row>
        <row r="522">
          <cell r="A522" t="str">
            <v>Martin Kozina</v>
          </cell>
          <cell r="B522">
            <v>1970</v>
          </cell>
          <cell r="C522" t="str">
            <v>Křižanov</v>
          </cell>
          <cell r="D522" t="str">
            <v>CZ/M</v>
          </cell>
          <cell r="E522" t="str">
            <v>M</v>
          </cell>
          <cell r="F522" t="str">
            <v/>
          </cell>
        </row>
        <row r="523">
          <cell r="A523" t="str">
            <v>Martin Kriz</v>
          </cell>
          <cell r="B523">
            <v>1968</v>
          </cell>
          <cell r="C523" t="str">
            <v>Přibyslav</v>
          </cell>
          <cell r="D523" t="str">
            <v>CZ/C2</v>
          </cell>
          <cell r="E523" t="str">
            <v>M</v>
          </cell>
          <cell r="F523" t="str">
            <v/>
          </cell>
        </row>
        <row r="524">
          <cell r="A524" t="str">
            <v>Martin Krizovic</v>
          </cell>
          <cell r="B524">
            <v>1971</v>
          </cell>
          <cell r="C524" t="str">
            <v>Přibyslav</v>
          </cell>
          <cell r="D524" t="str">
            <v>CZ/C2</v>
          </cell>
          <cell r="E524" t="str">
            <v>M</v>
          </cell>
          <cell r="F524" t="str">
            <v/>
          </cell>
        </row>
        <row r="525">
          <cell r="A525" t="str">
            <v>Martin Liptak</v>
          </cell>
          <cell r="B525">
            <v>1970</v>
          </cell>
          <cell r="C525" t="str">
            <v>Toužim</v>
          </cell>
          <cell r="D525" t="str">
            <v>CZ/C1</v>
          </cell>
          <cell r="E525" t="str">
            <v>M</v>
          </cell>
          <cell r="F525" t="str">
            <v/>
          </cell>
        </row>
        <row r="526">
          <cell r="A526" t="str">
            <v>Martin Marek</v>
          </cell>
          <cell r="B526">
            <v>1967</v>
          </cell>
          <cell r="C526" t="str">
            <v>Roudnice</v>
          </cell>
          <cell r="D526" t="str">
            <v>CZ/C2</v>
          </cell>
          <cell r="E526" t="str">
            <v>M</v>
          </cell>
          <cell r="F526" t="str">
            <v/>
          </cell>
        </row>
        <row r="527">
          <cell r="A527" t="str">
            <v>Martin Marhefka</v>
          </cell>
          <cell r="B527">
            <v>1975</v>
          </cell>
          <cell r="C527" t="str">
            <v>Kyjov</v>
          </cell>
          <cell r="D527" t="str">
            <v>CZ/M</v>
          </cell>
          <cell r="E527" t="str">
            <v>M</v>
          </cell>
          <cell r="F527" t="str">
            <v/>
          </cell>
        </row>
        <row r="528">
          <cell r="A528" t="str">
            <v>Martin Markl</v>
          </cell>
          <cell r="B528">
            <v>1960</v>
          </cell>
          <cell r="C528" t="str">
            <v>Kolín</v>
          </cell>
          <cell r="D528" t="str">
            <v>CZ/C1</v>
          </cell>
          <cell r="E528" t="str">
            <v>M</v>
          </cell>
          <cell r="F528" t="str">
            <v/>
          </cell>
        </row>
        <row r="529">
          <cell r="A529" t="str">
            <v>Martin Molnar</v>
          </cell>
          <cell r="B529">
            <v>1986</v>
          </cell>
          <cell r="C529" t="str">
            <v>Šumperk</v>
          </cell>
          <cell r="D529" t="str">
            <v>CZ/M</v>
          </cell>
          <cell r="E529" t="str">
            <v>M</v>
          </cell>
          <cell r="F529" t="str">
            <v/>
          </cell>
        </row>
        <row r="530">
          <cell r="A530" t="str">
            <v>Martin Nejezchleb</v>
          </cell>
          <cell r="B530">
            <v>1979</v>
          </cell>
          <cell r="C530" t="str">
            <v>Plzeň Bory</v>
          </cell>
          <cell r="D530" t="str">
            <v>CZ/C1</v>
          </cell>
          <cell r="E530" t="str">
            <v>M</v>
          </cell>
          <cell r="F530" t="str">
            <v/>
          </cell>
        </row>
        <row r="531">
          <cell r="A531" t="str">
            <v>Martin Neuvirt</v>
          </cell>
          <cell r="B531">
            <v>2001</v>
          </cell>
          <cell r="C531" t="str">
            <v>Přibyslav</v>
          </cell>
          <cell r="D531" t="str">
            <v>CZ/C2</v>
          </cell>
          <cell r="E531" t="str">
            <v>M</v>
          </cell>
          <cell r="F531" t="str">
            <v>Junior v roce 2026</v>
          </cell>
        </row>
        <row r="532">
          <cell r="A532" t="str">
            <v>Martin Novak</v>
          </cell>
          <cell r="B532">
            <v>1976</v>
          </cell>
          <cell r="C532" t="str">
            <v>Slaný</v>
          </cell>
          <cell r="D532" t="str">
            <v>CZ/C1</v>
          </cell>
          <cell r="E532" t="str">
            <v>M</v>
          </cell>
          <cell r="F532" t="str">
            <v/>
          </cell>
        </row>
        <row r="533">
          <cell r="A533" t="str">
            <v>Martin Pehe</v>
          </cell>
          <cell r="B533">
            <v>1978</v>
          </cell>
          <cell r="C533" t="str">
            <v>Soběslav</v>
          </cell>
          <cell r="D533" t="str">
            <v>CZ/C1</v>
          </cell>
          <cell r="E533" t="str">
            <v>M</v>
          </cell>
          <cell r="F533" t="str">
            <v/>
          </cell>
        </row>
        <row r="534">
          <cell r="A534" t="str">
            <v>Martin Pekar</v>
          </cell>
          <cell r="B534">
            <v>1973</v>
          </cell>
          <cell r="C534" t="str">
            <v>Šumperk</v>
          </cell>
          <cell r="D534" t="str">
            <v>CZ/M</v>
          </cell>
          <cell r="E534" t="str">
            <v>M</v>
          </cell>
          <cell r="F534" t="str">
            <v/>
          </cell>
        </row>
        <row r="535">
          <cell r="A535" t="str">
            <v>Martin Picka</v>
          </cell>
          <cell r="B535">
            <v>1974</v>
          </cell>
          <cell r="C535" t="str">
            <v>Tábor</v>
          </cell>
          <cell r="D535" t="str">
            <v>CZ/C1</v>
          </cell>
          <cell r="E535" t="str">
            <v>M</v>
          </cell>
          <cell r="F535" t="str">
            <v/>
          </cell>
        </row>
        <row r="536">
          <cell r="A536" t="str">
            <v>Martin Piskacek</v>
          </cell>
          <cell r="B536">
            <v>1991</v>
          </cell>
          <cell r="C536" t="str">
            <v>Křižanov</v>
          </cell>
          <cell r="D536" t="str">
            <v>CZ/M</v>
          </cell>
          <cell r="E536" t="str">
            <v>M</v>
          </cell>
          <cell r="F536" t="str">
            <v/>
          </cell>
        </row>
        <row r="537">
          <cell r="A537" t="str">
            <v>Martin Sehnoutka</v>
          </cell>
          <cell r="B537">
            <v>1970</v>
          </cell>
          <cell r="C537" t="str">
            <v>Dvůr Králové</v>
          </cell>
          <cell r="D537" t="str">
            <v>CZ/C2</v>
          </cell>
          <cell r="E537" t="str">
            <v>M</v>
          </cell>
          <cell r="F537" t="str">
            <v/>
          </cell>
        </row>
        <row r="538">
          <cell r="A538" t="str">
            <v>Martin Skala</v>
          </cell>
          <cell r="B538">
            <v>1985</v>
          </cell>
          <cell r="C538" t="str">
            <v>Vrchlabí</v>
          </cell>
          <cell r="D538" t="str">
            <v>CZ/C2</v>
          </cell>
          <cell r="E538" t="str">
            <v>M</v>
          </cell>
          <cell r="F538" t="str">
            <v/>
          </cell>
        </row>
        <row r="539">
          <cell r="A539" t="str">
            <v>Martin Soldan</v>
          </cell>
          <cell r="B539">
            <v>2001</v>
          </cell>
          <cell r="C539" t="str">
            <v>Hronov</v>
          </cell>
          <cell r="D539" t="str">
            <v>CZ/C2</v>
          </cell>
          <cell r="E539" t="str">
            <v>M</v>
          </cell>
          <cell r="F539" t="str">
            <v>Junior v roce 2026</v>
          </cell>
        </row>
        <row r="540">
          <cell r="A540" t="str">
            <v>Martin Soucek</v>
          </cell>
          <cell r="B540">
            <v>1975</v>
          </cell>
          <cell r="C540" t="str">
            <v>Mladá Boleslav</v>
          </cell>
          <cell r="D540" t="str">
            <v>CZ/C1</v>
          </cell>
          <cell r="E540" t="str">
            <v>M</v>
          </cell>
          <cell r="F540" t="str">
            <v/>
          </cell>
        </row>
        <row r="541">
          <cell r="A541" t="str">
            <v>Martin Stastny</v>
          </cell>
          <cell r="B541">
            <v>2005</v>
          </cell>
          <cell r="C541" t="str">
            <v>Medlánky</v>
          </cell>
          <cell r="D541" t="str">
            <v>CZ/M</v>
          </cell>
          <cell r="E541" t="str">
            <v>M</v>
          </cell>
          <cell r="F541" t="str">
            <v>Junior v roce 2026</v>
          </cell>
        </row>
        <row r="542">
          <cell r="A542" t="str">
            <v>Martin Suchy</v>
          </cell>
          <cell r="B542">
            <v>1969</v>
          </cell>
          <cell r="C542" t="str">
            <v>Hranice</v>
          </cell>
          <cell r="D542" t="str">
            <v>CZ/M</v>
          </cell>
          <cell r="E542" t="str">
            <v>M</v>
          </cell>
          <cell r="F542" t="str">
            <v/>
          </cell>
        </row>
        <row r="543">
          <cell r="A543" t="str">
            <v>Martin Svacina</v>
          </cell>
          <cell r="B543">
            <v>1965</v>
          </cell>
          <cell r="C543" t="str">
            <v>Frýdlant</v>
          </cell>
          <cell r="D543" t="str">
            <v>CZ/M</v>
          </cell>
          <cell r="E543" t="str">
            <v>M</v>
          </cell>
          <cell r="F543" t="str">
            <v/>
          </cell>
        </row>
        <row r="544">
          <cell r="A544" t="str">
            <v>Martin Svoboda</v>
          </cell>
          <cell r="B544">
            <v>1989</v>
          </cell>
          <cell r="C544" t="str">
            <v>Letkov</v>
          </cell>
          <cell r="D544" t="str">
            <v>CZ/C1</v>
          </cell>
          <cell r="E544" t="str">
            <v>M</v>
          </cell>
          <cell r="F544" t="str">
            <v/>
          </cell>
        </row>
        <row r="545">
          <cell r="A545" t="str">
            <v>Martin Sonka</v>
          </cell>
          <cell r="B545">
            <v>1978</v>
          </cell>
          <cell r="C545" t="str">
            <v>Tábor</v>
          </cell>
          <cell r="D545" t="str">
            <v>CZ/C1</v>
          </cell>
          <cell r="E545" t="str">
            <v>M</v>
          </cell>
          <cell r="F545" t="str">
            <v/>
          </cell>
        </row>
        <row r="546">
          <cell r="A546" t="str">
            <v>Martin Stepanek</v>
          </cell>
          <cell r="B546">
            <v>1987</v>
          </cell>
          <cell r="C546" t="str">
            <v>Moravská Třebová</v>
          </cell>
          <cell r="D546" t="str">
            <v>CZ/M</v>
          </cell>
          <cell r="E546" t="str">
            <v>M</v>
          </cell>
          <cell r="F546" t="str">
            <v/>
          </cell>
        </row>
        <row r="547">
          <cell r="A547" t="str">
            <v>Martin Stepka</v>
          </cell>
          <cell r="B547">
            <v>1966</v>
          </cell>
          <cell r="C547" t="str">
            <v>Turnov</v>
          </cell>
          <cell r="D547" t="str">
            <v>CZ/C2</v>
          </cell>
          <cell r="E547" t="str">
            <v>M</v>
          </cell>
          <cell r="F547" t="str">
            <v/>
          </cell>
        </row>
        <row r="548">
          <cell r="A548" t="str">
            <v>Martin Stransky</v>
          </cell>
          <cell r="B548">
            <v>1964</v>
          </cell>
          <cell r="C548" t="str">
            <v>Jičín</v>
          </cell>
          <cell r="D548" t="str">
            <v>CZ/C2</v>
          </cell>
          <cell r="E548" t="str">
            <v>M</v>
          </cell>
          <cell r="F548" t="str">
            <v/>
          </cell>
        </row>
        <row r="549">
          <cell r="A549" t="str">
            <v>Martin Svarc</v>
          </cell>
          <cell r="B549">
            <v>1981</v>
          </cell>
          <cell r="C549" t="str">
            <v>Olomouc</v>
          </cell>
          <cell r="D549" t="str">
            <v>CZ/M</v>
          </cell>
          <cell r="E549" t="str">
            <v>M</v>
          </cell>
          <cell r="F549" t="str">
            <v/>
          </cell>
        </row>
        <row r="550">
          <cell r="A550" t="str">
            <v>Martin Tison</v>
          </cell>
          <cell r="B550">
            <v>2000</v>
          </cell>
          <cell r="C550" t="str">
            <v>Hosín</v>
          </cell>
          <cell r="D550" t="str">
            <v>CZ/C1</v>
          </cell>
          <cell r="E550" t="str">
            <v>M</v>
          </cell>
          <cell r="F550" t="str">
            <v/>
          </cell>
        </row>
        <row r="551">
          <cell r="A551" t="str">
            <v>Martin Urban</v>
          </cell>
          <cell r="B551">
            <v>1971</v>
          </cell>
          <cell r="C551" t="str">
            <v>Frýdlant</v>
          </cell>
          <cell r="D551" t="str">
            <v>CZ/M</v>
          </cell>
          <cell r="E551" t="str">
            <v>M</v>
          </cell>
          <cell r="F551" t="str">
            <v/>
          </cell>
        </row>
        <row r="552">
          <cell r="A552" t="str">
            <v>Martin Urner</v>
          </cell>
          <cell r="B552">
            <v>1974</v>
          </cell>
          <cell r="C552" t="str">
            <v>Letňany</v>
          </cell>
          <cell r="D552" t="str">
            <v>CZ/C1</v>
          </cell>
          <cell r="E552" t="str">
            <v>M</v>
          </cell>
          <cell r="F552" t="str">
            <v/>
          </cell>
        </row>
        <row r="553">
          <cell r="A553" t="str">
            <v>Martin Valenta</v>
          </cell>
          <cell r="B553">
            <v>1969</v>
          </cell>
          <cell r="C553" t="str">
            <v>Toužim</v>
          </cell>
          <cell r="D553" t="str">
            <v>CZ/C1</v>
          </cell>
          <cell r="E553" t="str">
            <v>M</v>
          </cell>
          <cell r="F553" t="str">
            <v/>
          </cell>
        </row>
        <row r="554">
          <cell r="A554" t="str">
            <v>Martin Vana</v>
          </cell>
          <cell r="B554">
            <v>1979</v>
          </cell>
          <cell r="C554" t="str">
            <v>Mladá Boleslav</v>
          </cell>
          <cell r="D554" t="str">
            <v>CZ/C1</v>
          </cell>
          <cell r="E554" t="str">
            <v>M</v>
          </cell>
          <cell r="F554" t="str">
            <v/>
          </cell>
        </row>
        <row r="555">
          <cell r="A555" t="str">
            <v>Martin Viteznik</v>
          </cell>
          <cell r="B555">
            <v>1988</v>
          </cell>
          <cell r="C555" t="str">
            <v>Kralupy</v>
          </cell>
          <cell r="D555" t="str">
            <v>CZ/C1</v>
          </cell>
          <cell r="E555" t="str">
            <v>M</v>
          </cell>
          <cell r="F555" t="str">
            <v/>
          </cell>
        </row>
        <row r="556">
          <cell r="A556" t="str">
            <v>Martin Vnoucek</v>
          </cell>
          <cell r="B556">
            <v>1972</v>
          </cell>
          <cell r="C556" t="str">
            <v>Vlašim</v>
          </cell>
          <cell r="D556" t="str">
            <v>CZ/C1</v>
          </cell>
          <cell r="E556" t="str">
            <v>M</v>
          </cell>
          <cell r="F556" t="str">
            <v/>
          </cell>
        </row>
        <row r="557">
          <cell r="A557" t="str">
            <v>Martin Vondracek</v>
          </cell>
          <cell r="B557">
            <v>1967</v>
          </cell>
          <cell r="C557" t="str">
            <v>Hronov</v>
          </cell>
          <cell r="D557" t="str">
            <v>CZ/C2</v>
          </cell>
          <cell r="E557" t="str">
            <v>M</v>
          </cell>
          <cell r="F557" t="str">
            <v/>
          </cell>
        </row>
        <row r="558">
          <cell r="A558" t="str">
            <v>Martin Vrba</v>
          </cell>
          <cell r="B558">
            <v>1977</v>
          </cell>
          <cell r="C558" t="str">
            <v>Toužim</v>
          </cell>
          <cell r="D558" t="str">
            <v>CZ/C1</v>
          </cell>
          <cell r="E558" t="str">
            <v>M</v>
          </cell>
          <cell r="F558" t="str">
            <v/>
          </cell>
        </row>
        <row r="559">
          <cell r="A559" t="str">
            <v>Martin Vyskocil</v>
          </cell>
          <cell r="B559">
            <v>1981</v>
          </cell>
          <cell r="C559" t="str">
            <v>Hodkovice</v>
          </cell>
          <cell r="D559" t="str">
            <v>CZ/C2</v>
          </cell>
          <cell r="E559" t="str">
            <v>M</v>
          </cell>
          <cell r="F559" t="str">
            <v/>
          </cell>
        </row>
        <row r="560">
          <cell r="A560" t="str">
            <v>Martin Zahalka</v>
          </cell>
          <cell r="B560">
            <v>1987</v>
          </cell>
          <cell r="C560" t="str">
            <v>Staňkov</v>
          </cell>
          <cell r="D560" t="str">
            <v>CZ/C1</v>
          </cell>
          <cell r="E560" t="str">
            <v>M</v>
          </cell>
          <cell r="F560" t="str">
            <v/>
          </cell>
        </row>
        <row r="561">
          <cell r="A561" t="str">
            <v>Martin Zvonicek</v>
          </cell>
          <cell r="B561">
            <v>1972</v>
          </cell>
          <cell r="C561" t="str">
            <v>Raná</v>
          </cell>
          <cell r="D561" t="str">
            <v>CZ/C2</v>
          </cell>
          <cell r="E561" t="str">
            <v>M</v>
          </cell>
          <cell r="F561" t="str">
            <v/>
          </cell>
        </row>
        <row r="562">
          <cell r="A562" t="str">
            <v>Martina Bartonikova</v>
          </cell>
          <cell r="B562">
            <v>1990</v>
          </cell>
          <cell r="C562" t="str">
            <v>Luhačovice</v>
          </cell>
          <cell r="D562" t="str">
            <v>CZ/M</v>
          </cell>
          <cell r="E562" t="str">
            <v>F</v>
          </cell>
          <cell r="F562" t="str">
            <v/>
          </cell>
        </row>
        <row r="563">
          <cell r="A563" t="str">
            <v>Martina Kloubova</v>
          </cell>
          <cell r="B563">
            <v>1991</v>
          </cell>
          <cell r="C563" t="str">
            <v>Hodkovice</v>
          </cell>
          <cell r="D563" t="str">
            <v>CZ/C2</v>
          </cell>
          <cell r="E563" t="str">
            <v>F</v>
          </cell>
          <cell r="F563" t="str">
            <v/>
          </cell>
        </row>
        <row r="564">
          <cell r="A564" t="str">
            <v>Martina Voráčová</v>
          </cell>
          <cell r="B564">
            <v>1988</v>
          </cell>
          <cell r="C564" t="str">
            <v>Křižanov</v>
          </cell>
          <cell r="D564" t="str">
            <v>CZ/M</v>
          </cell>
          <cell r="E564" t="str">
            <v>F</v>
          </cell>
          <cell r="F564" t="str">
            <v/>
          </cell>
        </row>
        <row r="565">
          <cell r="A565" t="str">
            <v>Matej Bartos</v>
          </cell>
          <cell r="B565">
            <v>1998</v>
          </cell>
          <cell r="C565" t="str">
            <v>Hodkovice</v>
          </cell>
          <cell r="D565" t="str">
            <v>CZ/C2</v>
          </cell>
          <cell r="E565" t="str">
            <v>M</v>
          </cell>
          <cell r="F565" t="str">
            <v/>
          </cell>
        </row>
        <row r="566">
          <cell r="A566" t="str">
            <v>Matej Dolejs</v>
          </cell>
          <cell r="B566">
            <v>2004</v>
          </cell>
          <cell r="C566" t="str">
            <v>Beroun</v>
          </cell>
          <cell r="D566" t="str">
            <v>CZ/C1</v>
          </cell>
          <cell r="E566" t="str">
            <v>M</v>
          </cell>
          <cell r="F566" t="str">
            <v>Junior v roce 2026</v>
          </cell>
        </row>
        <row r="567">
          <cell r="A567" t="str">
            <v>Matej Charouz</v>
          </cell>
          <cell r="B567">
            <v>1993</v>
          </cell>
          <cell r="C567" t="str">
            <v>Hodkovice</v>
          </cell>
          <cell r="D567" t="str">
            <v>CZ/C2</v>
          </cell>
          <cell r="E567" t="str">
            <v>M</v>
          </cell>
          <cell r="F567" t="str">
            <v/>
          </cell>
        </row>
        <row r="568">
          <cell r="A568" t="str">
            <v>Matej Jelinek</v>
          </cell>
          <cell r="B568">
            <v>1999</v>
          </cell>
          <cell r="C568" t="str">
            <v>Hronov</v>
          </cell>
          <cell r="D568" t="str">
            <v>CZ/C2</v>
          </cell>
          <cell r="E568" t="str">
            <v>M</v>
          </cell>
          <cell r="F568" t="str">
            <v/>
          </cell>
        </row>
        <row r="569">
          <cell r="A569" t="str">
            <v>Matej Kiss</v>
          </cell>
          <cell r="B569">
            <v>1990</v>
          </cell>
          <cell r="C569" t="str">
            <v>Točná</v>
          </cell>
          <cell r="D569" t="str">
            <v>CZ/C1</v>
          </cell>
          <cell r="E569" t="str">
            <v>M</v>
          </cell>
          <cell r="F569" t="str">
            <v/>
          </cell>
        </row>
        <row r="570">
          <cell r="A570" t="str">
            <v>Matej Krestes</v>
          </cell>
          <cell r="B570">
            <v>1986</v>
          </cell>
          <cell r="C570" t="str">
            <v>Slaný</v>
          </cell>
          <cell r="D570" t="str">
            <v>CZ/C1</v>
          </cell>
          <cell r="E570" t="str">
            <v>M</v>
          </cell>
          <cell r="F570" t="str">
            <v/>
          </cell>
        </row>
        <row r="571">
          <cell r="A571" t="str">
            <v>Matej Plch</v>
          </cell>
          <cell r="B571">
            <v>1987</v>
          </cell>
          <cell r="C571" t="str">
            <v>Letkov</v>
          </cell>
          <cell r="D571" t="str">
            <v>CZ/C1</v>
          </cell>
          <cell r="E571" t="str">
            <v>M</v>
          </cell>
          <cell r="F571" t="str">
            <v/>
          </cell>
        </row>
        <row r="572">
          <cell r="A572" t="str">
            <v>Matej Rendla</v>
          </cell>
          <cell r="B572">
            <v>2000</v>
          </cell>
          <cell r="C572" t="str">
            <v>Zbraslavice</v>
          </cell>
          <cell r="D572" t="str">
            <v>CZ/C1</v>
          </cell>
          <cell r="E572" t="str">
            <v>M</v>
          </cell>
          <cell r="F572" t="str">
            <v/>
          </cell>
        </row>
        <row r="573">
          <cell r="A573" t="str">
            <v>Matej Uhlik</v>
          </cell>
          <cell r="B573">
            <v>1995</v>
          </cell>
          <cell r="C573" t="str">
            <v>Letkov</v>
          </cell>
          <cell r="D573" t="str">
            <v>CZ/C1</v>
          </cell>
          <cell r="E573" t="str">
            <v>M</v>
          </cell>
          <cell r="F573" t="str">
            <v/>
          </cell>
        </row>
        <row r="574">
          <cell r="A574" t="str">
            <v>Matous Schmidt</v>
          </cell>
          <cell r="B574">
            <v>1981</v>
          </cell>
          <cell r="C574" t="str">
            <v>Letňany</v>
          </cell>
          <cell r="D574" t="str">
            <v>CZ/C1</v>
          </cell>
          <cell r="E574" t="str">
            <v>M</v>
          </cell>
          <cell r="F574" t="str">
            <v/>
          </cell>
        </row>
        <row r="575">
          <cell r="A575" t="str">
            <v>Matyas John</v>
          </cell>
          <cell r="B575">
            <v>2002</v>
          </cell>
          <cell r="C575" t="str">
            <v>Medlánky</v>
          </cell>
          <cell r="D575" t="str">
            <v>CZ/M</v>
          </cell>
          <cell r="E575" t="str">
            <v>M</v>
          </cell>
          <cell r="F575" t="str">
            <v>Junior v roce 2026</v>
          </cell>
        </row>
        <row r="576">
          <cell r="A576" t="str">
            <v>Michael Cernes</v>
          </cell>
          <cell r="B576">
            <v>1997</v>
          </cell>
          <cell r="C576" t="str">
            <v>Letňany</v>
          </cell>
          <cell r="D576" t="str">
            <v>CZ/C1</v>
          </cell>
          <cell r="E576" t="str">
            <v>M</v>
          </cell>
          <cell r="F576" t="str">
            <v/>
          </cell>
        </row>
        <row r="577">
          <cell r="A577" t="str">
            <v>Michael Fik</v>
          </cell>
          <cell r="B577">
            <v>1972</v>
          </cell>
          <cell r="C577" t="str">
            <v>Strakonice</v>
          </cell>
          <cell r="D577" t="str">
            <v>CZ/C1</v>
          </cell>
          <cell r="E577" t="str">
            <v>M</v>
          </cell>
          <cell r="F577" t="str">
            <v/>
          </cell>
        </row>
        <row r="578">
          <cell r="A578" t="str">
            <v>Michaela Houskova</v>
          </cell>
          <cell r="B578">
            <v>1978</v>
          </cell>
          <cell r="C578" t="str">
            <v>Letkov</v>
          </cell>
          <cell r="D578" t="str">
            <v>CZ/C1</v>
          </cell>
          <cell r="E578" t="str">
            <v>F</v>
          </cell>
          <cell r="F578" t="str">
            <v/>
          </cell>
        </row>
        <row r="579">
          <cell r="A579" t="str">
            <v>Michaela Krizova</v>
          </cell>
          <cell r="B579">
            <v>2001</v>
          </cell>
          <cell r="C579" t="str">
            <v>Přibyslav</v>
          </cell>
          <cell r="D579" t="str">
            <v>CZ/C2</v>
          </cell>
          <cell r="E579" t="str">
            <v>F</v>
          </cell>
          <cell r="F579" t="str">
            <v>Junior v roce 2026</v>
          </cell>
        </row>
        <row r="580">
          <cell r="A580" t="str">
            <v>Michaela Rendlova</v>
          </cell>
          <cell r="B580">
            <v>2004</v>
          </cell>
          <cell r="C580" t="str">
            <v>Toužim</v>
          </cell>
          <cell r="D580" t="str">
            <v>CZ/C1</v>
          </cell>
          <cell r="E580" t="str">
            <v>F</v>
          </cell>
          <cell r="F580" t="str">
            <v>Junior v roce 2026</v>
          </cell>
        </row>
        <row r="581">
          <cell r="A581" t="str">
            <v>Michaela Sirmerova</v>
          </cell>
          <cell r="B581">
            <v>2000</v>
          </cell>
          <cell r="C581" t="str">
            <v>Jihlava</v>
          </cell>
          <cell r="D581" t="str">
            <v>CZ/M</v>
          </cell>
          <cell r="E581" t="str">
            <v>F</v>
          </cell>
          <cell r="F581" t="str">
            <v/>
          </cell>
        </row>
        <row r="582">
          <cell r="A582" t="str">
            <v>MIchaela Vlacilikova</v>
          </cell>
          <cell r="B582">
            <v>1993</v>
          </cell>
          <cell r="C582" t="str">
            <v>Luhačovice</v>
          </cell>
          <cell r="D582" t="str">
            <v>CZ/M</v>
          </cell>
          <cell r="E582" t="str">
            <v>F</v>
          </cell>
          <cell r="F582" t="str">
            <v/>
          </cell>
        </row>
        <row r="583">
          <cell r="A583" t="str">
            <v>Michal Budejovsky</v>
          </cell>
          <cell r="B583">
            <v>1991</v>
          </cell>
          <cell r="C583" t="str">
            <v>Letkov</v>
          </cell>
          <cell r="D583" t="str">
            <v>CZ/C1</v>
          </cell>
          <cell r="E583" t="str">
            <v>M</v>
          </cell>
          <cell r="F583" t="str">
            <v/>
          </cell>
        </row>
        <row r="584">
          <cell r="A584" t="str">
            <v>Michal Buryan</v>
          </cell>
          <cell r="B584">
            <v>1977</v>
          </cell>
          <cell r="C584" t="str">
            <v>Vysoké Mýto</v>
          </cell>
          <cell r="D584" t="str">
            <v>CZ/C2</v>
          </cell>
          <cell r="E584" t="str">
            <v>M</v>
          </cell>
          <cell r="F584" t="str">
            <v/>
          </cell>
        </row>
        <row r="585">
          <cell r="A585" t="str">
            <v>Michal Coufal</v>
          </cell>
          <cell r="B585">
            <v>1999</v>
          </cell>
          <cell r="C585" t="str">
            <v>Jičín</v>
          </cell>
          <cell r="D585" t="str">
            <v>CZ/C2</v>
          </cell>
          <cell r="E585" t="str">
            <v>M</v>
          </cell>
          <cell r="F585" t="str">
            <v/>
          </cell>
        </row>
        <row r="586">
          <cell r="A586" t="str">
            <v>Michal Cupak</v>
          </cell>
          <cell r="B586">
            <v>1991</v>
          </cell>
          <cell r="C586" t="str">
            <v>Medlánky</v>
          </cell>
          <cell r="D586" t="str">
            <v>CZ/M</v>
          </cell>
          <cell r="E586" t="str">
            <v>M</v>
          </cell>
          <cell r="F586" t="str">
            <v/>
          </cell>
        </row>
        <row r="587">
          <cell r="A587" t="str">
            <v>Michal Cechmanek</v>
          </cell>
          <cell r="B587">
            <v>1978</v>
          </cell>
          <cell r="C587" t="str">
            <v>Kroměříž</v>
          </cell>
          <cell r="D587" t="str">
            <v>CZ/M</v>
          </cell>
          <cell r="E587" t="str">
            <v>M</v>
          </cell>
          <cell r="F587" t="str">
            <v/>
          </cell>
        </row>
        <row r="588">
          <cell r="A588" t="str">
            <v>Michal Drab</v>
          </cell>
          <cell r="B588">
            <v>1969</v>
          </cell>
          <cell r="C588" t="str">
            <v>Letkov</v>
          </cell>
          <cell r="D588" t="str">
            <v>CZ/C1</v>
          </cell>
          <cell r="E588" t="str">
            <v>M</v>
          </cell>
          <cell r="F588" t="str">
            <v/>
          </cell>
        </row>
        <row r="589">
          <cell r="A589" t="str">
            <v>Michal Dvorak</v>
          </cell>
          <cell r="B589">
            <v>1986</v>
          </cell>
          <cell r="C589" t="str">
            <v>Zbraslavice</v>
          </cell>
          <cell r="D589" t="str">
            <v>CZ/C1</v>
          </cell>
          <cell r="E589" t="str">
            <v>M</v>
          </cell>
          <cell r="F589" t="str">
            <v/>
          </cell>
        </row>
        <row r="590">
          <cell r="A590" t="str">
            <v>Michal Fortik</v>
          </cell>
          <cell r="B590">
            <v>1976</v>
          </cell>
          <cell r="C590" t="str">
            <v>Točná</v>
          </cell>
          <cell r="D590" t="str">
            <v>CZ/C1</v>
          </cell>
          <cell r="E590" t="str">
            <v>M</v>
          </cell>
          <cell r="F590" t="str">
            <v/>
          </cell>
        </row>
        <row r="591">
          <cell r="A591" t="str">
            <v>Michal Hemrle</v>
          </cell>
          <cell r="B591">
            <v>1974</v>
          </cell>
          <cell r="C591" t="str">
            <v>Česká Lípa</v>
          </cell>
          <cell r="D591" t="str">
            <v>CZ/C2</v>
          </cell>
          <cell r="E591" t="str">
            <v>M</v>
          </cell>
          <cell r="F591" t="str">
            <v/>
          </cell>
        </row>
        <row r="592">
          <cell r="A592" t="str">
            <v>Michal Janda</v>
          </cell>
          <cell r="B592">
            <v>1972</v>
          </cell>
          <cell r="C592" t="str">
            <v>Broumov</v>
          </cell>
          <cell r="D592" t="str">
            <v>CZ/C2</v>
          </cell>
          <cell r="E592" t="str">
            <v>M</v>
          </cell>
          <cell r="F592" t="str">
            <v/>
          </cell>
        </row>
        <row r="593">
          <cell r="A593" t="str">
            <v>Michal Kares</v>
          </cell>
          <cell r="B593">
            <v>1987</v>
          </cell>
          <cell r="C593" t="str">
            <v>Ústí nad Orlicí</v>
          </cell>
          <cell r="D593" t="str">
            <v>CZ/C2</v>
          </cell>
          <cell r="E593" t="str">
            <v>M</v>
          </cell>
          <cell r="F593" t="str">
            <v/>
          </cell>
        </row>
        <row r="594">
          <cell r="A594" t="str">
            <v>Michal Kodousek</v>
          </cell>
          <cell r="B594">
            <v>1983</v>
          </cell>
          <cell r="C594" t="str">
            <v>Jaroměř</v>
          </cell>
          <cell r="D594" t="str">
            <v>CZ/C2</v>
          </cell>
          <cell r="E594" t="str">
            <v>M</v>
          </cell>
          <cell r="F594" t="str">
            <v/>
          </cell>
        </row>
        <row r="595">
          <cell r="A595" t="str">
            <v>Michal Kratochvil</v>
          </cell>
          <cell r="B595">
            <v>1984</v>
          </cell>
          <cell r="C595" t="str">
            <v>Slaný</v>
          </cell>
          <cell r="D595" t="str">
            <v>CZ/C1</v>
          </cell>
          <cell r="E595" t="str">
            <v>M</v>
          </cell>
          <cell r="F595" t="str">
            <v/>
          </cell>
        </row>
        <row r="596">
          <cell r="A596" t="str">
            <v>Michal Krupicka</v>
          </cell>
          <cell r="B596">
            <v>1975</v>
          </cell>
          <cell r="C596" t="str">
            <v>Most</v>
          </cell>
          <cell r="D596" t="str">
            <v>CZ/C2</v>
          </cell>
          <cell r="E596" t="str">
            <v>M</v>
          </cell>
          <cell r="F596" t="str">
            <v/>
          </cell>
        </row>
        <row r="597">
          <cell r="A597" t="str">
            <v>Michal Lesinger</v>
          </cell>
          <cell r="B597">
            <v>1966</v>
          </cell>
          <cell r="C597" t="str">
            <v>Moravská Třebová</v>
          </cell>
          <cell r="D597" t="str">
            <v>CZ/M</v>
          </cell>
          <cell r="E597" t="str">
            <v>M</v>
          </cell>
          <cell r="F597" t="str">
            <v/>
          </cell>
        </row>
        <row r="598">
          <cell r="A598" t="str">
            <v>Michal Linhart</v>
          </cell>
          <cell r="B598">
            <v>1982</v>
          </cell>
          <cell r="C598" t="str">
            <v>Vyškov</v>
          </cell>
          <cell r="D598" t="str">
            <v>CZ/M</v>
          </cell>
          <cell r="E598" t="str">
            <v>M</v>
          </cell>
          <cell r="F598" t="str">
            <v/>
          </cell>
        </row>
        <row r="599">
          <cell r="A599" t="str">
            <v>Michal Maly</v>
          </cell>
          <cell r="B599">
            <v>1982</v>
          </cell>
          <cell r="C599" t="str">
            <v>Broumov</v>
          </cell>
          <cell r="D599" t="str">
            <v>CZ/C2</v>
          </cell>
          <cell r="E599" t="str">
            <v>M</v>
          </cell>
          <cell r="F599" t="str">
            <v/>
          </cell>
        </row>
        <row r="600">
          <cell r="A600" t="str">
            <v>Michal Marek</v>
          </cell>
          <cell r="B600">
            <v>1982</v>
          </cell>
          <cell r="C600" t="str">
            <v>Křižanov</v>
          </cell>
          <cell r="D600" t="str">
            <v>CZ/M</v>
          </cell>
          <cell r="E600" t="str">
            <v>M</v>
          </cell>
          <cell r="F600" t="str">
            <v/>
          </cell>
        </row>
        <row r="601">
          <cell r="A601" t="str">
            <v>Michal Navratil</v>
          </cell>
          <cell r="B601">
            <v>1985</v>
          </cell>
          <cell r="C601" t="str">
            <v>Křižanov</v>
          </cell>
          <cell r="D601" t="str">
            <v>CZ/M</v>
          </cell>
          <cell r="E601" t="str">
            <v>M</v>
          </cell>
          <cell r="F601" t="str">
            <v/>
          </cell>
        </row>
        <row r="602">
          <cell r="A602" t="str">
            <v>Michal Nutil</v>
          </cell>
          <cell r="B602">
            <v>1966</v>
          </cell>
          <cell r="C602" t="str">
            <v>Náchod</v>
          </cell>
          <cell r="D602" t="str">
            <v>CZ/C2</v>
          </cell>
          <cell r="E602" t="str">
            <v>M</v>
          </cell>
          <cell r="F602" t="str">
            <v/>
          </cell>
        </row>
        <row r="603">
          <cell r="A603" t="str">
            <v>Michal Ondracek</v>
          </cell>
          <cell r="B603">
            <v>1966</v>
          </cell>
          <cell r="C603" t="str">
            <v>Medlánky</v>
          </cell>
          <cell r="D603" t="str">
            <v>CZ/M</v>
          </cell>
          <cell r="E603" t="str">
            <v>M</v>
          </cell>
          <cell r="F603" t="str">
            <v/>
          </cell>
        </row>
        <row r="604">
          <cell r="A604" t="str">
            <v>Michal Posluzny</v>
          </cell>
          <cell r="B604">
            <v>1968</v>
          </cell>
          <cell r="C604" t="str">
            <v>Medlánky</v>
          </cell>
          <cell r="D604" t="str">
            <v>CZ/M</v>
          </cell>
          <cell r="E604" t="str">
            <v>M</v>
          </cell>
          <cell r="F604" t="str">
            <v/>
          </cell>
        </row>
        <row r="605">
          <cell r="A605" t="str">
            <v>Michal Prochazka</v>
          </cell>
          <cell r="B605">
            <v>2006</v>
          </cell>
          <cell r="C605" t="str">
            <v>Beroun</v>
          </cell>
          <cell r="D605" t="str">
            <v>CZ/C1</v>
          </cell>
          <cell r="E605" t="str">
            <v>M</v>
          </cell>
          <cell r="F605" t="str">
            <v>Junior v roce 2026</v>
          </cell>
        </row>
        <row r="606">
          <cell r="A606" t="str">
            <v>Michal Rancak</v>
          </cell>
          <cell r="B606">
            <v>1984</v>
          </cell>
          <cell r="C606" t="str">
            <v>Mladá Boleslav</v>
          </cell>
          <cell r="D606" t="str">
            <v>CZ/C1</v>
          </cell>
          <cell r="E606" t="str">
            <v>M</v>
          </cell>
          <cell r="F606" t="str">
            <v/>
          </cell>
        </row>
        <row r="607">
          <cell r="A607" t="str">
            <v>Michal Richter</v>
          </cell>
          <cell r="B607">
            <v>1983</v>
          </cell>
          <cell r="C607" t="str">
            <v>Kolín</v>
          </cell>
          <cell r="D607" t="str">
            <v>CZ/C1</v>
          </cell>
          <cell r="E607" t="str">
            <v>M</v>
          </cell>
          <cell r="F607" t="str">
            <v/>
          </cell>
        </row>
        <row r="608">
          <cell r="A608" t="str">
            <v>Michal Sebek</v>
          </cell>
          <cell r="B608">
            <v>1998</v>
          </cell>
          <cell r="C608" t="str">
            <v>Letňany</v>
          </cell>
          <cell r="D608" t="str">
            <v>CZ/C1</v>
          </cell>
          <cell r="E608" t="str">
            <v>M</v>
          </cell>
          <cell r="F608" t="str">
            <v/>
          </cell>
        </row>
        <row r="609">
          <cell r="A609" t="str">
            <v>Michal Sich</v>
          </cell>
          <cell r="B609">
            <v>1979</v>
          </cell>
          <cell r="C609" t="str">
            <v>Mladá Boleslav</v>
          </cell>
          <cell r="D609" t="str">
            <v>CZ/C1</v>
          </cell>
          <cell r="E609" t="str">
            <v>M</v>
          </cell>
          <cell r="F609" t="str">
            <v/>
          </cell>
        </row>
        <row r="610">
          <cell r="A610" t="str">
            <v>Michal Stastny</v>
          </cell>
          <cell r="B610">
            <v>1970</v>
          </cell>
          <cell r="C610" t="str">
            <v>Medlánky</v>
          </cell>
          <cell r="D610" t="str">
            <v>CZ/M</v>
          </cell>
          <cell r="E610" t="str">
            <v>M</v>
          </cell>
          <cell r="F610" t="str">
            <v/>
          </cell>
        </row>
        <row r="611">
          <cell r="A611" t="str">
            <v>Michal Trylc</v>
          </cell>
          <cell r="B611">
            <v>1987</v>
          </cell>
          <cell r="C611" t="str">
            <v>Plasy</v>
          </cell>
          <cell r="D611" t="str">
            <v>CZ/C1</v>
          </cell>
          <cell r="E611" t="str">
            <v>M</v>
          </cell>
          <cell r="F611" t="str">
            <v/>
          </cell>
        </row>
        <row r="612">
          <cell r="A612" t="str">
            <v>Michal Vopalensky</v>
          </cell>
          <cell r="B612">
            <v>1974</v>
          </cell>
          <cell r="C612" t="str">
            <v>Letňany</v>
          </cell>
          <cell r="D612" t="str">
            <v>CZ/C1</v>
          </cell>
          <cell r="E612" t="str">
            <v>M</v>
          </cell>
          <cell r="F612" t="str">
            <v/>
          </cell>
        </row>
        <row r="613">
          <cell r="A613" t="str">
            <v>Michal Vorlicek</v>
          </cell>
          <cell r="B613">
            <v>1995</v>
          </cell>
          <cell r="C613" t="str">
            <v>Kolín</v>
          </cell>
          <cell r="D613" t="str">
            <v>CZ/C1</v>
          </cell>
          <cell r="E613" t="str">
            <v>M</v>
          </cell>
          <cell r="F613" t="str">
            <v/>
          </cell>
        </row>
        <row r="614">
          <cell r="A614" t="str">
            <v>Michal Vrana</v>
          </cell>
          <cell r="B614">
            <v>1999</v>
          </cell>
          <cell r="C614" t="str">
            <v>Vyškov</v>
          </cell>
          <cell r="D614" t="str">
            <v>CZ/M</v>
          </cell>
          <cell r="E614" t="str">
            <v>M</v>
          </cell>
          <cell r="F614" t="str">
            <v/>
          </cell>
        </row>
        <row r="615">
          <cell r="A615" t="str">
            <v>Michal Vranek</v>
          </cell>
          <cell r="B615">
            <v>1993</v>
          </cell>
          <cell r="C615" t="str">
            <v>Hosín</v>
          </cell>
          <cell r="D615" t="str">
            <v>CZ/C1</v>
          </cell>
          <cell r="E615" t="str">
            <v>M</v>
          </cell>
          <cell r="F615" t="str">
            <v/>
          </cell>
        </row>
        <row r="616">
          <cell r="A616" t="str">
            <v>Milada Moudra</v>
          </cell>
          <cell r="B616">
            <v>1991</v>
          </cell>
          <cell r="C616" t="str">
            <v>Hodkovice</v>
          </cell>
          <cell r="D616" t="str">
            <v>CZ/C2</v>
          </cell>
          <cell r="E616" t="str">
            <v>F</v>
          </cell>
          <cell r="F616" t="str">
            <v/>
          </cell>
        </row>
        <row r="617">
          <cell r="A617" t="str">
            <v>Milan Bado</v>
          </cell>
          <cell r="B617">
            <v>1975</v>
          </cell>
          <cell r="C617" t="str">
            <v>Kolín</v>
          </cell>
          <cell r="D617" t="str">
            <v>CZ/C1</v>
          </cell>
          <cell r="E617" t="str">
            <v>M</v>
          </cell>
          <cell r="F617" t="str">
            <v/>
          </cell>
        </row>
        <row r="618">
          <cell r="A618" t="str">
            <v>Milan Benes</v>
          </cell>
          <cell r="B618">
            <v>1953</v>
          </cell>
          <cell r="C618" t="str">
            <v>Raná</v>
          </cell>
          <cell r="D618" t="str">
            <v>CZ/C2</v>
          </cell>
          <cell r="E618" t="str">
            <v>M</v>
          </cell>
          <cell r="F618" t="str">
            <v/>
          </cell>
        </row>
        <row r="619">
          <cell r="A619" t="str">
            <v>Milan Dvorak</v>
          </cell>
          <cell r="B619">
            <v>1965</v>
          </cell>
          <cell r="C619" t="str">
            <v>Liberec</v>
          </cell>
          <cell r="D619" t="str">
            <v>CZ/C2</v>
          </cell>
          <cell r="E619" t="str">
            <v>M</v>
          </cell>
          <cell r="F619" t="str">
            <v/>
          </cell>
        </row>
        <row r="620">
          <cell r="A620" t="str">
            <v>Milan Kuk</v>
          </cell>
          <cell r="B620">
            <v>1950</v>
          </cell>
          <cell r="C620" t="str">
            <v>Dvůr Králové</v>
          </cell>
          <cell r="D620" t="str">
            <v>CZ/C2</v>
          </cell>
          <cell r="E620" t="str">
            <v>M</v>
          </cell>
          <cell r="F620" t="str">
            <v/>
          </cell>
        </row>
        <row r="621">
          <cell r="A621" t="str">
            <v>Milan Meisner</v>
          </cell>
          <cell r="B621">
            <v>1961</v>
          </cell>
          <cell r="C621" t="str">
            <v>Dvůr Králové</v>
          </cell>
          <cell r="D621" t="str">
            <v>CZ/C2</v>
          </cell>
          <cell r="E621" t="str">
            <v>M</v>
          </cell>
          <cell r="F621" t="str">
            <v/>
          </cell>
        </row>
        <row r="622">
          <cell r="A622" t="str">
            <v>Milan Minarik</v>
          </cell>
          <cell r="B622">
            <v>1900</v>
          </cell>
          <cell r="C622" t="str">
            <v>Hranice</v>
          </cell>
          <cell r="D622" t="str">
            <v>CZ/M</v>
          </cell>
          <cell r="E622" t="str">
            <v>M</v>
          </cell>
          <cell r="F622" t="str">
            <v/>
          </cell>
        </row>
        <row r="623">
          <cell r="A623" t="str">
            <v>Milan Riha</v>
          </cell>
          <cell r="B623">
            <v>1973</v>
          </cell>
          <cell r="C623" t="str">
            <v>Zbraslavice</v>
          </cell>
          <cell r="D623" t="str">
            <v>CZ/C1</v>
          </cell>
          <cell r="E623" t="str">
            <v>M</v>
          </cell>
          <cell r="F623" t="str">
            <v/>
          </cell>
        </row>
        <row r="624">
          <cell r="A624" t="str">
            <v>Milan Svoboda 34</v>
          </cell>
          <cell r="B624">
            <v>1934</v>
          </cell>
          <cell r="C624" t="str">
            <v>Letkov</v>
          </cell>
          <cell r="D624" t="str">
            <v>CZ/C1</v>
          </cell>
          <cell r="E624" t="str">
            <v>M</v>
          </cell>
          <cell r="F624" t="str">
            <v/>
          </cell>
        </row>
        <row r="625">
          <cell r="A625" t="str">
            <v>Milan Svoboda 80</v>
          </cell>
          <cell r="B625">
            <v>1980</v>
          </cell>
          <cell r="C625" t="str">
            <v>Havlíčkův Brod</v>
          </cell>
          <cell r="D625" t="str">
            <v>CZ/C2</v>
          </cell>
          <cell r="E625" t="str">
            <v>M</v>
          </cell>
          <cell r="F625" t="str">
            <v/>
          </cell>
        </row>
        <row r="626">
          <cell r="A626" t="str">
            <v>Milan Svorc</v>
          </cell>
          <cell r="B626">
            <v>1955</v>
          </cell>
          <cell r="C626" t="str">
            <v>Podhořany</v>
          </cell>
          <cell r="D626" t="str">
            <v>CZ/C2</v>
          </cell>
          <cell r="E626" t="str">
            <v>M</v>
          </cell>
          <cell r="F626" t="str">
            <v/>
          </cell>
        </row>
        <row r="627">
          <cell r="A627" t="str">
            <v>Miloslav Cindr</v>
          </cell>
          <cell r="B627">
            <v>1974</v>
          </cell>
          <cell r="C627" t="str">
            <v>Ústí nad Orlicí</v>
          </cell>
          <cell r="D627" t="str">
            <v>CZ/C2</v>
          </cell>
          <cell r="E627" t="str">
            <v>M</v>
          </cell>
          <cell r="F627" t="str">
            <v/>
          </cell>
        </row>
        <row r="628">
          <cell r="A628" t="str">
            <v>Miloslav Cink</v>
          </cell>
          <cell r="B628">
            <v>1987</v>
          </cell>
          <cell r="C628" t="str">
            <v>Letkov</v>
          </cell>
          <cell r="D628" t="str">
            <v>CZ/C1</v>
          </cell>
          <cell r="E628" t="str">
            <v>M</v>
          </cell>
          <cell r="F628" t="str">
            <v/>
          </cell>
        </row>
        <row r="629">
          <cell r="A629" t="str">
            <v>Miloslav Fiser</v>
          </cell>
          <cell r="B629">
            <v>1974</v>
          </cell>
          <cell r="C629" t="str">
            <v>Hodkovice</v>
          </cell>
          <cell r="D629" t="str">
            <v>CZ/C2</v>
          </cell>
          <cell r="E629" t="str">
            <v>M</v>
          </cell>
          <cell r="F629" t="str">
            <v/>
          </cell>
        </row>
        <row r="630">
          <cell r="A630" t="str">
            <v>Miloslav Hulmak</v>
          </cell>
          <cell r="B630">
            <v>1963</v>
          </cell>
          <cell r="C630" t="str">
            <v>Hosín</v>
          </cell>
          <cell r="D630" t="str">
            <v>CZ/C1</v>
          </cell>
          <cell r="E630" t="str">
            <v>M</v>
          </cell>
          <cell r="F630" t="str">
            <v/>
          </cell>
        </row>
        <row r="631">
          <cell r="A631" t="str">
            <v>Miloslav Krch</v>
          </cell>
          <cell r="B631">
            <v>1988</v>
          </cell>
          <cell r="C631" t="str">
            <v>Zbraslavice</v>
          </cell>
          <cell r="D631" t="str">
            <v>CZ/C1</v>
          </cell>
          <cell r="E631" t="str">
            <v>M</v>
          </cell>
          <cell r="F631" t="str">
            <v/>
          </cell>
        </row>
        <row r="632">
          <cell r="A632" t="str">
            <v>Milos Dedera</v>
          </cell>
          <cell r="B632">
            <v>1956</v>
          </cell>
          <cell r="C632" t="str">
            <v>Jihlava</v>
          </cell>
          <cell r="D632" t="str">
            <v>CZ/M</v>
          </cell>
          <cell r="E632" t="str">
            <v>M</v>
          </cell>
          <cell r="F632" t="str">
            <v/>
          </cell>
        </row>
        <row r="633">
          <cell r="A633" t="str">
            <v>Milos Eichler</v>
          </cell>
          <cell r="B633">
            <v>1964</v>
          </cell>
          <cell r="C633" t="str">
            <v>Dvůr Králové</v>
          </cell>
          <cell r="D633" t="str">
            <v>CZ/C2</v>
          </cell>
          <cell r="E633" t="str">
            <v>M</v>
          </cell>
          <cell r="F633" t="str">
            <v/>
          </cell>
        </row>
        <row r="634">
          <cell r="A634" t="str">
            <v>Milos Houha</v>
          </cell>
          <cell r="B634">
            <v>1954</v>
          </cell>
          <cell r="C634" t="str">
            <v>Plzeň Bory</v>
          </cell>
          <cell r="D634" t="str">
            <v>CZ/C1</v>
          </cell>
          <cell r="E634" t="str">
            <v>M</v>
          </cell>
          <cell r="F634" t="str">
            <v/>
          </cell>
        </row>
        <row r="635">
          <cell r="A635" t="str">
            <v>Milos Hrabe</v>
          </cell>
          <cell r="B635">
            <v>1979</v>
          </cell>
          <cell r="C635" t="str">
            <v>Letňany</v>
          </cell>
          <cell r="D635" t="str">
            <v>CZ/C1</v>
          </cell>
          <cell r="E635" t="str">
            <v>M</v>
          </cell>
          <cell r="F635" t="str">
            <v/>
          </cell>
        </row>
        <row r="636">
          <cell r="A636" t="str">
            <v>Milos Matejka</v>
          </cell>
          <cell r="B636">
            <v>1956</v>
          </cell>
          <cell r="C636" t="str">
            <v>Beroun</v>
          </cell>
          <cell r="D636" t="str">
            <v>CZ/C1</v>
          </cell>
          <cell r="E636" t="str">
            <v>M</v>
          </cell>
          <cell r="F636" t="str">
            <v/>
          </cell>
        </row>
        <row r="637">
          <cell r="A637" t="str">
            <v>Milos Novotny</v>
          </cell>
          <cell r="B637">
            <v>1973</v>
          </cell>
          <cell r="C637" t="str">
            <v>Hronov</v>
          </cell>
          <cell r="D637" t="str">
            <v>CZ/C2</v>
          </cell>
          <cell r="E637" t="str">
            <v>M</v>
          </cell>
          <cell r="F637" t="str">
            <v/>
          </cell>
        </row>
        <row r="638">
          <cell r="A638" t="str">
            <v>Milos Nyvlt</v>
          </cell>
          <cell r="B638">
            <v>1963</v>
          </cell>
          <cell r="C638" t="str">
            <v>Hronov</v>
          </cell>
          <cell r="D638" t="str">
            <v>CZ/C2</v>
          </cell>
          <cell r="E638" t="str">
            <v>M</v>
          </cell>
          <cell r="F638" t="str">
            <v/>
          </cell>
        </row>
        <row r="639">
          <cell r="A639" t="str">
            <v>Milos Pajr</v>
          </cell>
          <cell r="B639">
            <v>1966</v>
          </cell>
          <cell r="C639" t="str">
            <v>Jičín</v>
          </cell>
          <cell r="D639" t="str">
            <v>CZ/C2</v>
          </cell>
          <cell r="E639" t="str">
            <v>M</v>
          </cell>
          <cell r="F639" t="str">
            <v/>
          </cell>
        </row>
        <row r="640">
          <cell r="A640" t="str">
            <v>Milos Pospisil</v>
          </cell>
          <cell r="B640">
            <v>1952</v>
          </cell>
          <cell r="C640" t="str">
            <v>Frýdlant</v>
          </cell>
          <cell r="D640" t="str">
            <v>CZ/M</v>
          </cell>
          <cell r="E640" t="str">
            <v>M</v>
          </cell>
          <cell r="F640" t="str">
            <v/>
          </cell>
        </row>
        <row r="641">
          <cell r="A641" t="str">
            <v>Milos Rejzl</v>
          </cell>
          <cell r="B641">
            <v>1962</v>
          </cell>
          <cell r="C641" t="str">
            <v>Klatovy</v>
          </cell>
          <cell r="D641" t="str">
            <v>CZ/C1</v>
          </cell>
          <cell r="E641" t="str">
            <v>M</v>
          </cell>
          <cell r="F641" t="str">
            <v/>
          </cell>
        </row>
        <row r="642">
          <cell r="A642" t="str">
            <v>Miroslav Burdych</v>
          </cell>
          <cell r="B642">
            <v>1973</v>
          </cell>
          <cell r="C642" t="str">
            <v>Nové Město nad Metují</v>
          </cell>
          <cell r="D642" t="str">
            <v>CZ/C2</v>
          </cell>
          <cell r="E642" t="str">
            <v>M</v>
          </cell>
          <cell r="F642" t="str">
            <v/>
          </cell>
        </row>
        <row r="643">
          <cell r="A643" t="str">
            <v>Miroslav Burian</v>
          </cell>
          <cell r="B643">
            <v>1969</v>
          </cell>
          <cell r="C643" t="str">
            <v>Křižanov</v>
          </cell>
          <cell r="D643" t="str">
            <v>CZ/M</v>
          </cell>
          <cell r="E643" t="str">
            <v>M</v>
          </cell>
          <cell r="F643" t="str">
            <v/>
          </cell>
        </row>
        <row r="644">
          <cell r="A644" t="str">
            <v>Miroslav Cervenka</v>
          </cell>
          <cell r="B644">
            <v>1980</v>
          </cell>
          <cell r="C644" t="str">
            <v>Křižanov</v>
          </cell>
          <cell r="D644" t="str">
            <v>CZ/M</v>
          </cell>
          <cell r="E644" t="str">
            <v>M</v>
          </cell>
          <cell r="F644" t="str">
            <v/>
          </cell>
        </row>
        <row r="645">
          <cell r="A645" t="str">
            <v>Miroslav Filip</v>
          </cell>
          <cell r="B645">
            <v>1959</v>
          </cell>
          <cell r="C645" t="str">
            <v>Křižanov</v>
          </cell>
          <cell r="D645" t="str">
            <v>CZ/M</v>
          </cell>
          <cell r="E645" t="str">
            <v>M</v>
          </cell>
          <cell r="F645" t="str">
            <v/>
          </cell>
        </row>
        <row r="646">
          <cell r="A646" t="str">
            <v>Miroslav Horinek</v>
          </cell>
          <cell r="B646">
            <v>1976</v>
          </cell>
          <cell r="C646" t="str">
            <v>Křižanov</v>
          </cell>
          <cell r="D646" t="str">
            <v>CZ/M</v>
          </cell>
          <cell r="E646" t="str">
            <v>M</v>
          </cell>
          <cell r="F646" t="str">
            <v/>
          </cell>
        </row>
        <row r="647">
          <cell r="A647" t="str">
            <v>Miroslav Jezek</v>
          </cell>
          <cell r="B647">
            <v>1973</v>
          </cell>
          <cell r="C647" t="str">
            <v>Žamberk</v>
          </cell>
          <cell r="D647" t="str">
            <v>CZ/C2</v>
          </cell>
          <cell r="E647" t="str">
            <v>M</v>
          </cell>
          <cell r="F647" t="str">
            <v/>
          </cell>
        </row>
        <row r="648">
          <cell r="A648" t="str">
            <v>Miroslav Koci</v>
          </cell>
          <cell r="B648">
            <v>1961</v>
          </cell>
          <cell r="C648" t="str">
            <v>Žamberk</v>
          </cell>
          <cell r="D648" t="str">
            <v>CZ/C2</v>
          </cell>
          <cell r="E648" t="str">
            <v>M</v>
          </cell>
          <cell r="F648" t="str">
            <v/>
          </cell>
        </row>
        <row r="649">
          <cell r="A649" t="str">
            <v>Miroslav Kudlacek</v>
          </cell>
          <cell r="B649">
            <v>1986</v>
          </cell>
          <cell r="C649" t="str">
            <v>Polička</v>
          </cell>
          <cell r="D649" t="str">
            <v>CZ/C2</v>
          </cell>
          <cell r="E649" t="str">
            <v>M</v>
          </cell>
          <cell r="F649" t="str">
            <v/>
          </cell>
        </row>
        <row r="650">
          <cell r="A650" t="str">
            <v>Miroslav Kus</v>
          </cell>
          <cell r="B650">
            <v>1970</v>
          </cell>
          <cell r="C650" t="str">
            <v>Strakonice</v>
          </cell>
          <cell r="D650" t="str">
            <v>CZ/C1</v>
          </cell>
          <cell r="E650" t="str">
            <v>M</v>
          </cell>
          <cell r="F650" t="str">
            <v/>
          </cell>
        </row>
        <row r="651">
          <cell r="A651" t="str">
            <v>Miroslav Macik</v>
          </cell>
          <cell r="B651">
            <v>1983</v>
          </cell>
          <cell r="C651" t="str">
            <v>Rakovník</v>
          </cell>
          <cell r="D651" t="str">
            <v>CZ/C1</v>
          </cell>
          <cell r="E651" t="str">
            <v>M</v>
          </cell>
          <cell r="F651" t="str">
            <v/>
          </cell>
        </row>
        <row r="652">
          <cell r="A652" t="str">
            <v>Miroslav Major</v>
          </cell>
          <cell r="B652">
            <v>1968</v>
          </cell>
          <cell r="C652" t="str">
            <v>Kralupy</v>
          </cell>
          <cell r="D652" t="str">
            <v>CZ/C1</v>
          </cell>
          <cell r="E652" t="str">
            <v>M</v>
          </cell>
          <cell r="F652" t="str">
            <v/>
          </cell>
        </row>
        <row r="653">
          <cell r="A653" t="str">
            <v>Miroslav Mancik</v>
          </cell>
          <cell r="B653">
            <v>1976</v>
          </cell>
          <cell r="C653" t="str">
            <v>Kyjov</v>
          </cell>
          <cell r="D653" t="str">
            <v>CZ/M</v>
          </cell>
          <cell r="E653" t="str">
            <v>M</v>
          </cell>
          <cell r="F653" t="str">
            <v/>
          </cell>
        </row>
        <row r="654">
          <cell r="A654" t="str">
            <v>Miroslav Mitrus</v>
          </cell>
          <cell r="B654">
            <v>1972</v>
          </cell>
          <cell r="C654" t="str">
            <v>GAC Benešov</v>
          </cell>
          <cell r="D654" t="str">
            <v>CZ/C1</v>
          </cell>
          <cell r="E654" t="str">
            <v>M</v>
          </cell>
          <cell r="F654" t="str">
            <v/>
          </cell>
        </row>
        <row r="655">
          <cell r="A655" t="str">
            <v>Miroslav Odlozilik</v>
          </cell>
          <cell r="B655">
            <v>1973</v>
          </cell>
          <cell r="C655" t="str">
            <v>Zbraslavice</v>
          </cell>
          <cell r="D655" t="str">
            <v>CZ/C1</v>
          </cell>
          <cell r="E655" t="str">
            <v>M</v>
          </cell>
          <cell r="F655" t="str">
            <v/>
          </cell>
        </row>
        <row r="656">
          <cell r="A656" t="str">
            <v>Miroslav Ofukany</v>
          </cell>
          <cell r="B656">
            <v>1951</v>
          </cell>
          <cell r="C656" t="str">
            <v>Kolín</v>
          </cell>
          <cell r="D656" t="str">
            <v>CZ/C1</v>
          </cell>
          <cell r="E656" t="str">
            <v>M</v>
          </cell>
          <cell r="F656" t="str">
            <v/>
          </cell>
        </row>
        <row r="657">
          <cell r="A657" t="str">
            <v>Miroslav Plechac</v>
          </cell>
          <cell r="B657">
            <v>1969</v>
          </cell>
          <cell r="C657" t="str">
            <v>Hronov</v>
          </cell>
          <cell r="D657" t="str">
            <v>CZ/C2</v>
          </cell>
          <cell r="E657" t="str">
            <v>M</v>
          </cell>
          <cell r="F657" t="str">
            <v/>
          </cell>
        </row>
        <row r="658">
          <cell r="A658" t="str">
            <v>Miroslav Sklenar</v>
          </cell>
          <cell r="B658">
            <v>1964</v>
          </cell>
          <cell r="C658" t="str">
            <v>Žamberk</v>
          </cell>
          <cell r="D658" t="str">
            <v>CZ/C2</v>
          </cell>
          <cell r="E658" t="str">
            <v>M</v>
          </cell>
          <cell r="F658" t="str">
            <v/>
          </cell>
        </row>
        <row r="659">
          <cell r="A659" t="str">
            <v>Miroslav Streda</v>
          </cell>
          <cell r="B659">
            <v>1945</v>
          </cell>
          <cell r="C659" t="str">
            <v>Vrchlabí</v>
          </cell>
          <cell r="D659" t="str">
            <v>CZ/C2</v>
          </cell>
          <cell r="E659" t="str">
            <v>M</v>
          </cell>
          <cell r="F659" t="str">
            <v/>
          </cell>
        </row>
        <row r="660">
          <cell r="A660" t="str">
            <v>Miroslav Sedivy</v>
          </cell>
          <cell r="B660">
            <v>1974</v>
          </cell>
          <cell r="C660" t="str">
            <v>Letkov</v>
          </cell>
          <cell r="D660" t="str">
            <v>CZ/C1</v>
          </cell>
          <cell r="E660" t="str">
            <v>M</v>
          </cell>
          <cell r="F660" t="str">
            <v/>
          </cell>
        </row>
        <row r="661">
          <cell r="A661" t="str">
            <v>Miroslav Stepan</v>
          </cell>
          <cell r="B661">
            <v>1955</v>
          </cell>
          <cell r="C661" t="str">
            <v>Žamberk</v>
          </cell>
          <cell r="D661" t="str">
            <v>CZ/C2</v>
          </cell>
          <cell r="E661" t="str">
            <v>M</v>
          </cell>
          <cell r="F661" t="str">
            <v/>
          </cell>
        </row>
        <row r="662">
          <cell r="A662" t="str">
            <v>Miroslav Trybucek</v>
          </cell>
          <cell r="B662">
            <v>1965</v>
          </cell>
          <cell r="C662" t="str">
            <v>Jičín</v>
          </cell>
          <cell r="D662" t="str">
            <v>CZ/C2</v>
          </cell>
          <cell r="E662" t="str">
            <v>M</v>
          </cell>
          <cell r="F662" t="str">
            <v/>
          </cell>
        </row>
        <row r="663">
          <cell r="A663" t="str">
            <v>Monika Bezdekova</v>
          </cell>
          <cell r="B663">
            <v>1988</v>
          </cell>
          <cell r="C663" t="str">
            <v>Letňany</v>
          </cell>
          <cell r="D663" t="str">
            <v>CZ/C1</v>
          </cell>
          <cell r="E663" t="str">
            <v>F</v>
          </cell>
          <cell r="F663" t="str">
            <v/>
          </cell>
        </row>
        <row r="664">
          <cell r="A664" t="str">
            <v>Monika Jiraskova</v>
          </cell>
          <cell r="B664">
            <v>1994</v>
          </cell>
          <cell r="C664" t="str">
            <v>Hronov</v>
          </cell>
          <cell r="D664" t="str">
            <v>CZ/C2</v>
          </cell>
          <cell r="E664" t="str">
            <v>F</v>
          </cell>
          <cell r="F664" t="str">
            <v/>
          </cell>
        </row>
        <row r="665">
          <cell r="A665" t="str">
            <v>Monika Klovanicova</v>
          </cell>
          <cell r="B665">
            <v>1992</v>
          </cell>
          <cell r="C665" t="str">
            <v>Kunovice</v>
          </cell>
          <cell r="D665" t="str">
            <v>CZ/M</v>
          </cell>
          <cell r="E665" t="str">
            <v>F</v>
          </cell>
          <cell r="F665" t="str">
            <v/>
          </cell>
        </row>
        <row r="666">
          <cell r="A666" t="str">
            <v>Nikola Zizkovsky</v>
          </cell>
          <cell r="B666">
            <v>1980</v>
          </cell>
          <cell r="C666" t="str">
            <v>Kralupy</v>
          </cell>
          <cell r="D666" t="str">
            <v>CZ/C1</v>
          </cell>
          <cell r="E666" t="str">
            <v>M</v>
          </cell>
          <cell r="F666" t="str">
            <v/>
          </cell>
        </row>
        <row r="667">
          <cell r="A667" t="str">
            <v>Oldrich Bartonik</v>
          </cell>
          <cell r="B667">
            <v>1961</v>
          </cell>
          <cell r="C667" t="str">
            <v>Luhačovice</v>
          </cell>
          <cell r="D667" t="str">
            <v>CZ/M</v>
          </cell>
          <cell r="E667" t="str">
            <v>M</v>
          </cell>
          <cell r="F667" t="str">
            <v/>
          </cell>
        </row>
        <row r="668">
          <cell r="A668" t="str">
            <v>Oldrich Hlavacek</v>
          </cell>
          <cell r="B668">
            <v>1973</v>
          </cell>
          <cell r="C668" t="str">
            <v>Medlánky</v>
          </cell>
          <cell r="D668" t="str">
            <v>CZ/M</v>
          </cell>
          <cell r="E668" t="str">
            <v>M</v>
          </cell>
          <cell r="F668" t="str">
            <v/>
          </cell>
        </row>
        <row r="669">
          <cell r="A669" t="str">
            <v>Oldrich Houzvicka</v>
          </cell>
          <cell r="B669">
            <v>1975</v>
          </cell>
          <cell r="C669" t="str">
            <v>Frýdlant</v>
          </cell>
          <cell r="D669" t="str">
            <v>CZ/M</v>
          </cell>
          <cell r="E669" t="str">
            <v>M</v>
          </cell>
          <cell r="F669" t="str">
            <v/>
          </cell>
        </row>
        <row r="670">
          <cell r="A670" t="str">
            <v>Oldrich Kounovsky</v>
          </cell>
          <cell r="B670">
            <v>1976</v>
          </cell>
          <cell r="C670" t="str">
            <v>Medlánky</v>
          </cell>
          <cell r="D670" t="str">
            <v>CZ/M</v>
          </cell>
          <cell r="E670" t="str">
            <v>M</v>
          </cell>
          <cell r="F670" t="str">
            <v/>
          </cell>
        </row>
        <row r="671">
          <cell r="A671" t="str">
            <v>Oldrich Slavicek</v>
          </cell>
          <cell r="B671">
            <v>1959</v>
          </cell>
          <cell r="C671" t="str">
            <v>Hronov</v>
          </cell>
          <cell r="D671" t="str">
            <v>CZ/C2</v>
          </cell>
          <cell r="E671" t="str">
            <v>M</v>
          </cell>
          <cell r="F671" t="str">
            <v/>
          </cell>
        </row>
        <row r="672">
          <cell r="A672" t="str">
            <v>Oldrich Stumbauer</v>
          </cell>
          <cell r="B672">
            <v>1992</v>
          </cell>
          <cell r="C672" t="str">
            <v>Prachatice</v>
          </cell>
          <cell r="D672" t="str">
            <v>CZ/C1</v>
          </cell>
          <cell r="E672" t="str">
            <v>M</v>
          </cell>
          <cell r="F672" t="str">
            <v/>
          </cell>
        </row>
        <row r="673">
          <cell r="A673" t="str">
            <v>Olga Mokosova</v>
          </cell>
          <cell r="B673">
            <v>1970</v>
          </cell>
          <cell r="C673" t="str">
            <v>Jihlava</v>
          </cell>
          <cell r="D673" t="str">
            <v>CZ/M</v>
          </cell>
          <cell r="E673" t="str">
            <v>F</v>
          </cell>
          <cell r="F673" t="str">
            <v/>
          </cell>
        </row>
        <row r="674">
          <cell r="A674" t="str">
            <v>Ondrej Bartos</v>
          </cell>
          <cell r="B674">
            <v>1975</v>
          </cell>
          <cell r="C674" t="str">
            <v>Točná</v>
          </cell>
          <cell r="D674" t="str">
            <v>CZ/C1</v>
          </cell>
          <cell r="E674" t="str">
            <v>M</v>
          </cell>
          <cell r="F674" t="str">
            <v/>
          </cell>
        </row>
        <row r="675">
          <cell r="A675" t="str">
            <v>Ondrej Belohlavek</v>
          </cell>
          <cell r="B675">
            <v>1978</v>
          </cell>
          <cell r="C675" t="str">
            <v>Vysoké Mýto</v>
          </cell>
          <cell r="D675" t="str">
            <v>CZ/C2</v>
          </cell>
          <cell r="E675" t="str">
            <v>M</v>
          </cell>
          <cell r="F675" t="str">
            <v/>
          </cell>
        </row>
        <row r="676">
          <cell r="A676" t="str">
            <v>Ondrej Blaha</v>
          </cell>
          <cell r="B676">
            <v>1976</v>
          </cell>
          <cell r="C676" t="str">
            <v>Letňany</v>
          </cell>
          <cell r="D676" t="str">
            <v>CZ/C1</v>
          </cell>
          <cell r="E676" t="str">
            <v>M</v>
          </cell>
          <cell r="F676" t="str">
            <v/>
          </cell>
        </row>
        <row r="677">
          <cell r="A677" t="str">
            <v>Ondrej Bordovsky</v>
          </cell>
          <cell r="B677">
            <v>1983</v>
          </cell>
          <cell r="C677" t="str">
            <v>Krnov</v>
          </cell>
          <cell r="D677" t="str">
            <v>CZ/M</v>
          </cell>
          <cell r="E677" t="str">
            <v>M</v>
          </cell>
          <cell r="F677" t="str">
            <v/>
          </cell>
        </row>
        <row r="678">
          <cell r="A678" t="str">
            <v>Ondrej Dostal</v>
          </cell>
          <cell r="D678" t="str">
            <v>CZ</v>
          </cell>
          <cell r="E678" t="str">
            <v>M</v>
          </cell>
          <cell r="F678" t="str">
            <v/>
          </cell>
        </row>
        <row r="679">
          <cell r="A679" t="str">
            <v>Ondrej Dupal</v>
          </cell>
          <cell r="B679">
            <v>1966</v>
          </cell>
          <cell r="C679" t="str">
            <v>GAC Benešov</v>
          </cell>
          <cell r="D679" t="str">
            <v>CZ/C1</v>
          </cell>
          <cell r="E679" t="str">
            <v>M</v>
          </cell>
          <cell r="F679" t="str">
            <v/>
          </cell>
        </row>
        <row r="680">
          <cell r="A680" t="str">
            <v>Ondrej Dvorak 58</v>
          </cell>
          <cell r="B680">
            <v>1958</v>
          </cell>
          <cell r="C680" t="str">
            <v>Raná</v>
          </cell>
          <cell r="D680" t="str">
            <v>CZ/C2</v>
          </cell>
          <cell r="E680" t="str">
            <v>M</v>
          </cell>
          <cell r="F680" t="str">
            <v/>
          </cell>
        </row>
        <row r="681">
          <cell r="A681" t="str">
            <v>Ondrej Dvorak 87</v>
          </cell>
          <cell r="B681">
            <v>1987</v>
          </cell>
          <cell r="C681" t="str">
            <v>Raná</v>
          </cell>
          <cell r="D681" t="str">
            <v>CZ/C2</v>
          </cell>
          <cell r="E681" t="str">
            <v>M</v>
          </cell>
          <cell r="F681" t="str">
            <v/>
          </cell>
        </row>
        <row r="682">
          <cell r="A682" t="str">
            <v>Ondrej Dvorak 98</v>
          </cell>
          <cell r="B682">
            <v>1998</v>
          </cell>
          <cell r="C682" t="str">
            <v>Mladá Boleslav</v>
          </cell>
          <cell r="D682" t="str">
            <v>CZ/C1</v>
          </cell>
          <cell r="E682" t="str">
            <v>M</v>
          </cell>
          <cell r="F682" t="str">
            <v/>
          </cell>
        </row>
        <row r="683">
          <cell r="A683" t="str">
            <v>Ondrej Hart</v>
          </cell>
          <cell r="B683">
            <v>1990</v>
          </cell>
          <cell r="C683" t="str">
            <v>Letňany</v>
          </cell>
          <cell r="D683" t="str">
            <v>CZ/C1</v>
          </cell>
          <cell r="E683" t="str">
            <v>M</v>
          </cell>
          <cell r="F683" t="str">
            <v/>
          </cell>
        </row>
        <row r="684">
          <cell r="A684" t="str">
            <v>Ondrej Holas</v>
          </cell>
          <cell r="B684">
            <v>1989</v>
          </cell>
          <cell r="C684" t="str">
            <v>Česká Lípa</v>
          </cell>
          <cell r="D684" t="str">
            <v>CZ/C2</v>
          </cell>
          <cell r="E684" t="str">
            <v>M</v>
          </cell>
          <cell r="F684" t="str">
            <v/>
          </cell>
        </row>
        <row r="685">
          <cell r="A685" t="str">
            <v>Ondrej Hurina</v>
          </cell>
          <cell r="B685">
            <v>2003</v>
          </cell>
          <cell r="C685" t="str">
            <v>Zábřeh</v>
          </cell>
          <cell r="D685" t="str">
            <v>CZ/M</v>
          </cell>
          <cell r="E685" t="str">
            <v>M</v>
          </cell>
          <cell r="F685" t="str">
            <v>Junior v roce 2026</v>
          </cell>
        </row>
        <row r="686">
          <cell r="A686" t="str">
            <v>Ondrej Jung</v>
          </cell>
          <cell r="B686">
            <v>1976</v>
          </cell>
          <cell r="C686" t="str">
            <v>Zbraslavice</v>
          </cell>
          <cell r="D686" t="str">
            <v>CZ/C1</v>
          </cell>
          <cell r="E686" t="str">
            <v>M</v>
          </cell>
          <cell r="F686" t="str">
            <v/>
          </cell>
        </row>
        <row r="687">
          <cell r="A687" t="str">
            <v>Ondrej Kluger</v>
          </cell>
          <cell r="B687">
            <v>1990</v>
          </cell>
          <cell r="C687" t="str">
            <v>LK Břeclav</v>
          </cell>
          <cell r="D687" t="str">
            <v>CZ/M</v>
          </cell>
          <cell r="E687" t="str">
            <v>M</v>
          </cell>
          <cell r="F687" t="str">
            <v/>
          </cell>
        </row>
        <row r="688">
          <cell r="A688" t="str">
            <v>Ondrej Kover</v>
          </cell>
          <cell r="B688">
            <v>1993</v>
          </cell>
          <cell r="C688" t="str">
            <v>Šumperk</v>
          </cell>
          <cell r="D688" t="str">
            <v>CZ/M</v>
          </cell>
          <cell r="E688" t="str">
            <v>M</v>
          </cell>
          <cell r="F688" t="str">
            <v/>
          </cell>
        </row>
        <row r="689">
          <cell r="A689" t="str">
            <v>Ondrej Krejci</v>
          </cell>
          <cell r="B689">
            <v>1974</v>
          </cell>
          <cell r="C689" t="str">
            <v>Chotěboř</v>
          </cell>
          <cell r="D689" t="str">
            <v>CZ/C2</v>
          </cell>
          <cell r="E689" t="str">
            <v>M</v>
          </cell>
          <cell r="F689" t="str">
            <v/>
          </cell>
        </row>
        <row r="690">
          <cell r="A690" t="str">
            <v>Ondrej Prazsky</v>
          </cell>
          <cell r="B690">
            <v>1978</v>
          </cell>
          <cell r="C690" t="str">
            <v>Zbraslavice</v>
          </cell>
          <cell r="D690" t="str">
            <v>CZ/C1</v>
          </cell>
          <cell r="E690" t="str">
            <v>M</v>
          </cell>
          <cell r="F690" t="str">
            <v/>
          </cell>
        </row>
        <row r="691">
          <cell r="A691" t="str">
            <v>Ondrej Marek</v>
          </cell>
          <cell r="B691">
            <v>1989</v>
          </cell>
          <cell r="C691" t="str">
            <v>Žamberk</v>
          </cell>
          <cell r="D691" t="str">
            <v>CZ/C2</v>
          </cell>
          <cell r="E691" t="str">
            <v>M</v>
          </cell>
          <cell r="F691" t="str">
            <v/>
          </cell>
        </row>
        <row r="692">
          <cell r="A692" t="str">
            <v>Ondrej Skala</v>
          </cell>
          <cell r="B692">
            <v>1982</v>
          </cell>
          <cell r="C692" t="str">
            <v>Vrchlabí</v>
          </cell>
          <cell r="D692" t="str">
            <v>CZ/C2</v>
          </cell>
          <cell r="E692" t="str">
            <v>M</v>
          </cell>
          <cell r="F692" t="str">
            <v/>
          </cell>
        </row>
        <row r="693">
          <cell r="A693" t="str">
            <v>Ondrej Sindelar</v>
          </cell>
          <cell r="B693">
            <v>1979</v>
          </cell>
          <cell r="C693" t="str">
            <v>Mladá Boleslav</v>
          </cell>
          <cell r="D693" t="str">
            <v>CZ/C1</v>
          </cell>
          <cell r="E693" t="str">
            <v>M</v>
          </cell>
          <cell r="F693" t="str">
            <v/>
          </cell>
        </row>
        <row r="694">
          <cell r="A694" t="str">
            <v>Ondrej Stepan</v>
          </cell>
          <cell r="B694">
            <v>1984</v>
          </cell>
          <cell r="C694" t="str">
            <v>Žamberk</v>
          </cell>
          <cell r="D694" t="str">
            <v>CZ/C2</v>
          </cell>
          <cell r="E694" t="str">
            <v>M</v>
          </cell>
          <cell r="F694" t="str">
            <v/>
          </cell>
        </row>
        <row r="695">
          <cell r="A695" t="str">
            <v>Ondrej Supka</v>
          </cell>
          <cell r="B695">
            <v>1994</v>
          </cell>
          <cell r="C695" t="str">
            <v>Kunovice</v>
          </cell>
          <cell r="D695" t="str">
            <v>CZ/M</v>
          </cell>
          <cell r="E695" t="str">
            <v>M</v>
          </cell>
          <cell r="F695" t="str">
            <v/>
          </cell>
        </row>
        <row r="696">
          <cell r="A696" t="str">
            <v>Ondrej Teichman</v>
          </cell>
          <cell r="B696">
            <v>1984</v>
          </cell>
          <cell r="C696" t="str">
            <v>Dvůr Králové</v>
          </cell>
          <cell r="D696" t="str">
            <v>CZ/C2</v>
          </cell>
          <cell r="E696" t="str">
            <v>M</v>
          </cell>
          <cell r="F696" t="str">
            <v/>
          </cell>
        </row>
        <row r="697">
          <cell r="A697" t="str">
            <v>Ondrej Trkal</v>
          </cell>
          <cell r="B697">
            <v>1991</v>
          </cell>
          <cell r="C697" t="str">
            <v>Vysoké Mýto</v>
          </cell>
          <cell r="D697" t="str">
            <v>CZ/C2</v>
          </cell>
          <cell r="E697" t="str">
            <v>M</v>
          </cell>
          <cell r="F697" t="str">
            <v/>
          </cell>
        </row>
        <row r="698">
          <cell r="A698" t="str">
            <v>Ondrej Valach</v>
          </cell>
          <cell r="B698">
            <v>1986</v>
          </cell>
          <cell r="C698" t="str">
            <v>Točná</v>
          </cell>
          <cell r="D698" t="str">
            <v>CZ/C1</v>
          </cell>
          <cell r="E698" t="str">
            <v>M</v>
          </cell>
          <cell r="F698" t="str">
            <v/>
          </cell>
        </row>
        <row r="699">
          <cell r="A699" t="str">
            <v>Ondrej Vyskocil</v>
          </cell>
          <cell r="B699">
            <v>1991</v>
          </cell>
          <cell r="C699" t="str">
            <v>Letkov</v>
          </cell>
          <cell r="D699" t="str">
            <v>CZ/C1</v>
          </cell>
          <cell r="E699" t="str">
            <v>M</v>
          </cell>
          <cell r="F699" t="str">
            <v/>
          </cell>
        </row>
        <row r="700">
          <cell r="A700" t="str">
            <v>Ondrej Zeman</v>
          </cell>
          <cell r="B700">
            <v>1980</v>
          </cell>
          <cell r="C700" t="str">
            <v>Letňany</v>
          </cell>
          <cell r="D700" t="str">
            <v>CZ/C1</v>
          </cell>
          <cell r="E700" t="str">
            <v>M</v>
          </cell>
          <cell r="F700" t="str">
            <v/>
          </cell>
        </row>
        <row r="701">
          <cell r="A701" t="str">
            <v>Ota Vavrin</v>
          </cell>
          <cell r="B701">
            <v>1947</v>
          </cell>
          <cell r="C701" t="str">
            <v>Vysoké Mýto</v>
          </cell>
          <cell r="D701" t="str">
            <v>CZ/C2</v>
          </cell>
          <cell r="E701" t="str">
            <v>M</v>
          </cell>
          <cell r="F701" t="str">
            <v/>
          </cell>
        </row>
        <row r="702">
          <cell r="A702" t="str">
            <v>Otakar Tucek</v>
          </cell>
          <cell r="B702">
            <v>1947</v>
          </cell>
          <cell r="C702" t="str">
            <v>Raná</v>
          </cell>
          <cell r="D702" t="str">
            <v>CZ/C2</v>
          </cell>
          <cell r="E702" t="str">
            <v>M</v>
          </cell>
          <cell r="F702" t="str">
            <v/>
          </cell>
        </row>
        <row r="703">
          <cell r="A703" t="str">
            <v>Patrik Cebis</v>
          </cell>
          <cell r="B703">
            <v>1972</v>
          </cell>
          <cell r="C703" t="str">
            <v>Kralupy</v>
          </cell>
          <cell r="D703" t="str">
            <v>CZ/C1</v>
          </cell>
          <cell r="E703" t="str">
            <v>M</v>
          </cell>
          <cell r="F703" t="str">
            <v/>
          </cell>
        </row>
        <row r="704">
          <cell r="A704" t="str">
            <v>Pavel Brodsky</v>
          </cell>
          <cell r="B704">
            <v>1992</v>
          </cell>
          <cell r="C704" t="str">
            <v>Hořice</v>
          </cell>
          <cell r="D704" t="str">
            <v>CZ/C2</v>
          </cell>
          <cell r="E704" t="str">
            <v>M</v>
          </cell>
          <cell r="F704" t="str">
            <v/>
          </cell>
        </row>
        <row r="705">
          <cell r="A705" t="str">
            <v>Pavel Cerny</v>
          </cell>
          <cell r="B705">
            <v>1996</v>
          </cell>
          <cell r="C705" t="str">
            <v>Příbram</v>
          </cell>
          <cell r="D705" t="str">
            <v>CZ/C1</v>
          </cell>
          <cell r="E705" t="str">
            <v>M</v>
          </cell>
          <cell r="F705" t="str">
            <v/>
          </cell>
        </row>
        <row r="706">
          <cell r="A706" t="str">
            <v>Pavel Derda</v>
          </cell>
          <cell r="B706">
            <v>1952</v>
          </cell>
          <cell r="C706" t="str">
            <v>Dvůr Králové</v>
          </cell>
          <cell r="D706" t="str">
            <v>CZ/C2</v>
          </cell>
          <cell r="E706" t="str">
            <v>M</v>
          </cell>
          <cell r="F706" t="str">
            <v/>
          </cell>
        </row>
        <row r="707">
          <cell r="A707" t="str">
            <v>Pavel Dostal</v>
          </cell>
          <cell r="B707">
            <v>1944</v>
          </cell>
          <cell r="C707" t="str">
            <v>Turnov</v>
          </cell>
          <cell r="D707" t="str">
            <v>CZ/C2</v>
          </cell>
          <cell r="E707" t="str">
            <v>M</v>
          </cell>
          <cell r="F707" t="str">
            <v/>
          </cell>
        </row>
        <row r="708">
          <cell r="A708" t="str">
            <v>Pavel Foldyna</v>
          </cell>
          <cell r="B708">
            <v>1976</v>
          </cell>
          <cell r="C708" t="str">
            <v>Frýdlant</v>
          </cell>
          <cell r="D708" t="str">
            <v>CZ/M</v>
          </cell>
          <cell r="E708" t="str">
            <v>M</v>
          </cell>
          <cell r="F708" t="str">
            <v/>
          </cell>
        </row>
        <row r="709">
          <cell r="A709" t="str">
            <v>Pavel Franc</v>
          </cell>
          <cell r="B709">
            <v>1974</v>
          </cell>
          <cell r="C709" t="str">
            <v>Hronov</v>
          </cell>
          <cell r="D709" t="str">
            <v>CZ/C2</v>
          </cell>
          <cell r="E709" t="str">
            <v>M</v>
          </cell>
          <cell r="F709" t="str">
            <v/>
          </cell>
        </row>
        <row r="710">
          <cell r="A710" t="str">
            <v>Pavel Haluza</v>
          </cell>
          <cell r="B710">
            <v>1966</v>
          </cell>
          <cell r="C710" t="str">
            <v>Prostějov</v>
          </cell>
          <cell r="D710" t="str">
            <v>CZ/M</v>
          </cell>
          <cell r="E710" t="str">
            <v>M</v>
          </cell>
          <cell r="F710" t="str">
            <v/>
          </cell>
        </row>
        <row r="711">
          <cell r="A711" t="str">
            <v>Pavel Handl</v>
          </cell>
          <cell r="B711">
            <v>1971</v>
          </cell>
          <cell r="C711" t="str">
            <v>Kroměříž</v>
          </cell>
          <cell r="D711" t="str">
            <v>CZ/M</v>
          </cell>
          <cell r="E711" t="str">
            <v>M</v>
          </cell>
          <cell r="F711" t="str">
            <v/>
          </cell>
        </row>
        <row r="712">
          <cell r="A712" t="str">
            <v>Pavel Hartman</v>
          </cell>
          <cell r="B712">
            <v>1963</v>
          </cell>
          <cell r="C712" t="str">
            <v>Jaroměř</v>
          </cell>
          <cell r="D712" t="str">
            <v>CZ/C2</v>
          </cell>
          <cell r="E712" t="str">
            <v>M</v>
          </cell>
          <cell r="F712" t="str">
            <v/>
          </cell>
        </row>
        <row r="713">
          <cell r="A713" t="str">
            <v>Pavel Jiranek</v>
          </cell>
          <cell r="B713">
            <v>1993</v>
          </cell>
          <cell r="C713" t="str">
            <v>Toužim</v>
          </cell>
          <cell r="D713" t="str">
            <v>CZ/C1</v>
          </cell>
          <cell r="E713" t="str">
            <v>M</v>
          </cell>
          <cell r="F713" t="str">
            <v/>
          </cell>
        </row>
        <row r="714">
          <cell r="A714" t="str">
            <v>Pavel Jurak</v>
          </cell>
          <cell r="B714">
            <v>1986</v>
          </cell>
          <cell r="C714" t="str">
            <v>Kunovice</v>
          </cell>
          <cell r="D714" t="str">
            <v>CZ/M</v>
          </cell>
          <cell r="E714" t="str">
            <v>M</v>
          </cell>
          <cell r="F714" t="str">
            <v/>
          </cell>
        </row>
        <row r="715">
          <cell r="A715" t="str">
            <v>Pavel Jurka</v>
          </cell>
          <cell r="B715">
            <v>1955</v>
          </cell>
          <cell r="C715" t="str">
            <v>Moravská Třebová</v>
          </cell>
          <cell r="D715" t="str">
            <v>CZ/M</v>
          </cell>
          <cell r="E715" t="str">
            <v>M</v>
          </cell>
          <cell r="F715" t="str">
            <v/>
          </cell>
        </row>
        <row r="716">
          <cell r="A716" t="str">
            <v>Pavel Kalous</v>
          </cell>
          <cell r="B716">
            <v>1921</v>
          </cell>
          <cell r="C716" t="str">
            <v>Frýdlant</v>
          </cell>
          <cell r="D716" t="str">
            <v>CZ/M</v>
          </cell>
          <cell r="E716" t="str">
            <v>M</v>
          </cell>
          <cell r="F716" t="str">
            <v/>
          </cell>
        </row>
        <row r="717">
          <cell r="A717" t="str">
            <v>Pavel Kostkan</v>
          </cell>
          <cell r="B717">
            <v>1952</v>
          </cell>
          <cell r="C717" t="str">
            <v>Dvůr Králové</v>
          </cell>
          <cell r="D717" t="str">
            <v>CZ/C2</v>
          </cell>
          <cell r="E717" t="str">
            <v>M</v>
          </cell>
          <cell r="F717" t="str">
            <v/>
          </cell>
        </row>
        <row r="718">
          <cell r="A718" t="str">
            <v>Pavel Koudelka</v>
          </cell>
          <cell r="B718">
            <v>1973</v>
          </cell>
          <cell r="C718" t="str">
            <v>Křižanov</v>
          </cell>
          <cell r="D718" t="str">
            <v>CZ/M</v>
          </cell>
          <cell r="E718" t="str">
            <v>M</v>
          </cell>
          <cell r="F718" t="str">
            <v/>
          </cell>
        </row>
        <row r="719">
          <cell r="A719" t="str">
            <v>Pavel Kuriscak</v>
          </cell>
          <cell r="B719">
            <v>1987</v>
          </cell>
          <cell r="C719" t="str">
            <v>Beroun</v>
          </cell>
          <cell r="D719" t="str">
            <v>CZ/C1</v>
          </cell>
          <cell r="E719" t="str">
            <v>M</v>
          </cell>
          <cell r="F719" t="str">
            <v/>
          </cell>
        </row>
        <row r="720">
          <cell r="A720" t="str">
            <v>Pavel Kyzivat</v>
          </cell>
          <cell r="B720">
            <v>1973</v>
          </cell>
          <cell r="C720" t="str">
            <v>Zbraslavice</v>
          </cell>
          <cell r="D720" t="str">
            <v>CZ/C1</v>
          </cell>
          <cell r="E720" t="str">
            <v>M</v>
          </cell>
          <cell r="F720" t="str">
            <v/>
          </cell>
        </row>
        <row r="721">
          <cell r="A721" t="str">
            <v>Pavel Laznicka</v>
          </cell>
          <cell r="B721">
            <v>1955</v>
          </cell>
          <cell r="C721" t="str">
            <v>Letňany</v>
          </cell>
          <cell r="D721" t="str">
            <v>CZ/C1</v>
          </cell>
          <cell r="E721" t="str">
            <v>M</v>
          </cell>
          <cell r="F721" t="str">
            <v/>
          </cell>
        </row>
        <row r="722">
          <cell r="A722" t="str">
            <v>Pavel Liska</v>
          </cell>
          <cell r="B722">
            <v>1965</v>
          </cell>
          <cell r="C722" t="str">
            <v>Roudnice</v>
          </cell>
          <cell r="D722" t="str">
            <v>CZ/C2</v>
          </cell>
          <cell r="E722" t="str">
            <v>M</v>
          </cell>
          <cell r="F722" t="str">
            <v/>
          </cell>
        </row>
        <row r="723">
          <cell r="A723" t="str">
            <v>Pavel Louzecky</v>
          </cell>
          <cell r="B723">
            <v>1957</v>
          </cell>
          <cell r="C723" t="str">
            <v>Přibyslav</v>
          </cell>
          <cell r="D723" t="str">
            <v>CZ/C2</v>
          </cell>
          <cell r="E723" t="str">
            <v>M</v>
          </cell>
          <cell r="F723" t="str">
            <v/>
          </cell>
        </row>
        <row r="724">
          <cell r="A724" t="str">
            <v>Pavel Melichar</v>
          </cell>
          <cell r="B724">
            <v>1983</v>
          </cell>
          <cell r="C724" t="str">
            <v>Vlašim</v>
          </cell>
          <cell r="D724" t="str">
            <v>CZ/C1</v>
          </cell>
          <cell r="E724" t="str">
            <v>M</v>
          </cell>
          <cell r="F724" t="str">
            <v/>
          </cell>
        </row>
        <row r="725">
          <cell r="A725" t="str">
            <v>Pavel Mracek</v>
          </cell>
          <cell r="B725">
            <v>1986</v>
          </cell>
          <cell r="C725" t="str">
            <v>Mladá Boleslav</v>
          </cell>
          <cell r="D725" t="str">
            <v>CZ/C1</v>
          </cell>
          <cell r="E725" t="str">
            <v>M</v>
          </cell>
          <cell r="F725" t="str">
            <v/>
          </cell>
        </row>
        <row r="726">
          <cell r="A726" t="str">
            <v>Pavel Nemec</v>
          </cell>
          <cell r="B726">
            <v>1988</v>
          </cell>
          <cell r="C726" t="str">
            <v>Šumperk</v>
          </cell>
          <cell r="D726" t="str">
            <v>CZ/M</v>
          </cell>
          <cell r="E726" t="str">
            <v>M</v>
          </cell>
          <cell r="F726" t="str">
            <v/>
          </cell>
        </row>
        <row r="727">
          <cell r="A727" t="str">
            <v>Pavel Opat</v>
          </cell>
          <cell r="B727">
            <v>1975</v>
          </cell>
          <cell r="C727" t="str">
            <v>Rakovník</v>
          </cell>
          <cell r="D727" t="str">
            <v>CZ/C1</v>
          </cell>
          <cell r="E727" t="str">
            <v>M</v>
          </cell>
          <cell r="F727" t="str">
            <v/>
          </cell>
        </row>
        <row r="728">
          <cell r="A728" t="str">
            <v>Pavel Paces</v>
          </cell>
          <cell r="B728">
            <v>1972</v>
          </cell>
          <cell r="C728" t="str">
            <v>Kladno</v>
          </cell>
          <cell r="D728" t="str">
            <v>CZ/C1</v>
          </cell>
          <cell r="E728" t="str">
            <v>M</v>
          </cell>
          <cell r="F728" t="str">
            <v/>
          </cell>
        </row>
        <row r="729">
          <cell r="A729" t="str">
            <v>Pavel Pittner</v>
          </cell>
          <cell r="B729">
            <v>1980</v>
          </cell>
          <cell r="C729" t="str">
            <v>Polička</v>
          </cell>
          <cell r="D729" t="str">
            <v>CZ/C2</v>
          </cell>
          <cell r="E729" t="str">
            <v>M</v>
          </cell>
          <cell r="F729" t="str">
            <v/>
          </cell>
        </row>
        <row r="730">
          <cell r="A730" t="str">
            <v>Pavel Rericha</v>
          </cell>
          <cell r="B730">
            <v>1967</v>
          </cell>
          <cell r="C730" t="str">
            <v>Moravská Třebová</v>
          </cell>
          <cell r="D730" t="str">
            <v>CZ/M</v>
          </cell>
          <cell r="E730" t="str">
            <v>M</v>
          </cell>
          <cell r="F730" t="str">
            <v/>
          </cell>
        </row>
        <row r="731">
          <cell r="A731" t="str">
            <v>Pavel Schejbal</v>
          </cell>
          <cell r="B731">
            <v>1967</v>
          </cell>
          <cell r="C731" t="str">
            <v>Vrchlabí</v>
          </cell>
          <cell r="D731" t="str">
            <v>CZ/C2</v>
          </cell>
          <cell r="E731" t="str">
            <v>M</v>
          </cell>
          <cell r="F731" t="str">
            <v/>
          </cell>
        </row>
        <row r="732">
          <cell r="A732" t="str">
            <v>Pavel Schor</v>
          </cell>
          <cell r="B732">
            <v>1985</v>
          </cell>
          <cell r="C732" t="str">
            <v>Medlánky</v>
          </cell>
          <cell r="D732" t="str">
            <v>CZ/M</v>
          </cell>
          <cell r="E732" t="str">
            <v>M</v>
          </cell>
          <cell r="F732" t="str">
            <v/>
          </cell>
        </row>
        <row r="733">
          <cell r="A733" t="str">
            <v>Pavel Svoboda</v>
          </cell>
          <cell r="B733">
            <v>1938</v>
          </cell>
          <cell r="C733" t="str">
            <v>Letňany</v>
          </cell>
          <cell r="D733" t="str">
            <v>CZ/C1</v>
          </cell>
          <cell r="E733" t="str">
            <v>M</v>
          </cell>
          <cell r="F733" t="str">
            <v/>
          </cell>
        </row>
        <row r="734">
          <cell r="A734" t="str">
            <v>Pavel Simek</v>
          </cell>
          <cell r="B734">
            <v>1957</v>
          </cell>
          <cell r="C734" t="str">
            <v>Vyškov</v>
          </cell>
          <cell r="D734" t="str">
            <v>CZ/M</v>
          </cell>
          <cell r="E734" t="str">
            <v>M</v>
          </cell>
          <cell r="F734" t="str">
            <v/>
          </cell>
        </row>
        <row r="735">
          <cell r="A735" t="str">
            <v>Pavel Skrabal</v>
          </cell>
          <cell r="B735">
            <v>1969</v>
          </cell>
          <cell r="C735" t="str">
            <v>Šumperk</v>
          </cell>
          <cell r="D735" t="str">
            <v>CZ/M</v>
          </cell>
          <cell r="E735" t="str">
            <v>M</v>
          </cell>
          <cell r="F735" t="str">
            <v/>
          </cell>
        </row>
        <row r="736">
          <cell r="A736" t="str">
            <v>Pavel Sulc</v>
          </cell>
          <cell r="B736">
            <v>1976</v>
          </cell>
          <cell r="C736" t="str">
            <v>Hodkovice</v>
          </cell>
          <cell r="D736" t="str">
            <v>CZ/C2</v>
          </cell>
          <cell r="E736" t="str">
            <v>M</v>
          </cell>
          <cell r="F736" t="str">
            <v/>
          </cell>
        </row>
        <row r="737">
          <cell r="A737" t="str">
            <v>Pavel Svejkovsky</v>
          </cell>
          <cell r="B737">
            <v>1968</v>
          </cell>
          <cell r="C737" t="str">
            <v>Česká Lípa</v>
          </cell>
          <cell r="D737" t="str">
            <v>CZ/C2</v>
          </cell>
          <cell r="E737" t="str">
            <v>M</v>
          </cell>
          <cell r="F737" t="str">
            <v/>
          </cell>
        </row>
        <row r="738">
          <cell r="A738" t="str">
            <v>Pavel Svetlik</v>
          </cell>
          <cell r="B738">
            <v>1968</v>
          </cell>
          <cell r="C738" t="str">
            <v>Kunovice</v>
          </cell>
          <cell r="D738" t="str">
            <v>CZ/M</v>
          </cell>
          <cell r="E738" t="str">
            <v>M</v>
          </cell>
          <cell r="F738" t="str">
            <v/>
          </cell>
        </row>
        <row r="739">
          <cell r="A739" t="str">
            <v>Pavel Svrcek</v>
          </cell>
          <cell r="B739">
            <v>1972</v>
          </cell>
          <cell r="C739" t="str">
            <v>Frýdlant</v>
          </cell>
          <cell r="D739" t="str">
            <v>CZ/M</v>
          </cell>
          <cell r="E739" t="str">
            <v>M</v>
          </cell>
          <cell r="F739" t="str">
            <v/>
          </cell>
        </row>
        <row r="740">
          <cell r="A740" t="str">
            <v>Pavel Trojan</v>
          </cell>
          <cell r="B740">
            <v>1960</v>
          </cell>
          <cell r="C740" t="str">
            <v>Chrudim</v>
          </cell>
          <cell r="D740" t="str">
            <v>CZ/C2</v>
          </cell>
          <cell r="E740" t="str">
            <v>M</v>
          </cell>
          <cell r="F740" t="str">
            <v/>
          </cell>
        </row>
        <row r="741">
          <cell r="A741" t="str">
            <v>Pavel Trybenekr</v>
          </cell>
          <cell r="B741">
            <v>1990</v>
          </cell>
          <cell r="C741" t="str">
            <v>Hořice</v>
          </cell>
          <cell r="D741" t="str">
            <v>CZ/C2</v>
          </cell>
          <cell r="E741" t="str">
            <v>M</v>
          </cell>
          <cell r="F741" t="str">
            <v/>
          </cell>
        </row>
        <row r="742">
          <cell r="A742" t="str">
            <v>Pavel Zakravsky</v>
          </cell>
          <cell r="B742">
            <v>1979</v>
          </cell>
          <cell r="C742" t="str">
            <v>Hranice</v>
          </cell>
          <cell r="D742" t="str">
            <v>CZ/M</v>
          </cell>
          <cell r="E742" t="str">
            <v>M</v>
          </cell>
          <cell r="F742" t="str">
            <v/>
          </cell>
        </row>
        <row r="743">
          <cell r="A743" t="str">
            <v>Pavel Zima</v>
          </cell>
          <cell r="B743">
            <v>1979</v>
          </cell>
          <cell r="C743" t="str">
            <v>Břeclav</v>
          </cell>
          <cell r="D743" t="str">
            <v>CZ/M</v>
          </cell>
          <cell r="E743" t="str">
            <v>M</v>
          </cell>
          <cell r="F743" t="str">
            <v/>
          </cell>
        </row>
        <row r="744">
          <cell r="A744" t="str">
            <v>Pavla Seifertova</v>
          </cell>
          <cell r="B744">
            <v>1981</v>
          </cell>
          <cell r="C744" t="str">
            <v>Raná</v>
          </cell>
          <cell r="D744" t="str">
            <v>CZ/C2</v>
          </cell>
          <cell r="E744" t="str">
            <v>F</v>
          </cell>
          <cell r="F744" t="str">
            <v/>
          </cell>
        </row>
        <row r="745">
          <cell r="A745" t="str">
            <v>Pavlina Hanusova</v>
          </cell>
          <cell r="B745">
            <v>1970</v>
          </cell>
          <cell r="C745" t="str">
            <v>Turnov</v>
          </cell>
          <cell r="D745" t="str">
            <v>CZ/C2</v>
          </cell>
          <cell r="E745" t="str">
            <v>F</v>
          </cell>
          <cell r="F745" t="str">
            <v/>
          </cell>
        </row>
        <row r="746">
          <cell r="A746" t="str">
            <v>Pavlina Horackova</v>
          </cell>
          <cell r="B746">
            <v>1965</v>
          </cell>
          <cell r="C746" t="str">
            <v>Šumperk</v>
          </cell>
          <cell r="D746" t="str">
            <v>CZ/M</v>
          </cell>
          <cell r="E746" t="str">
            <v>F</v>
          </cell>
          <cell r="F746" t="str">
            <v/>
          </cell>
        </row>
        <row r="747">
          <cell r="A747" t="str">
            <v>Peter Kaspar</v>
          </cell>
          <cell r="B747">
            <v>1980</v>
          </cell>
          <cell r="C747" t="str">
            <v>Vyškov</v>
          </cell>
          <cell r="D747" t="str">
            <v>CZ/M</v>
          </cell>
          <cell r="E747" t="str">
            <v>M</v>
          </cell>
          <cell r="F747" t="str">
            <v/>
          </cell>
        </row>
        <row r="748">
          <cell r="A748" t="str">
            <v>Petr Babak</v>
          </cell>
          <cell r="B748">
            <v>1973</v>
          </cell>
          <cell r="C748" t="str">
            <v>Hořice</v>
          </cell>
          <cell r="D748" t="str">
            <v>CZ/C2</v>
          </cell>
          <cell r="E748" t="str">
            <v>M</v>
          </cell>
          <cell r="F748" t="str">
            <v/>
          </cell>
        </row>
        <row r="749">
          <cell r="A749" t="str">
            <v>Petr Baros</v>
          </cell>
          <cell r="B749">
            <v>1974</v>
          </cell>
          <cell r="C749" t="str">
            <v>Hranice</v>
          </cell>
          <cell r="D749" t="str">
            <v>CZ/M</v>
          </cell>
          <cell r="E749" t="str">
            <v>M</v>
          </cell>
          <cell r="F749" t="str">
            <v/>
          </cell>
        </row>
        <row r="750">
          <cell r="A750" t="str">
            <v>Petr Bartak</v>
          </cell>
          <cell r="B750">
            <v>1984</v>
          </cell>
          <cell r="C750" t="str">
            <v>Letkov</v>
          </cell>
          <cell r="D750" t="str">
            <v>CZ/C1</v>
          </cell>
          <cell r="E750" t="str">
            <v>M</v>
          </cell>
          <cell r="F750" t="str">
            <v/>
          </cell>
        </row>
        <row r="751">
          <cell r="A751" t="str">
            <v>Petr Brezina</v>
          </cell>
          <cell r="B751">
            <v>1963</v>
          </cell>
          <cell r="C751" t="str">
            <v>Frýdlant</v>
          </cell>
          <cell r="D751" t="str">
            <v>CZ/M</v>
          </cell>
          <cell r="E751" t="str">
            <v>M</v>
          </cell>
          <cell r="F751" t="str">
            <v/>
          </cell>
        </row>
        <row r="752">
          <cell r="A752" t="str">
            <v>Petr Benes</v>
          </cell>
          <cell r="B752">
            <v>1980</v>
          </cell>
          <cell r="C752" t="str">
            <v>Raná</v>
          </cell>
          <cell r="D752" t="str">
            <v>CZ/C2</v>
          </cell>
          <cell r="E752" t="str">
            <v>M</v>
          </cell>
          <cell r="F752" t="str">
            <v/>
          </cell>
        </row>
        <row r="753">
          <cell r="A753" t="str">
            <v>Petr Bezdek</v>
          </cell>
          <cell r="B753">
            <v>1965</v>
          </cell>
          <cell r="C753" t="str">
            <v>Letňany</v>
          </cell>
          <cell r="D753" t="str">
            <v>CZ/C1</v>
          </cell>
          <cell r="E753" t="str">
            <v>M</v>
          </cell>
          <cell r="F753" t="str">
            <v/>
          </cell>
        </row>
        <row r="754">
          <cell r="A754" t="str">
            <v>Petr Cernicky</v>
          </cell>
          <cell r="B754">
            <v>1974</v>
          </cell>
          <cell r="C754" t="str">
            <v>Toužim</v>
          </cell>
          <cell r="D754" t="str">
            <v>CZ/C1</v>
          </cell>
          <cell r="E754" t="str">
            <v>M</v>
          </cell>
          <cell r="F754" t="str">
            <v/>
          </cell>
        </row>
        <row r="755">
          <cell r="A755" t="str">
            <v>Petr Doubek</v>
          </cell>
          <cell r="B755">
            <v>1974</v>
          </cell>
          <cell r="C755" t="str">
            <v>Kralupy</v>
          </cell>
          <cell r="D755" t="str">
            <v>CZ/C1</v>
          </cell>
          <cell r="E755" t="str">
            <v>M</v>
          </cell>
          <cell r="F755" t="str">
            <v/>
          </cell>
        </row>
        <row r="756">
          <cell r="A756" t="str">
            <v>Petr Filip</v>
          </cell>
          <cell r="B756">
            <v>1982</v>
          </cell>
          <cell r="C756" t="str">
            <v>Zbraslavice</v>
          </cell>
          <cell r="D756" t="str">
            <v>CZ/C1</v>
          </cell>
          <cell r="E756" t="str">
            <v>M</v>
          </cell>
          <cell r="F756" t="str">
            <v/>
          </cell>
        </row>
        <row r="757">
          <cell r="A757" t="str">
            <v>Petr Fisar</v>
          </cell>
          <cell r="B757">
            <v>1974</v>
          </cell>
          <cell r="C757" t="str">
            <v>Ústí nad Orlicí</v>
          </cell>
          <cell r="D757" t="str">
            <v>CZ/C2</v>
          </cell>
          <cell r="E757" t="str">
            <v>M</v>
          </cell>
          <cell r="F757" t="str">
            <v/>
          </cell>
        </row>
        <row r="758">
          <cell r="A758" t="str">
            <v>Petr Fousek</v>
          </cell>
          <cell r="B758">
            <v>1958</v>
          </cell>
          <cell r="C758" t="str">
            <v>Zbraslavice</v>
          </cell>
          <cell r="D758" t="str">
            <v>CZ/C1</v>
          </cell>
          <cell r="E758" t="str">
            <v>M</v>
          </cell>
          <cell r="F758" t="str">
            <v/>
          </cell>
        </row>
        <row r="759">
          <cell r="A759" t="str">
            <v>Petr Frycek</v>
          </cell>
          <cell r="B759">
            <v>1960</v>
          </cell>
          <cell r="C759" t="str">
            <v>Most</v>
          </cell>
          <cell r="D759" t="str">
            <v>CZ/C2</v>
          </cell>
          <cell r="E759" t="str">
            <v>M</v>
          </cell>
          <cell r="F759" t="str">
            <v/>
          </cell>
        </row>
        <row r="760">
          <cell r="A760" t="str">
            <v>Petr Gebauer</v>
          </cell>
          <cell r="B760">
            <v>1999</v>
          </cell>
          <cell r="C760" t="str">
            <v>Mladá Boleslav</v>
          </cell>
          <cell r="D760" t="str">
            <v>CZ/C1</v>
          </cell>
          <cell r="E760" t="str">
            <v>M</v>
          </cell>
          <cell r="F760" t="str">
            <v/>
          </cell>
        </row>
        <row r="761">
          <cell r="A761" t="str">
            <v>Petr Gryc</v>
          </cell>
          <cell r="B761">
            <v>1949</v>
          </cell>
          <cell r="C761" t="str">
            <v>Medlánky</v>
          </cell>
          <cell r="D761" t="str">
            <v>CZ/M</v>
          </cell>
          <cell r="E761" t="str">
            <v>M</v>
          </cell>
          <cell r="F761" t="str">
            <v/>
          </cell>
        </row>
        <row r="762">
          <cell r="A762" t="str">
            <v>Petr Hanacek</v>
          </cell>
          <cell r="B762">
            <v>1962</v>
          </cell>
          <cell r="C762" t="str">
            <v>Jeseník</v>
          </cell>
          <cell r="D762" t="str">
            <v>CZ/M</v>
          </cell>
          <cell r="E762" t="str">
            <v>M</v>
          </cell>
          <cell r="F762" t="str">
            <v/>
          </cell>
        </row>
        <row r="763">
          <cell r="A763" t="str">
            <v>Petr Havelka</v>
          </cell>
          <cell r="B763">
            <v>1997</v>
          </cell>
          <cell r="C763" t="str">
            <v>Zbraslavice</v>
          </cell>
          <cell r="D763" t="str">
            <v>CZ/C1</v>
          </cell>
          <cell r="E763" t="str">
            <v>M</v>
          </cell>
          <cell r="F763" t="str">
            <v/>
          </cell>
        </row>
        <row r="764">
          <cell r="A764" t="str">
            <v>Petr Havrlant</v>
          </cell>
          <cell r="B764">
            <v>1965</v>
          </cell>
          <cell r="C764" t="str">
            <v>Šumperk</v>
          </cell>
          <cell r="D764" t="str">
            <v>CZ/M</v>
          </cell>
          <cell r="E764" t="str">
            <v>M</v>
          </cell>
          <cell r="F764" t="str">
            <v/>
          </cell>
        </row>
        <row r="765">
          <cell r="A765" t="str">
            <v>Petr Herold</v>
          </cell>
          <cell r="B765">
            <v>1970</v>
          </cell>
          <cell r="C765" t="str">
            <v>Vlašim</v>
          </cell>
          <cell r="D765" t="str">
            <v>CZ/C1</v>
          </cell>
          <cell r="E765" t="str">
            <v>M</v>
          </cell>
          <cell r="F765" t="str">
            <v/>
          </cell>
        </row>
        <row r="766">
          <cell r="A766" t="str">
            <v>Petr Hodulak</v>
          </cell>
          <cell r="B766">
            <v>1974</v>
          </cell>
          <cell r="C766" t="str">
            <v>Beroun</v>
          </cell>
          <cell r="D766" t="str">
            <v>CZ/C1</v>
          </cell>
          <cell r="E766" t="str">
            <v>M</v>
          </cell>
          <cell r="F766" t="str">
            <v/>
          </cell>
        </row>
        <row r="767">
          <cell r="A767" t="str">
            <v>Petr Hofman</v>
          </cell>
          <cell r="B767">
            <v>1984</v>
          </cell>
          <cell r="C767" t="str">
            <v>Letňany</v>
          </cell>
          <cell r="D767" t="str">
            <v>CZ/C1</v>
          </cell>
          <cell r="E767" t="str">
            <v>M</v>
          </cell>
          <cell r="F767" t="str">
            <v/>
          </cell>
        </row>
        <row r="768">
          <cell r="A768" t="str">
            <v>Petr Homola</v>
          </cell>
          <cell r="B768">
            <v>1974</v>
          </cell>
          <cell r="C768" t="str">
            <v>GAC Benešov</v>
          </cell>
          <cell r="D768" t="str">
            <v>CZ/C1</v>
          </cell>
          <cell r="E768" t="str">
            <v>M</v>
          </cell>
          <cell r="F768" t="str">
            <v/>
          </cell>
        </row>
        <row r="769">
          <cell r="A769" t="str">
            <v>Petr Hora</v>
          </cell>
          <cell r="B769">
            <v>1948</v>
          </cell>
          <cell r="C769" t="str">
            <v>Hodkovice</v>
          </cell>
          <cell r="D769" t="str">
            <v>CZ/C2</v>
          </cell>
          <cell r="E769" t="str">
            <v>M</v>
          </cell>
          <cell r="F769" t="str">
            <v/>
          </cell>
        </row>
        <row r="770">
          <cell r="A770" t="str">
            <v>Petr Hosek</v>
          </cell>
          <cell r="B770">
            <v>2001</v>
          </cell>
          <cell r="C770" t="str">
            <v>Beroun</v>
          </cell>
          <cell r="D770" t="str">
            <v>CZ/C1</v>
          </cell>
          <cell r="E770" t="str">
            <v>M</v>
          </cell>
          <cell r="F770" t="str">
            <v>Junior v roce 2026</v>
          </cell>
        </row>
        <row r="771">
          <cell r="A771" t="str">
            <v>Petr Hotovy</v>
          </cell>
          <cell r="B771">
            <v>1958</v>
          </cell>
          <cell r="C771" t="str">
            <v>Česká Lípa</v>
          </cell>
          <cell r="D771" t="str">
            <v>CZ/C2</v>
          </cell>
          <cell r="E771" t="str">
            <v>M</v>
          </cell>
          <cell r="F771" t="str">
            <v/>
          </cell>
        </row>
        <row r="772">
          <cell r="A772" t="str">
            <v>Petr Houstek 49</v>
          </cell>
          <cell r="B772">
            <v>1949</v>
          </cell>
          <cell r="C772" t="str">
            <v>Jaroměř</v>
          </cell>
          <cell r="D772" t="str">
            <v>CZ/C2</v>
          </cell>
          <cell r="E772" t="str">
            <v>M</v>
          </cell>
          <cell r="F772" t="str">
            <v/>
          </cell>
        </row>
        <row r="773">
          <cell r="A773" t="str">
            <v>Petr Houstek 79</v>
          </cell>
          <cell r="B773">
            <v>1979</v>
          </cell>
          <cell r="C773" t="str">
            <v>Jaroměř</v>
          </cell>
          <cell r="D773" t="str">
            <v>CZ/C2</v>
          </cell>
          <cell r="E773" t="str">
            <v>M</v>
          </cell>
          <cell r="F773" t="str">
            <v/>
          </cell>
        </row>
        <row r="774">
          <cell r="A774" t="str">
            <v>Petr Hrebec</v>
          </cell>
          <cell r="B774">
            <v>1972</v>
          </cell>
          <cell r="C774" t="str">
            <v>Točná</v>
          </cell>
          <cell r="D774" t="str">
            <v>CZ/C1</v>
          </cell>
          <cell r="E774" t="str">
            <v>M</v>
          </cell>
          <cell r="F774" t="str">
            <v/>
          </cell>
        </row>
        <row r="775">
          <cell r="A775" t="str">
            <v>Petr Humlicek</v>
          </cell>
          <cell r="B775">
            <v>1973</v>
          </cell>
          <cell r="C775" t="str">
            <v>Medlánky</v>
          </cell>
          <cell r="D775" t="str">
            <v>CZ/M</v>
          </cell>
          <cell r="E775" t="str">
            <v>M</v>
          </cell>
          <cell r="F775" t="str">
            <v/>
          </cell>
        </row>
        <row r="776">
          <cell r="A776" t="str">
            <v>Petr Hybner</v>
          </cell>
          <cell r="B776">
            <v>1951</v>
          </cell>
          <cell r="C776" t="str">
            <v>Liberec</v>
          </cell>
          <cell r="D776" t="str">
            <v>CZ/C2</v>
          </cell>
          <cell r="E776" t="str">
            <v>M</v>
          </cell>
          <cell r="F776" t="str">
            <v/>
          </cell>
        </row>
        <row r="777">
          <cell r="A777" t="str">
            <v>Petr Jasan</v>
          </cell>
          <cell r="B777">
            <v>1960</v>
          </cell>
          <cell r="C777" t="str">
            <v>Medlánky</v>
          </cell>
          <cell r="D777" t="str">
            <v>CZ/M</v>
          </cell>
          <cell r="E777" t="str">
            <v>M</v>
          </cell>
          <cell r="F777" t="str">
            <v/>
          </cell>
        </row>
        <row r="778">
          <cell r="A778" t="str">
            <v>Petr Jedlicka</v>
          </cell>
          <cell r="B778">
            <v>1987</v>
          </cell>
          <cell r="C778" t="str">
            <v>Medlánky</v>
          </cell>
          <cell r="D778" t="str">
            <v>CZ/M</v>
          </cell>
          <cell r="E778" t="str">
            <v>M</v>
          </cell>
          <cell r="F778" t="str">
            <v/>
          </cell>
        </row>
        <row r="779">
          <cell r="A779" t="str">
            <v>Petr Jiranek 63</v>
          </cell>
          <cell r="B779">
            <v>1962</v>
          </cell>
          <cell r="C779" t="str">
            <v>Toužim</v>
          </cell>
          <cell r="D779" t="str">
            <v>CZ/C1</v>
          </cell>
          <cell r="E779" t="str">
            <v>M</v>
          </cell>
          <cell r="F779" t="str">
            <v/>
          </cell>
        </row>
        <row r="780">
          <cell r="A780" t="str">
            <v>Petr Jiranek 91</v>
          </cell>
          <cell r="B780">
            <v>1991</v>
          </cell>
          <cell r="C780" t="str">
            <v>Toužim</v>
          </cell>
          <cell r="D780" t="str">
            <v>CZ/C1</v>
          </cell>
          <cell r="E780" t="str">
            <v>M</v>
          </cell>
          <cell r="F780" t="str">
            <v/>
          </cell>
        </row>
        <row r="781">
          <cell r="A781" t="str">
            <v>Petr Jirasek</v>
          </cell>
          <cell r="B781">
            <v>1968</v>
          </cell>
          <cell r="C781" t="str">
            <v>Hronov</v>
          </cell>
          <cell r="D781" t="str">
            <v>CZ/C2</v>
          </cell>
          <cell r="E781" t="str">
            <v>M</v>
          </cell>
          <cell r="F781" t="str">
            <v/>
          </cell>
        </row>
        <row r="782">
          <cell r="A782" t="str">
            <v>Petr Kachlik</v>
          </cell>
          <cell r="B782">
            <v>1954</v>
          </cell>
          <cell r="C782" t="str">
            <v>GAC Benešov</v>
          </cell>
          <cell r="D782" t="str">
            <v>CZ/C1</v>
          </cell>
          <cell r="E782" t="str">
            <v>M</v>
          </cell>
          <cell r="F782" t="str">
            <v/>
          </cell>
        </row>
        <row r="783">
          <cell r="A783" t="str">
            <v>Petr Kapounek</v>
          </cell>
          <cell r="B783">
            <v>1977</v>
          </cell>
          <cell r="C783" t="str">
            <v>Kroměříž</v>
          </cell>
          <cell r="D783" t="str">
            <v>CZ/M</v>
          </cell>
          <cell r="E783" t="str">
            <v>M</v>
          </cell>
          <cell r="F783" t="str">
            <v/>
          </cell>
        </row>
        <row r="784">
          <cell r="A784" t="str">
            <v>Petr Kaufmann</v>
          </cell>
          <cell r="B784">
            <v>1958</v>
          </cell>
          <cell r="C784" t="str">
            <v>Nové Město nad Metují</v>
          </cell>
          <cell r="D784" t="str">
            <v>CZ/C2</v>
          </cell>
          <cell r="E784" t="str">
            <v>M</v>
          </cell>
          <cell r="F784" t="str">
            <v/>
          </cell>
        </row>
        <row r="785">
          <cell r="A785" t="str">
            <v>Petr Kejr</v>
          </cell>
          <cell r="B785">
            <v>1959</v>
          </cell>
          <cell r="C785" t="str">
            <v>Kralupy</v>
          </cell>
          <cell r="D785" t="str">
            <v>CZ/C1</v>
          </cell>
          <cell r="E785" t="str">
            <v>M</v>
          </cell>
          <cell r="F785" t="str">
            <v/>
          </cell>
        </row>
        <row r="786">
          <cell r="A786" t="str">
            <v>Petr Kolacek</v>
          </cell>
          <cell r="B786">
            <v>1965</v>
          </cell>
          <cell r="C786" t="str">
            <v>Šumperk</v>
          </cell>
          <cell r="D786" t="str">
            <v>CZ/M</v>
          </cell>
          <cell r="E786" t="str">
            <v>M</v>
          </cell>
          <cell r="F786" t="str">
            <v/>
          </cell>
        </row>
        <row r="787">
          <cell r="A787" t="str">
            <v>Petr Kolomaznik</v>
          </cell>
          <cell r="B787">
            <v>1981</v>
          </cell>
          <cell r="C787" t="str">
            <v>Šumperk</v>
          </cell>
          <cell r="D787" t="str">
            <v>CZ/M</v>
          </cell>
          <cell r="E787" t="str">
            <v>M</v>
          </cell>
          <cell r="F787" t="str">
            <v/>
          </cell>
        </row>
        <row r="788">
          <cell r="A788" t="str">
            <v>Petr Kotal</v>
          </cell>
          <cell r="B788">
            <v>1975</v>
          </cell>
          <cell r="C788" t="str">
            <v>Točná</v>
          </cell>
          <cell r="D788" t="str">
            <v>CZ/C1</v>
          </cell>
          <cell r="E788" t="str">
            <v>M</v>
          </cell>
          <cell r="F788" t="str">
            <v/>
          </cell>
        </row>
        <row r="789">
          <cell r="A789" t="str">
            <v>Petr Koutny</v>
          </cell>
          <cell r="B789">
            <v>1971</v>
          </cell>
          <cell r="C789" t="str">
            <v>Křižanov</v>
          </cell>
          <cell r="D789" t="str">
            <v>CZ/M</v>
          </cell>
          <cell r="E789" t="str">
            <v>M</v>
          </cell>
          <cell r="F789" t="str">
            <v/>
          </cell>
        </row>
        <row r="790">
          <cell r="A790" t="str">
            <v>Petr Kohr</v>
          </cell>
          <cell r="B790">
            <v>1970</v>
          </cell>
          <cell r="C790" t="str">
            <v>Raná</v>
          </cell>
          <cell r="D790" t="str">
            <v>CZ/C2</v>
          </cell>
          <cell r="E790" t="str">
            <v>M</v>
          </cell>
          <cell r="F790" t="str">
            <v/>
          </cell>
        </row>
        <row r="791">
          <cell r="A791" t="str">
            <v>Petr Krejcirik</v>
          </cell>
          <cell r="B791">
            <v>1960</v>
          </cell>
          <cell r="C791" t="str">
            <v>Hranice</v>
          </cell>
          <cell r="D791" t="str">
            <v>CZ/M</v>
          </cell>
          <cell r="E791" t="str">
            <v>M</v>
          </cell>
          <cell r="F791" t="str">
            <v/>
          </cell>
        </row>
        <row r="792">
          <cell r="A792" t="str">
            <v>Petr Kubik 74</v>
          </cell>
          <cell r="B792">
            <v>1974</v>
          </cell>
          <cell r="C792" t="str">
            <v>Křižanov</v>
          </cell>
          <cell r="D792" t="str">
            <v>CZ/M</v>
          </cell>
          <cell r="E792" t="str">
            <v>M</v>
          </cell>
          <cell r="F792" t="str">
            <v/>
          </cell>
        </row>
        <row r="793">
          <cell r="A793" t="str">
            <v>Petr Kubik 75</v>
          </cell>
          <cell r="B793">
            <v>1975</v>
          </cell>
          <cell r="C793" t="str">
            <v>Moravská Třebová</v>
          </cell>
          <cell r="D793" t="str">
            <v>CZ/M</v>
          </cell>
          <cell r="E793" t="str">
            <v>M</v>
          </cell>
          <cell r="F793" t="str">
            <v/>
          </cell>
        </row>
        <row r="794">
          <cell r="A794" t="str">
            <v>Petr Kyzivat</v>
          </cell>
          <cell r="B794">
            <v>1970</v>
          </cell>
          <cell r="C794" t="str">
            <v>Jičín</v>
          </cell>
          <cell r="D794" t="str">
            <v>CZ/C2</v>
          </cell>
          <cell r="E794" t="str">
            <v>M</v>
          </cell>
          <cell r="F794" t="str">
            <v/>
          </cell>
        </row>
        <row r="795">
          <cell r="A795" t="str">
            <v>Petr Lonsky</v>
          </cell>
          <cell r="B795">
            <v>1965</v>
          </cell>
          <cell r="C795" t="str">
            <v>Toužim</v>
          </cell>
          <cell r="D795" t="str">
            <v>CZ/C1</v>
          </cell>
          <cell r="E795" t="str">
            <v>M</v>
          </cell>
          <cell r="F795" t="str">
            <v/>
          </cell>
        </row>
        <row r="796">
          <cell r="A796" t="str">
            <v>Petr Los</v>
          </cell>
          <cell r="B796">
            <v>1961</v>
          </cell>
          <cell r="C796" t="str">
            <v>Toužim</v>
          </cell>
          <cell r="D796" t="str">
            <v>CZ/C1</v>
          </cell>
          <cell r="E796" t="str">
            <v>M</v>
          </cell>
          <cell r="F796" t="str">
            <v/>
          </cell>
        </row>
        <row r="797">
          <cell r="A797" t="str">
            <v>Petr Macicek</v>
          </cell>
          <cell r="B797">
            <v>1976</v>
          </cell>
          <cell r="C797" t="str">
            <v>Frýdlant</v>
          </cell>
          <cell r="D797" t="str">
            <v>CZ/M</v>
          </cell>
          <cell r="E797" t="str">
            <v>M</v>
          </cell>
          <cell r="F797" t="str">
            <v/>
          </cell>
        </row>
        <row r="798">
          <cell r="A798" t="str">
            <v>Petr Malcek</v>
          </cell>
          <cell r="B798">
            <v>1965</v>
          </cell>
          <cell r="C798" t="str">
            <v>Letňany</v>
          </cell>
          <cell r="D798" t="str">
            <v>CZ/C1</v>
          </cell>
          <cell r="E798" t="str">
            <v>M</v>
          </cell>
          <cell r="F798" t="str">
            <v/>
          </cell>
        </row>
        <row r="799">
          <cell r="A799" t="str">
            <v>Petr Masik</v>
          </cell>
          <cell r="B799">
            <v>2001</v>
          </cell>
          <cell r="C799" t="str">
            <v>Zábřeh</v>
          </cell>
          <cell r="D799" t="str">
            <v>CZ/M</v>
          </cell>
          <cell r="E799" t="str">
            <v>M</v>
          </cell>
          <cell r="F799" t="str">
            <v>Junior v roce 2026</v>
          </cell>
        </row>
        <row r="800">
          <cell r="A800" t="str">
            <v>Petr Mitas</v>
          </cell>
          <cell r="B800">
            <v>1993</v>
          </cell>
          <cell r="C800" t="str">
            <v>Kunovice</v>
          </cell>
          <cell r="D800" t="str">
            <v>CZ/M</v>
          </cell>
          <cell r="E800" t="str">
            <v>M</v>
          </cell>
          <cell r="F800" t="str">
            <v/>
          </cell>
        </row>
        <row r="801">
          <cell r="A801" t="str">
            <v>Petr Omelka</v>
          </cell>
          <cell r="B801">
            <v>1970</v>
          </cell>
          <cell r="C801" t="str">
            <v>Vyškov</v>
          </cell>
          <cell r="D801" t="str">
            <v>CZ/M</v>
          </cell>
          <cell r="E801" t="str">
            <v>M</v>
          </cell>
          <cell r="F801" t="str">
            <v/>
          </cell>
        </row>
        <row r="802">
          <cell r="A802" t="str">
            <v>Petr Panek</v>
          </cell>
          <cell r="B802">
            <v>1975</v>
          </cell>
          <cell r="C802" t="str">
            <v>Dvůr Králové</v>
          </cell>
          <cell r="D802" t="str">
            <v>CZ/C2</v>
          </cell>
          <cell r="E802" t="str">
            <v>M</v>
          </cell>
          <cell r="F802" t="str">
            <v/>
          </cell>
        </row>
        <row r="803">
          <cell r="A803" t="str">
            <v>Petr Petricka</v>
          </cell>
          <cell r="B803">
            <v>1972</v>
          </cell>
          <cell r="C803" t="str">
            <v>Soběslav</v>
          </cell>
          <cell r="D803" t="str">
            <v>CZ/C1</v>
          </cell>
          <cell r="E803" t="str">
            <v>M</v>
          </cell>
          <cell r="F803" t="str">
            <v/>
          </cell>
        </row>
        <row r="804">
          <cell r="A804" t="str">
            <v>Petr Prichystal</v>
          </cell>
          <cell r="B804">
            <v>1973</v>
          </cell>
          <cell r="C804" t="str">
            <v>Moravská Třebová</v>
          </cell>
          <cell r="D804" t="str">
            <v>CZ/M</v>
          </cell>
          <cell r="E804" t="str">
            <v>M</v>
          </cell>
          <cell r="F804" t="str">
            <v/>
          </cell>
        </row>
        <row r="805">
          <cell r="A805" t="str">
            <v>Petr Rajda</v>
          </cell>
          <cell r="B805">
            <v>1970</v>
          </cell>
          <cell r="C805" t="str">
            <v>Křižanov</v>
          </cell>
          <cell r="D805" t="str">
            <v>CZ/M</v>
          </cell>
          <cell r="E805" t="str">
            <v>M</v>
          </cell>
          <cell r="F805" t="str">
            <v/>
          </cell>
        </row>
        <row r="806">
          <cell r="A806" t="str">
            <v>Petr Rozhon</v>
          </cell>
          <cell r="B806">
            <v>1972</v>
          </cell>
          <cell r="C806" t="str">
            <v>Hosín</v>
          </cell>
          <cell r="D806" t="str">
            <v>CZ/C1</v>
          </cell>
          <cell r="E806" t="str">
            <v>M</v>
          </cell>
          <cell r="F806" t="str">
            <v/>
          </cell>
        </row>
        <row r="807">
          <cell r="A807" t="str">
            <v>Petr Rygl</v>
          </cell>
          <cell r="B807">
            <v>1966</v>
          </cell>
          <cell r="C807" t="str">
            <v>Jičín</v>
          </cell>
          <cell r="D807" t="str">
            <v>CZ/C2</v>
          </cell>
          <cell r="E807" t="str">
            <v>M</v>
          </cell>
          <cell r="F807" t="str">
            <v/>
          </cell>
        </row>
        <row r="808">
          <cell r="A808" t="str">
            <v>Petr Seibrt</v>
          </cell>
          <cell r="B808">
            <v>1974</v>
          </cell>
          <cell r="C808" t="str">
            <v>Náchod</v>
          </cell>
          <cell r="D808" t="str">
            <v>CZ/C2</v>
          </cell>
          <cell r="E808" t="str">
            <v>M</v>
          </cell>
          <cell r="F808" t="str">
            <v/>
          </cell>
        </row>
        <row r="809">
          <cell r="A809" t="str">
            <v>Petr Sloupensky</v>
          </cell>
          <cell r="B809">
            <v>1959</v>
          </cell>
          <cell r="C809" t="str">
            <v>Ústí nad Orlicí</v>
          </cell>
          <cell r="D809" t="str">
            <v>CZ/C2</v>
          </cell>
          <cell r="E809" t="str">
            <v>M</v>
          </cell>
          <cell r="F809" t="str">
            <v/>
          </cell>
        </row>
        <row r="810">
          <cell r="A810" t="str">
            <v>Petr Starek</v>
          </cell>
          <cell r="B810">
            <v>1974</v>
          </cell>
          <cell r="C810" t="str">
            <v>Zbraslavice</v>
          </cell>
          <cell r="D810" t="str">
            <v>CZ/C1</v>
          </cell>
          <cell r="E810" t="str">
            <v>M</v>
          </cell>
          <cell r="F810" t="str">
            <v/>
          </cell>
        </row>
        <row r="811">
          <cell r="A811" t="str">
            <v>Petr Striz</v>
          </cell>
          <cell r="B811">
            <v>1980</v>
          </cell>
          <cell r="C811" t="str">
            <v>Točná</v>
          </cell>
          <cell r="D811" t="str">
            <v>CZ/C1</v>
          </cell>
          <cell r="E811" t="str">
            <v>M</v>
          </cell>
          <cell r="F811" t="str">
            <v/>
          </cell>
        </row>
        <row r="812">
          <cell r="A812" t="str">
            <v>Petr Svoboda</v>
          </cell>
          <cell r="B812">
            <v>1988</v>
          </cell>
          <cell r="C812" t="str">
            <v>Letkov</v>
          </cell>
          <cell r="D812" t="str">
            <v>CZ/C1</v>
          </cell>
          <cell r="E812" t="str">
            <v>M</v>
          </cell>
          <cell r="F812" t="str">
            <v/>
          </cell>
        </row>
        <row r="813">
          <cell r="A813" t="str">
            <v>Petr Safar</v>
          </cell>
          <cell r="B813">
            <v>1978</v>
          </cell>
          <cell r="C813" t="str">
            <v>Ústí nad Orlicí</v>
          </cell>
          <cell r="D813" t="str">
            <v>CZ/C2</v>
          </cell>
          <cell r="E813" t="str">
            <v>M</v>
          </cell>
          <cell r="F813" t="str">
            <v/>
          </cell>
        </row>
        <row r="814">
          <cell r="A814" t="str">
            <v>Petr Senkyr</v>
          </cell>
          <cell r="B814">
            <v>1965</v>
          </cell>
          <cell r="C814" t="str">
            <v>Kunovice</v>
          </cell>
          <cell r="D814" t="str">
            <v>CZ/M</v>
          </cell>
          <cell r="E814" t="str">
            <v>M</v>
          </cell>
          <cell r="F814" t="str">
            <v/>
          </cell>
        </row>
        <row r="815">
          <cell r="A815" t="str">
            <v>Petr Setka</v>
          </cell>
          <cell r="B815">
            <v>1971</v>
          </cell>
          <cell r="C815" t="str">
            <v>Letkov</v>
          </cell>
          <cell r="D815" t="str">
            <v>CZ/C1</v>
          </cell>
          <cell r="E815" t="str">
            <v>M</v>
          </cell>
          <cell r="F815" t="str">
            <v/>
          </cell>
        </row>
        <row r="816">
          <cell r="A816" t="str">
            <v>Petr Sindelar 45</v>
          </cell>
          <cell r="B816">
            <v>1945</v>
          </cell>
          <cell r="C816" t="str">
            <v>Rakovník</v>
          </cell>
          <cell r="D816" t="str">
            <v>CZ/C1</v>
          </cell>
          <cell r="E816" t="str">
            <v>M</v>
          </cell>
          <cell r="F816" t="str">
            <v/>
          </cell>
        </row>
        <row r="817">
          <cell r="A817" t="str">
            <v>Petr Sindelar 80</v>
          </cell>
          <cell r="B817">
            <v>1980</v>
          </cell>
          <cell r="C817" t="str">
            <v>Letkov</v>
          </cell>
          <cell r="D817" t="str">
            <v>CZ/C1</v>
          </cell>
          <cell r="E817" t="str">
            <v>M</v>
          </cell>
          <cell r="F817" t="str">
            <v/>
          </cell>
        </row>
        <row r="818">
          <cell r="A818" t="str">
            <v>Petr Sochor</v>
          </cell>
          <cell r="B818">
            <v>1986</v>
          </cell>
          <cell r="C818" t="str">
            <v>Hosín</v>
          </cell>
          <cell r="D818" t="str">
            <v>CZ/C1</v>
          </cell>
          <cell r="E818" t="str">
            <v>M</v>
          </cell>
          <cell r="F818" t="str">
            <v/>
          </cell>
        </row>
        <row r="819">
          <cell r="A819" t="str">
            <v>Petr Spunar</v>
          </cell>
          <cell r="B819">
            <v>1966</v>
          </cell>
          <cell r="C819" t="str">
            <v>Mladá Boleslav</v>
          </cell>
          <cell r="D819" t="str">
            <v>CZ/C1</v>
          </cell>
          <cell r="E819" t="str">
            <v>M</v>
          </cell>
          <cell r="F819" t="str">
            <v/>
          </cell>
        </row>
        <row r="820">
          <cell r="A820" t="str">
            <v>Petr Stepanek</v>
          </cell>
          <cell r="B820">
            <v>1989</v>
          </cell>
          <cell r="C820" t="str">
            <v>Moravská Třebová</v>
          </cell>
          <cell r="D820" t="str">
            <v>CZ/M</v>
          </cell>
          <cell r="E820" t="str">
            <v>M</v>
          </cell>
          <cell r="F820" t="str">
            <v/>
          </cell>
        </row>
        <row r="821">
          <cell r="A821" t="str">
            <v>Petr Styblo</v>
          </cell>
          <cell r="B821">
            <v>1975</v>
          </cell>
          <cell r="C821" t="str">
            <v>Letňany</v>
          </cell>
          <cell r="D821" t="str">
            <v>CZ/C1</v>
          </cell>
          <cell r="E821" t="str">
            <v>M</v>
          </cell>
          <cell r="F821" t="str">
            <v/>
          </cell>
        </row>
        <row r="822">
          <cell r="A822" t="str">
            <v>Petr Tax</v>
          </cell>
          <cell r="B822">
            <v>1968</v>
          </cell>
          <cell r="C822" t="str">
            <v>Jičín</v>
          </cell>
          <cell r="D822" t="str">
            <v>CZ/C2</v>
          </cell>
          <cell r="E822" t="str">
            <v>M</v>
          </cell>
          <cell r="F822" t="str">
            <v/>
          </cell>
        </row>
        <row r="823">
          <cell r="A823" t="str">
            <v>Petr Tichy</v>
          </cell>
          <cell r="B823">
            <v>1973</v>
          </cell>
          <cell r="C823" t="str">
            <v>Zbraslavice</v>
          </cell>
          <cell r="D823" t="str">
            <v>CZ/C1</v>
          </cell>
          <cell r="E823" t="str">
            <v>M</v>
          </cell>
          <cell r="F823" t="str">
            <v/>
          </cell>
        </row>
        <row r="824">
          <cell r="A824" t="str">
            <v>Petr Traeger</v>
          </cell>
          <cell r="B824">
            <v>1983</v>
          </cell>
          <cell r="C824" t="str">
            <v>Vrchlabí</v>
          </cell>
          <cell r="D824" t="str">
            <v>CZ/C2</v>
          </cell>
          <cell r="E824" t="str">
            <v>M</v>
          </cell>
          <cell r="F824" t="str">
            <v/>
          </cell>
        </row>
        <row r="825">
          <cell r="A825" t="str">
            <v>Petr Uhrincko</v>
          </cell>
          <cell r="B825">
            <v>1969</v>
          </cell>
          <cell r="C825" t="str">
            <v>Kladno</v>
          </cell>
          <cell r="D825" t="str">
            <v>CZ/C1</v>
          </cell>
          <cell r="E825" t="str">
            <v>M</v>
          </cell>
          <cell r="F825" t="str">
            <v/>
          </cell>
        </row>
        <row r="826">
          <cell r="A826" t="str">
            <v>Petr Valenta 94</v>
          </cell>
          <cell r="B826">
            <v>1994</v>
          </cell>
          <cell r="C826" t="str">
            <v>Kunovice</v>
          </cell>
          <cell r="D826" t="str">
            <v>CZ/M</v>
          </cell>
          <cell r="E826" t="str">
            <v>M</v>
          </cell>
          <cell r="F826" t="str">
            <v/>
          </cell>
        </row>
        <row r="827">
          <cell r="A827" t="str">
            <v>Petr Valenta 76</v>
          </cell>
          <cell r="B827">
            <v>1976</v>
          </cell>
          <cell r="C827" t="str">
            <v>Jaroměř</v>
          </cell>
          <cell r="D827" t="str">
            <v>CZ/C2</v>
          </cell>
          <cell r="E827" t="str">
            <v>M</v>
          </cell>
          <cell r="F827" t="str">
            <v/>
          </cell>
        </row>
        <row r="828">
          <cell r="A828" t="str">
            <v>Petr Velek</v>
          </cell>
          <cell r="B828">
            <v>1975</v>
          </cell>
          <cell r="C828" t="str">
            <v>GAC Benešov</v>
          </cell>
          <cell r="D828" t="str">
            <v>CZ/C1</v>
          </cell>
          <cell r="E828" t="str">
            <v>M</v>
          </cell>
          <cell r="F828" t="str">
            <v/>
          </cell>
        </row>
        <row r="829">
          <cell r="A829" t="str">
            <v>Petr Vezda</v>
          </cell>
          <cell r="B829">
            <v>1974</v>
          </cell>
          <cell r="C829" t="str">
            <v>Medlánky</v>
          </cell>
          <cell r="D829" t="str">
            <v>CZ/M</v>
          </cell>
          <cell r="E829" t="str">
            <v>M</v>
          </cell>
          <cell r="F829" t="str">
            <v/>
          </cell>
        </row>
        <row r="830">
          <cell r="A830" t="str">
            <v>Petr Vlasak</v>
          </cell>
          <cell r="B830">
            <v>1974</v>
          </cell>
          <cell r="C830" t="str">
            <v>Medlánky</v>
          </cell>
          <cell r="D830" t="str">
            <v>CZ/M</v>
          </cell>
          <cell r="E830" t="str">
            <v>M</v>
          </cell>
          <cell r="F830" t="str">
            <v/>
          </cell>
        </row>
        <row r="831">
          <cell r="A831" t="str">
            <v>Petr Vodicka</v>
          </cell>
          <cell r="B831">
            <v>1965</v>
          </cell>
          <cell r="C831" t="str">
            <v>Jaroměř</v>
          </cell>
          <cell r="D831" t="str">
            <v>CZ/C2</v>
          </cell>
          <cell r="E831" t="str">
            <v>M</v>
          </cell>
          <cell r="F831" t="str">
            <v/>
          </cell>
        </row>
        <row r="832">
          <cell r="A832" t="str">
            <v>Petr Weinhauer</v>
          </cell>
          <cell r="B832">
            <v>1977</v>
          </cell>
          <cell r="C832" t="str">
            <v>Tábor</v>
          </cell>
          <cell r="D832" t="str">
            <v>CZ/C1</v>
          </cell>
          <cell r="E832" t="str">
            <v>M</v>
          </cell>
          <cell r="F832" t="str">
            <v/>
          </cell>
        </row>
        <row r="833">
          <cell r="A833" t="str">
            <v>Petr Zajic</v>
          </cell>
          <cell r="B833">
            <v>1962</v>
          </cell>
          <cell r="C833" t="str">
            <v>Liberec</v>
          </cell>
          <cell r="D833" t="str">
            <v>CZ/C2</v>
          </cell>
          <cell r="E833" t="str">
            <v>M</v>
          </cell>
          <cell r="F833" t="str">
            <v/>
          </cell>
        </row>
        <row r="834">
          <cell r="A834" t="str">
            <v>Petra Benesova</v>
          </cell>
          <cell r="B834">
            <v>1985</v>
          </cell>
          <cell r="C834" t="str">
            <v>Beroun</v>
          </cell>
          <cell r="D834" t="str">
            <v>CZ/C1</v>
          </cell>
          <cell r="E834" t="str">
            <v>F</v>
          </cell>
          <cell r="F834" t="str">
            <v/>
          </cell>
        </row>
        <row r="835">
          <cell r="A835" t="str">
            <v>Petra Ctibor</v>
          </cell>
          <cell r="B835">
            <v>1991</v>
          </cell>
          <cell r="C835" t="str">
            <v>Medlánky</v>
          </cell>
          <cell r="D835" t="str">
            <v>CZ/M</v>
          </cell>
          <cell r="E835" t="str">
            <v>F</v>
          </cell>
          <cell r="F835" t="str">
            <v/>
          </cell>
        </row>
        <row r="836">
          <cell r="A836" t="str">
            <v>Petra Diepoldova</v>
          </cell>
          <cell r="B836">
            <v>1978</v>
          </cell>
          <cell r="C836" t="str">
            <v>Vysoké Mýto</v>
          </cell>
          <cell r="D836" t="str">
            <v>CZ/C2</v>
          </cell>
          <cell r="E836" t="str">
            <v>F</v>
          </cell>
          <cell r="F836" t="str">
            <v/>
          </cell>
        </row>
        <row r="837">
          <cell r="A837" t="str">
            <v>Petra Piskata</v>
          </cell>
          <cell r="B837">
            <v>1989</v>
          </cell>
          <cell r="C837" t="str">
            <v>Luhačovice</v>
          </cell>
          <cell r="D837" t="str">
            <v>CZ/M</v>
          </cell>
          <cell r="E837" t="str">
            <v>F</v>
          </cell>
          <cell r="F837" t="str">
            <v/>
          </cell>
        </row>
        <row r="838">
          <cell r="A838" t="str">
            <v>Petra Pinkova</v>
          </cell>
          <cell r="B838">
            <v>1988</v>
          </cell>
          <cell r="C838" t="str">
            <v>Letkov</v>
          </cell>
          <cell r="D838" t="str">
            <v>CZ/C1</v>
          </cell>
          <cell r="E838" t="str">
            <v>F</v>
          </cell>
          <cell r="F838" t="str">
            <v/>
          </cell>
        </row>
        <row r="839">
          <cell r="A839" t="str">
            <v>Petra Retamozova</v>
          </cell>
          <cell r="B839">
            <v>1990</v>
          </cell>
          <cell r="C839" t="str">
            <v>Kralupy</v>
          </cell>
          <cell r="D839" t="str">
            <v>CZ/C1</v>
          </cell>
          <cell r="E839" t="str">
            <v>F</v>
          </cell>
          <cell r="F839" t="str">
            <v/>
          </cell>
        </row>
        <row r="840">
          <cell r="A840" t="str">
            <v>Premek Popovsky</v>
          </cell>
          <cell r="B840">
            <v>1966</v>
          </cell>
          <cell r="C840" t="str">
            <v>Kyjov</v>
          </cell>
          <cell r="D840" t="str">
            <v>CZ/M</v>
          </cell>
          <cell r="E840" t="str">
            <v>M</v>
          </cell>
          <cell r="F840" t="str">
            <v/>
          </cell>
        </row>
        <row r="841">
          <cell r="A841" t="str">
            <v>Premysl Chvoj</v>
          </cell>
          <cell r="B841">
            <v>2003</v>
          </cell>
          <cell r="C841" t="str">
            <v>Zbraslavice</v>
          </cell>
          <cell r="D841" t="str">
            <v>CZ/C1</v>
          </cell>
          <cell r="E841" t="str">
            <v>M</v>
          </cell>
          <cell r="F841" t="str">
            <v>Junior v roce 2026</v>
          </cell>
        </row>
        <row r="842">
          <cell r="A842" t="str">
            <v>Premysl Muzik</v>
          </cell>
          <cell r="B842">
            <v>1990</v>
          </cell>
          <cell r="C842" t="str">
            <v>Tábor</v>
          </cell>
          <cell r="D842" t="str">
            <v>CZ/C1</v>
          </cell>
          <cell r="E842" t="str">
            <v>M</v>
          </cell>
          <cell r="F842" t="str">
            <v/>
          </cell>
        </row>
        <row r="843">
          <cell r="A843" t="str">
            <v>Radek Bares</v>
          </cell>
          <cell r="B843">
            <v>1963</v>
          </cell>
          <cell r="C843" t="str">
            <v>Jičín</v>
          </cell>
          <cell r="D843" t="str">
            <v>CZ/C2</v>
          </cell>
          <cell r="E843" t="str">
            <v>M</v>
          </cell>
          <cell r="F843" t="str">
            <v/>
          </cell>
        </row>
        <row r="844">
          <cell r="A844" t="str">
            <v>Radek Bartos</v>
          </cell>
          <cell r="B844">
            <v>1971</v>
          </cell>
          <cell r="C844" t="str">
            <v>Kolín</v>
          </cell>
          <cell r="D844" t="str">
            <v>CZ/C1</v>
          </cell>
          <cell r="E844" t="str">
            <v>M</v>
          </cell>
          <cell r="F844" t="str">
            <v/>
          </cell>
        </row>
        <row r="845">
          <cell r="A845" t="str">
            <v>Radek Gadas</v>
          </cell>
          <cell r="B845">
            <v>1998</v>
          </cell>
          <cell r="C845" t="str">
            <v>Hodkovice</v>
          </cell>
          <cell r="D845" t="str">
            <v>CZ/C2</v>
          </cell>
          <cell r="E845" t="str">
            <v>M</v>
          </cell>
          <cell r="F845" t="str">
            <v/>
          </cell>
        </row>
        <row r="846">
          <cell r="A846" t="str">
            <v>Radek Hamrla</v>
          </cell>
          <cell r="B846">
            <v>1973</v>
          </cell>
          <cell r="C846" t="str">
            <v>Vyškov</v>
          </cell>
          <cell r="D846" t="str">
            <v>CZ/M</v>
          </cell>
          <cell r="E846" t="str">
            <v>M</v>
          </cell>
          <cell r="F846" t="str">
            <v/>
          </cell>
        </row>
        <row r="847">
          <cell r="A847" t="str">
            <v>Radek Hybl</v>
          </cell>
          <cell r="B847">
            <v>1980</v>
          </cell>
          <cell r="C847" t="str">
            <v>Šumperk</v>
          </cell>
          <cell r="D847" t="str">
            <v>CZ/M</v>
          </cell>
          <cell r="E847" t="str">
            <v>M</v>
          </cell>
          <cell r="F847" t="str">
            <v/>
          </cell>
        </row>
        <row r="848">
          <cell r="A848" t="str">
            <v>Radek Chmela</v>
          </cell>
          <cell r="B848">
            <v>1984</v>
          </cell>
          <cell r="C848" t="str">
            <v>Luhačovice</v>
          </cell>
          <cell r="D848" t="str">
            <v>CZ/M</v>
          </cell>
          <cell r="E848" t="str">
            <v>M</v>
          </cell>
          <cell r="F848" t="str">
            <v/>
          </cell>
        </row>
        <row r="849">
          <cell r="A849" t="str">
            <v>Radek Jaksa</v>
          </cell>
          <cell r="B849">
            <v>1979</v>
          </cell>
          <cell r="C849" t="str">
            <v>Prostějov</v>
          </cell>
          <cell r="D849" t="str">
            <v>CZ/M</v>
          </cell>
          <cell r="E849" t="str">
            <v>M</v>
          </cell>
          <cell r="F849" t="str">
            <v/>
          </cell>
        </row>
        <row r="850">
          <cell r="A850" t="str">
            <v>Radek Krejcirik</v>
          </cell>
          <cell r="B850">
            <v>1991</v>
          </cell>
          <cell r="C850" t="str">
            <v>Hranice</v>
          </cell>
          <cell r="D850" t="str">
            <v>CZ/M</v>
          </cell>
          <cell r="E850" t="str">
            <v>M</v>
          </cell>
          <cell r="F850" t="str">
            <v/>
          </cell>
        </row>
        <row r="851">
          <cell r="A851" t="str">
            <v>Radek Kucirek</v>
          </cell>
          <cell r="B851">
            <v>1973</v>
          </cell>
          <cell r="C851" t="str">
            <v>Havlíčkův Brod</v>
          </cell>
          <cell r="D851" t="str">
            <v>CZ/C2</v>
          </cell>
          <cell r="E851" t="str">
            <v>M</v>
          </cell>
          <cell r="F851" t="str">
            <v/>
          </cell>
        </row>
        <row r="852">
          <cell r="A852" t="str">
            <v>Radek Laga</v>
          </cell>
          <cell r="B852">
            <v>1997</v>
          </cell>
          <cell r="C852" t="str">
            <v>Kunovice</v>
          </cell>
          <cell r="D852" t="str">
            <v>CZ/M</v>
          </cell>
          <cell r="E852" t="str">
            <v>M</v>
          </cell>
          <cell r="F852" t="str">
            <v/>
          </cell>
        </row>
        <row r="853">
          <cell r="A853" t="str">
            <v>Radek Munzar</v>
          </cell>
          <cell r="B853">
            <v>1976</v>
          </cell>
          <cell r="C853" t="str">
            <v>Jaroměř</v>
          </cell>
          <cell r="D853" t="str">
            <v>CZ/C2</v>
          </cell>
          <cell r="E853" t="str">
            <v>M</v>
          </cell>
          <cell r="F853" t="str">
            <v/>
          </cell>
        </row>
        <row r="854">
          <cell r="A854" t="str">
            <v>Radek Tobolka</v>
          </cell>
          <cell r="B854">
            <v>1977</v>
          </cell>
          <cell r="C854" t="str">
            <v>Jičín</v>
          </cell>
          <cell r="D854" t="str">
            <v>CZ/C2</v>
          </cell>
          <cell r="E854" t="str">
            <v>M</v>
          </cell>
          <cell r="F854" t="str">
            <v/>
          </cell>
        </row>
        <row r="855">
          <cell r="A855" t="str">
            <v>Radek Trunec</v>
          </cell>
          <cell r="B855">
            <v>1989</v>
          </cell>
          <cell r="C855" t="str">
            <v>Letkov</v>
          </cell>
          <cell r="D855" t="str">
            <v>CZ/C1</v>
          </cell>
          <cell r="E855" t="str">
            <v>M</v>
          </cell>
          <cell r="F855" t="str">
            <v/>
          </cell>
        </row>
        <row r="856">
          <cell r="A856" t="str">
            <v>Radek Vlcek</v>
          </cell>
          <cell r="B856">
            <v>1982</v>
          </cell>
          <cell r="C856" t="str">
            <v>Šumperk</v>
          </cell>
          <cell r="D856" t="str">
            <v>CZ/M</v>
          </cell>
          <cell r="E856" t="str">
            <v>M</v>
          </cell>
          <cell r="F856" t="str">
            <v/>
          </cell>
        </row>
        <row r="857">
          <cell r="A857" t="str">
            <v>Radek Zima 78</v>
          </cell>
          <cell r="B857">
            <v>1978</v>
          </cell>
          <cell r="C857" t="str">
            <v>Hodkovice</v>
          </cell>
          <cell r="D857" t="str">
            <v>CZ/C2</v>
          </cell>
          <cell r="E857" t="str">
            <v>M</v>
          </cell>
          <cell r="F857" t="str">
            <v/>
          </cell>
        </row>
        <row r="858">
          <cell r="A858" t="str">
            <v>Radek Zima 75</v>
          </cell>
          <cell r="B858">
            <v>1975</v>
          </cell>
          <cell r="C858" t="str">
            <v>Břeclav</v>
          </cell>
          <cell r="D858" t="str">
            <v>CZ/M</v>
          </cell>
          <cell r="E858" t="str">
            <v>M</v>
          </cell>
          <cell r="F858" t="str">
            <v/>
          </cell>
        </row>
        <row r="859">
          <cell r="A859" t="str">
            <v>Radim Bradac</v>
          </cell>
          <cell r="B859">
            <v>1995</v>
          </cell>
          <cell r="C859" t="str">
            <v>Letňany</v>
          </cell>
          <cell r="D859" t="str">
            <v>CZ/C1</v>
          </cell>
          <cell r="E859" t="str">
            <v>M</v>
          </cell>
          <cell r="F859" t="str">
            <v/>
          </cell>
        </row>
        <row r="860">
          <cell r="A860" t="str">
            <v>Radim Hahn</v>
          </cell>
          <cell r="B860">
            <v>1972</v>
          </cell>
          <cell r="C860" t="str">
            <v>Zábřeh</v>
          </cell>
          <cell r="D860" t="str">
            <v>CZ/M</v>
          </cell>
          <cell r="E860" t="str">
            <v>M</v>
          </cell>
          <cell r="F860" t="str">
            <v/>
          </cell>
        </row>
        <row r="861">
          <cell r="A861" t="str">
            <v>Radim Hauptmann</v>
          </cell>
          <cell r="B861">
            <v>1963</v>
          </cell>
          <cell r="C861" t="str">
            <v>Jičín</v>
          </cell>
          <cell r="D861" t="str">
            <v>CZ/C2</v>
          </cell>
          <cell r="E861" t="str">
            <v>M</v>
          </cell>
          <cell r="F861" t="str">
            <v/>
          </cell>
        </row>
        <row r="862">
          <cell r="A862" t="str">
            <v>Radim Jordan</v>
          </cell>
          <cell r="B862">
            <v>1976</v>
          </cell>
          <cell r="C862" t="str">
            <v>Žamberk</v>
          </cell>
          <cell r="D862" t="str">
            <v>CZ/C2</v>
          </cell>
          <cell r="E862" t="str">
            <v>M</v>
          </cell>
          <cell r="F862" t="str">
            <v/>
          </cell>
        </row>
        <row r="863">
          <cell r="A863" t="str">
            <v>Radim Krofta</v>
          </cell>
          <cell r="B863">
            <v>1984</v>
          </cell>
          <cell r="C863" t="str">
            <v>Rakovník</v>
          </cell>
          <cell r="D863" t="str">
            <v>CZ/C1</v>
          </cell>
          <cell r="E863" t="str">
            <v>M</v>
          </cell>
          <cell r="F863" t="str">
            <v/>
          </cell>
        </row>
        <row r="864">
          <cell r="A864" t="str">
            <v>Radim Malatek</v>
          </cell>
          <cell r="B864">
            <v>1978</v>
          </cell>
          <cell r="C864" t="str">
            <v>Beroun</v>
          </cell>
          <cell r="D864" t="str">
            <v>CZ/C1</v>
          </cell>
          <cell r="E864" t="str">
            <v>M</v>
          </cell>
          <cell r="F864" t="str">
            <v/>
          </cell>
        </row>
        <row r="865">
          <cell r="A865" t="str">
            <v>Radim Sobek</v>
          </cell>
          <cell r="B865">
            <v>1977</v>
          </cell>
          <cell r="C865" t="str">
            <v>Hranice</v>
          </cell>
          <cell r="D865" t="str">
            <v>CZ/M</v>
          </cell>
          <cell r="E865" t="str">
            <v>M</v>
          </cell>
          <cell r="F865" t="str">
            <v/>
          </cell>
        </row>
        <row r="866">
          <cell r="A866" t="str">
            <v>Radim Tomala</v>
          </cell>
          <cell r="B866">
            <v>1972</v>
          </cell>
          <cell r="C866" t="str">
            <v>Prostějov</v>
          </cell>
          <cell r="D866" t="str">
            <v>CZ/M</v>
          </cell>
          <cell r="E866" t="str">
            <v>M</v>
          </cell>
          <cell r="F866" t="str">
            <v/>
          </cell>
        </row>
        <row r="867">
          <cell r="A867" t="str">
            <v>Radim Vadasz</v>
          </cell>
          <cell r="B867">
            <v>1989</v>
          </cell>
          <cell r="C867" t="str">
            <v>Soběslav</v>
          </cell>
          <cell r="D867" t="str">
            <v>CZ/C1</v>
          </cell>
          <cell r="E867" t="str">
            <v>M</v>
          </cell>
          <cell r="F867" t="str">
            <v/>
          </cell>
        </row>
        <row r="868">
          <cell r="A868" t="str">
            <v>Radim Zielinski</v>
          </cell>
          <cell r="B868">
            <v>1969</v>
          </cell>
          <cell r="C868" t="str">
            <v>Frýdlant</v>
          </cell>
          <cell r="D868" t="str">
            <v>CZ/M</v>
          </cell>
          <cell r="E868" t="str">
            <v>M</v>
          </cell>
          <cell r="F868" t="str">
            <v/>
          </cell>
        </row>
        <row r="869">
          <cell r="A869" t="str">
            <v>Radmila Horacek Filakovska</v>
          </cell>
          <cell r="B869">
            <v>1963</v>
          </cell>
          <cell r="C869" t="str">
            <v>Dvůr Králové</v>
          </cell>
          <cell r="D869" t="str">
            <v>CZ/C2</v>
          </cell>
          <cell r="E869" t="str">
            <v>F</v>
          </cell>
          <cell r="F869" t="str">
            <v/>
          </cell>
        </row>
        <row r="870">
          <cell r="A870" t="str">
            <v>Radoslav Pur</v>
          </cell>
          <cell r="B870">
            <v>1973</v>
          </cell>
          <cell r="C870" t="str">
            <v>Hosín</v>
          </cell>
          <cell r="D870" t="str">
            <v>CZ/C1</v>
          </cell>
          <cell r="E870" t="str">
            <v>M</v>
          </cell>
          <cell r="F870" t="str">
            <v/>
          </cell>
        </row>
        <row r="871">
          <cell r="A871" t="str">
            <v>Radovan Otto</v>
          </cell>
          <cell r="B871">
            <v>1968</v>
          </cell>
          <cell r="C871" t="str">
            <v>Ústí nad Labem</v>
          </cell>
          <cell r="D871" t="str">
            <v>CZ/C2</v>
          </cell>
          <cell r="E871" t="str">
            <v>M</v>
          </cell>
          <cell r="F871" t="str">
            <v/>
          </cell>
        </row>
        <row r="872">
          <cell r="A872" t="str">
            <v>Radovan Sohr</v>
          </cell>
          <cell r="B872">
            <v>1965</v>
          </cell>
          <cell r="C872" t="str">
            <v>Hranice</v>
          </cell>
          <cell r="D872" t="str">
            <v>CZ/M</v>
          </cell>
          <cell r="E872" t="str">
            <v>M</v>
          </cell>
          <cell r="F872" t="str">
            <v/>
          </cell>
        </row>
        <row r="873">
          <cell r="A873" t="str">
            <v>Rene Hudak</v>
          </cell>
          <cell r="B873">
            <v>1972</v>
          </cell>
          <cell r="C873" t="str">
            <v>Kunovice</v>
          </cell>
          <cell r="D873" t="str">
            <v>CZ/M</v>
          </cell>
          <cell r="E873" t="str">
            <v>M</v>
          </cell>
          <cell r="F873" t="str">
            <v/>
          </cell>
        </row>
        <row r="874">
          <cell r="A874" t="str">
            <v>Rene Picha</v>
          </cell>
          <cell r="B874">
            <v>1970</v>
          </cell>
          <cell r="C874" t="str">
            <v>Vlašim</v>
          </cell>
          <cell r="D874" t="str">
            <v>CZ/C1</v>
          </cell>
          <cell r="E874" t="str">
            <v>M</v>
          </cell>
          <cell r="F874" t="str">
            <v/>
          </cell>
        </row>
        <row r="875">
          <cell r="A875" t="str">
            <v>Richard Jensen</v>
          </cell>
          <cell r="B875">
            <v>1965</v>
          </cell>
          <cell r="C875" t="str">
            <v>Zbraslavice</v>
          </cell>
          <cell r="D875" t="str">
            <v>CZ/C1</v>
          </cell>
          <cell r="E875" t="str">
            <v>M</v>
          </cell>
          <cell r="F875" t="str">
            <v/>
          </cell>
        </row>
        <row r="876">
          <cell r="A876" t="str">
            <v>Richard Svarovsky</v>
          </cell>
          <cell r="B876">
            <v>1976</v>
          </cell>
          <cell r="C876" t="str">
            <v>Zábřeh</v>
          </cell>
          <cell r="D876" t="str">
            <v>CZ/M</v>
          </cell>
          <cell r="E876" t="str">
            <v>M</v>
          </cell>
          <cell r="F876" t="str">
            <v/>
          </cell>
        </row>
        <row r="877">
          <cell r="A877" t="str">
            <v>Richard Vlcek</v>
          </cell>
          <cell r="B877">
            <v>1993</v>
          </cell>
          <cell r="C877" t="str">
            <v>Kunovice</v>
          </cell>
          <cell r="D877" t="str">
            <v>CZ/M</v>
          </cell>
          <cell r="E877" t="str">
            <v>M</v>
          </cell>
          <cell r="F877" t="str">
            <v/>
          </cell>
        </row>
        <row r="878">
          <cell r="A878" t="str">
            <v>Robert Jandera</v>
          </cell>
          <cell r="B878">
            <v>1976</v>
          </cell>
          <cell r="C878" t="str">
            <v>Hodkovice</v>
          </cell>
          <cell r="D878" t="str">
            <v>CZ/C2</v>
          </cell>
          <cell r="E878" t="str">
            <v>M</v>
          </cell>
          <cell r="F878" t="str">
            <v/>
          </cell>
        </row>
        <row r="879">
          <cell r="A879" t="str">
            <v>Robert Sima</v>
          </cell>
          <cell r="B879">
            <v>1971</v>
          </cell>
          <cell r="C879" t="str">
            <v>GAC Benešov</v>
          </cell>
          <cell r="D879" t="str">
            <v>CZ/C1</v>
          </cell>
          <cell r="E879" t="str">
            <v>M</v>
          </cell>
          <cell r="F879" t="str">
            <v/>
          </cell>
        </row>
        <row r="880">
          <cell r="A880" t="str">
            <v>Robin Stichenwirth</v>
          </cell>
          <cell r="B880">
            <v>1984</v>
          </cell>
          <cell r="C880" t="str">
            <v>Letkov</v>
          </cell>
          <cell r="D880" t="str">
            <v>CZ/C1</v>
          </cell>
          <cell r="E880" t="str">
            <v>M</v>
          </cell>
          <cell r="F880" t="str">
            <v/>
          </cell>
        </row>
        <row r="881">
          <cell r="A881" t="str">
            <v>Roman Bradac</v>
          </cell>
          <cell r="B881">
            <v>1974</v>
          </cell>
          <cell r="C881" t="str">
            <v>Rakovník</v>
          </cell>
          <cell r="D881" t="str">
            <v>CZ/C1</v>
          </cell>
          <cell r="E881" t="str">
            <v>M</v>
          </cell>
          <cell r="F881" t="str">
            <v/>
          </cell>
        </row>
        <row r="882">
          <cell r="A882" t="str">
            <v>Roman Cerny</v>
          </cell>
          <cell r="B882">
            <v>1971</v>
          </cell>
          <cell r="C882" t="str">
            <v>Hranice</v>
          </cell>
          <cell r="D882" t="str">
            <v>CZ/M</v>
          </cell>
          <cell r="E882" t="str">
            <v>M</v>
          </cell>
          <cell r="F882" t="str">
            <v/>
          </cell>
        </row>
        <row r="883">
          <cell r="A883" t="str">
            <v>Roman Huszar</v>
          </cell>
          <cell r="B883">
            <v>1963</v>
          </cell>
          <cell r="C883" t="str">
            <v>Letňany</v>
          </cell>
          <cell r="D883" t="str">
            <v>CZ/C1</v>
          </cell>
          <cell r="E883" t="str">
            <v>M</v>
          </cell>
          <cell r="F883" t="str">
            <v/>
          </cell>
        </row>
        <row r="884">
          <cell r="A884" t="str">
            <v>Roman Jokl</v>
          </cell>
          <cell r="B884">
            <v>1979</v>
          </cell>
          <cell r="C884" t="str">
            <v>Letkov</v>
          </cell>
          <cell r="D884" t="str">
            <v>CZ/C1</v>
          </cell>
          <cell r="E884" t="str">
            <v>M</v>
          </cell>
          <cell r="F884" t="str">
            <v/>
          </cell>
        </row>
        <row r="885">
          <cell r="A885" t="str">
            <v>Roman Konarik</v>
          </cell>
          <cell r="B885">
            <v>1976</v>
          </cell>
          <cell r="C885" t="str">
            <v>Luhačovice</v>
          </cell>
          <cell r="D885" t="str">
            <v>CZ/M</v>
          </cell>
          <cell r="E885" t="str">
            <v>M</v>
          </cell>
          <cell r="F885" t="str">
            <v/>
          </cell>
        </row>
        <row r="886">
          <cell r="A886" t="str">
            <v>Roman Lanzendorf</v>
          </cell>
          <cell r="B886">
            <v>1964</v>
          </cell>
          <cell r="C886" t="str">
            <v>Letkov</v>
          </cell>
          <cell r="D886" t="str">
            <v>CZ/C1</v>
          </cell>
          <cell r="E886" t="str">
            <v>M</v>
          </cell>
          <cell r="F886" t="str">
            <v/>
          </cell>
        </row>
        <row r="887">
          <cell r="A887" t="str">
            <v>Roman Lengal</v>
          </cell>
          <cell r="B887">
            <v>1987</v>
          </cell>
          <cell r="C887" t="str">
            <v>Břeclav</v>
          </cell>
          <cell r="D887" t="str">
            <v>CZ/M</v>
          </cell>
          <cell r="E887" t="str">
            <v>M</v>
          </cell>
          <cell r="F887" t="str">
            <v/>
          </cell>
        </row>
        <row r="888">
          <cell r="A888" t="str">
            <v>Roman Lukes</v>
          </cell>
          <cell r="B888">
            <v>1979</v>
          </cell>
          <cell r="C888" t="str">
            <v>Přibyslav</v>
          </cell>
          <cell r="D888" t="str">
            <v>CZ/C2</v>
          </cell>
          <cell r="E888" t="str">
            <v>M</v>
          </cell>
          <cell r="F888" t="str">
            <v/>
          </cell>
        </row>
        <row r="889">
          <cell r="A889" t="str">
            <v>Roman Michalek</v>
          </cell>
          <cell r="B889">
            <v>1974</v>
          </cell>
          <cell r="C889" t="str">
            <v>Toužim</v>
          </cell>
          <cell r="D889" t="str">
            <v>CZ/C1</v>
          </cell>
          <cell r="E889" t="str">
            <v>M</v>
          </cell>
          <cell r="F889" t="str">
            <v/>
          </cell>
        </row>
        <row r="890">
          <cell r="A890" t="str">
            <v>Roman Mracek</v>
          </cell>
          <cell r="B890">
            <v>1980</v>
          </cell>
          <cell r="C890" t="str">
            <v>Letkov</v>
          </cell>
          <cell r="D890" t="str">
            <v>CZ/C1</v>
          </cell>
          <cell r="E890" t="str">
            <v>M</v>
          </cell>
          <cell r="F890" t="str">
            <v/>
          </cell>
        </row>
        <row r="891">
          <cell r="A891" t="str">
            <v>Roman Schotli</v>
          </cell>
          <cell r="B891">
            <v>1970</v>
          </cell>
          <cell r="C891" t="str">
            <v>Hranice</v>
          </cell>
          <cell r="D891" t="str">
            <v>CZ/M</v>
          </cell>
          <cell r="E891" t="str">
            <v>M</v>
          </cell>
          <cell r="F891" t="str">
            <v/>
          </cell>
        </row>
        <row r="892">
          <cell r="A892" t="str">
            <v>Roman Stoklasa</v>
          </cell>
          <cell r="B892">
            <v>1984</v>
          </cell>
          <cell r="C892" t="str">
            <v>Medlánky</v>
          </cell>
          <cell r="D892" t="str">
            <v>CZ/M</v>
          </cell>
          <cell r="E892" t="str">
            <v>M</v>
          </cell>
          <cell r="F892" t="str">
            <v/>
          </cell>
        </row>
        <row r="893">
          <cell r="A893" t="str">
            <v>Rostislav Broz</v>
          </cell>
          <cell r="B893">
            <v>1968</v>
          </cell>
          <cell r="C893" t="str">
            <v>Vrchlabí</v>
          </cell>
          <cell r="D893" t="str">
            <v>CZ/C2</v>
          </cell>
          <cell r="E893" t="str">
            <v>M</v>
          </cell>
          <cell r="F893" t="str">
            <v/>
          </cell>
        </row>
        <row r="894">
          <cell r="A894" t="str">
            <v>Rostislav Fric</v>
          </cell>
          <cell r="B894">
            <v>1973</v>
          </cell>
          <cell r="C894" t="str">
            <v>Raná</v>
          </cell>
          <cell r="D894" t="str">
            <v>CZ/C2</v>
          </cell>
          <cell r="E894" t="str">
            <v>M</v>
          </cell>
          <cell r="F894" t="str">
            <v/>
          </cell>
        </row>
        <row r="895">
          <cell r="A895" t="str">
            <v>Rostislav Konderla</v>
          </cell>
          <cell r="B895">
            <v>1972</v>
          </cell>
          <cell r="C895" t="str">
            <v>Rakovník</v>
          </cell>
          <cell r="D895" t="str">
            <v>CZ/C1</v>
          </cell>
          <cell r="E895" t="str">
            <v>M</v>
          </cell>
          <cell r="F895" t="str">
            <v/>
          </cell>
        </row>
        <row r="896">
          <cell r="A896" t="str">
            <v>Rostislav Matl</v>
          </cell>
          <cell r="B896">
            <v>1972</v>
          </cell>
          <cell r="C896" t="str">
            <v>Vyškov</v>
          </cell>
          <cell r="D896" t="str">
            <v>CZ/M</v>
          </cell>
          <cell r="E896" t="str">
            <v>M</v>
          </cell>
          <cell r="F896" t="str">
            <v/>
          </cell>
        </row>
        <row r="897">
          <cell r="A897" t="str">
            <v>Rostislav Stryk</v>
          </cell>
          <cell r="B897">
            <v>1972</v>
          </cell>
          <cell r="C897" t="str">
            <v>Frýdlant</v>
          </cell>
          <cell r="D897" t="str">
            <v>CZ/M</v>
          </cell>
          <cell r="E897" t="str">
            <v>M</v>
          </cell>
          <cell r="F897" t="str">
            <v/>
          </cell>
        </row>
        <row r="898">
          <cell r="A898" t="str">
            <v>Rostislav Subert</v>
          </cell>
          <cell r="B898">
            <v>1982</v>
          </cell>
          <cell r="C898" t="str">
            <v>Šumperk</v>
          </cell>
          <cell r="D898" t="str">
            <v>CZ/M</v>
          </cell>
          <cell r="E898" t="str">
            <v>M</v>
          </cell>
          <cell r="F898" t="str">
            <v/>
          </cell>
        </row>
        <row r="899">
          <cell r="A899" t="str">
            <v>Rudolf Ferbar</v>
          </cell>
          <cell r="B899">
            <v>1969</v>
          </cell>
          <cell r="C899" t="str">
            <v>Moravská Třebová</v>
          </cell>
          <cell r="D899" t="str">
            <v>CZ/M</v>
          </cell>
          <cell r="E899" t="str">
            <v>M</v>
          </cell>
          <cell r="F899" t="str">
            <v/>
          </cell>
        </row>
        <row r="900">
          <cell r="A900" t="str">
            <v>Rudolf Jung</v>
          </cell>
          <cell r="B900">
            <v>1954</v>
          </cell>
          <cell r="C900" t="str">
            <v>Zbraslavice</v>
          </cell>
          <cell r="D900" t="str">
            <v>CZ/C1</v>
          </cell>
          <cell r="E900" t="str">
            <v>M</v>
          </cell>
          <cell r="F900" t="str">
            <v/>
          </cell>
        </row>
        <row r="901">
          <cell r="A901" t="str">
            <v>Sabina Vitova</v>
          </cell>
          <cell r="B901">
            <v>1998</v>
          </cell>
          <cell r="C901" t="str">
            <v>Kroměříž</v>
          </cell>
          <cell r="D901" t="str">
            <v>CZ/M</v>
          </cell>
          <cell r="E901" t="str">
            <v>F</v>
          </cell>
          <cell r="F901" t="str">
            <v/>
          </cell>
        </row>
        <row r="902">
          <cell r="A902" t="str">
            <v>Slavomir Piskaty 58</v>
          </cell>
          <cell r="B902">
            <v>1958</v>
          </cell>
          <cell r="C902" t="str">
            <v>Kunovice</v>
          </cell>
          <cell r="D902" t="str">
            <v>CZ/M</v>
          </cell>
          <cell r="E902" t="str">
            <v>M</v>
          </cell>
          <cell r="F902" t="str">
            <v/>
          </cell>
        </row>
        <row r="903">
          <cell r="A903" t="str">
            <v>Slavomir Piskaty 84</v>
          </cell>
          <cell r="B903">
            <v>1984</v>
          </cell>
          <cell r="C903" t="str">
            <v>Kunovice</v>
          </cell>
          <cell r="D903" t="str">
            <v>CZ/M</v>
          </cell>
          <cell r="E903" t="str">
            <v>M</v>
          </cell>
          <cell r="F903" t="str">
            <v/>
          </cell>
        </row>
        <row r="904">
          <cell r="A904" t="str">
            <v>Slavomir Tanglmajer</v>
          </cell>
          <cell r="B904">
            <v>1966</v>
          </cell>
          <cell r="C904" t="str">
            <v>Chomutov</v>
          </cell>
          <cell r="D904" t="str">
            <v>CZ/C2</v>
          </cell>
          <cell r="E904" t="str">
            <v>M</v>
          </cell>
          <cell r="F904" t="str">
            <v/>
          </cell>
        </row>
        <row r="905">
          <cell r="A905" t="str">
            <v>Slavomir Valecko</v>
          </cell>
          <cell r="B905">
            <v>1960</v>
          </cell>
          <cell r="C905" t="str">
            <v>Hranice</v>
          </cell>
          <cell r="D905" t="str">
            <v>CZ/M</v>
          </cell>
          <cell r="E905" t="str">
            <v>M</v>
          </cell>
          <cell r="F905" t="str">
            <v/>
          </cell>
        </row>
        <row r="906">
          <cell r="A906" t="str">
            <v>Sona Fortova</v>
          </cell>
          <cell r="B906">
            <v>1980</v>
          </cell>
          <cell r="C906" t="str">
            <v>GAC Benešov</v>
          </cell>
          <cell r="D906" t="str">
            <v>CZ/C1</v>
          </cell>
          <cell r="E906" t="str">
            <v>F</v>
          </cell>
          <cell r="F906" t="str">
            <v/>
          </cell>
        </row>
        <row r="907">
          <cell r="A907" t="str">
            <v>Stanislav Doskocil</v>
          </cell>
          <cell r="B907">
            <v>1978</v>
          </cell>
          <cell r="C907" t="str">
            <v>Medlánky</v>
          </cell>
          <cell r="D907" t="str">
            <v>CZ/M</v>
          </cell>
          <cell r="E907" t="str">
            <v>M</v>
          </cell>
          <cell r="F907" t="str">
            <v/>
          </cell>
        </row>
        <row r="908">
          <cell r="A908" t="str">
            <v>Stanislav Hanus</v>
          </cell>
          <cell r="B908">
            <v>1970</v>
          </cell>
          <cell r="C908" t="str">
            <v>Vrchlabí</v>
          </cell>
          <cell r="D908" t="str">
            <v>CZ/C2</v>
          </cell>
          <cell r="E908" t="str">
            <v>M</v>
          </cell>
          <cell r="F908" t="str">
            <v/>
          </cell>
        </row>
        <row r="909">
          <cell r="A909" t="str">
            <v>Stanislav Honzatko</v>
          </cell>
          <cell r="B909">
            <v>1952</v>
          </cell>
          <cell r="C909" t="str">
            <v>Slaný</v>
          </cell>
          <cell r="D909" t="str">
            <v>CZ/C1</v>
          </cell>
          <cell r="E909" t="str">
            <v>M</v>
          </cell>
          <cell r="F909" t="str">
            <v/>
          </cell>
        </row>
        <row r="910">
          <cell r="A910" t="str">
            <v>Stanislav John</v>
          </cell>
          <cell r="B910">
            <v>1974</v>
          </cell>
          <cell r="C910" t="str">
            <v>Hosín</v>
          </cell>
          <cell r="D910" t="str">
            <v>CZ/C1</v>
          </cell>
          <cell r="E910" t="str">
            <v>M</v>
          </cell>
          <cell r="F910" t="str">
            <v/>
          </cell>
        </row>
        <row r="911">
          <cell r="A911" t="str">
            <v>Stanislav Kubicek</v>
          </cell>
          <cell r="B911">
            <v>1960</v>
          </cell>
          <cell r="C911" t="str">
            <v>Medlánky</v>
          </cell>
          <cell r="D911" t="str">
            <v>CZ/M</v>
          </cell>
          <cell r="E911" t="str">
            <v>M</v>
          </cell>
          <cell r="F911" t="str">
            <v/>
          </cell>
        </row>
        <row r="912">
          <cell r="A912" t="str">
            <v>Stanislav Poslusny</v>
          </cell>
          <cell r="B912">
            <v>1965</v>
          </cell>
          <cell r="C912" t="str">
            <v>GAC Benešov</v>
          </cell>
          <cell r="D912" t="str">
            <v>CZ/C1</v>
          </cell>
          <cell r="E912" t="str">
            <v>M</v>
          </cell>
          <cell r="F912" t="str">
            <v/>
          </cell>
        </row>
        <row r="913">
          <cell r="A913" t="str">
            <v>Stanislav Vrabec</v>
          </cell>
          <cell r="B913">
            <v>1975</v>
          </cell>
          <cell r="C913" t="str">
            <v>Česká Lípa</v>
          </cell>
          <cell r="D913" t="str">
            <v>CZ/C2</v>
          </cell>
          <cell r="E913" t="str">
            <v>M</v>
          </cell>
          <cell r="F913" t="str">
            <v/>
          </cell>
        </row>
        <row r="914">
          <cell r="A914" t="str">
            <v>Stanislava Zemlickova</v>
          </cell>
          <cell r="B914">
            <v>2000</v>
          </cell>
          <cell r="C914" t="str">
            <v>Vyškov</v>
          </cell>
          <cell r="D914" t="str">
            <v>CZ/M</v>
          </cell>
          <cell r="E914" t="str">
            <v>F</v>
          </cell>
          <cell r="F914" t="str">
            <v/>
          </cell>
        </row>
        <row r="915">
          <cell r="A915" t="str">
            <v>Svatopluk Tomsu</v>
          </cell>
          <cell r="B915">
            <v>1973</v>
          </cell>
          <cell r="C915" t="str">
            <v>Jaroměř</v>
          </cell>
          <cell r="D915" t="str">
            <v>CZ/C2</v>
          </cell>
          <cell r="E915" t="str">
            <v>M</v>
          </cell>
          <cell r="F915" t="str">
            <v/>
          </cell>
        </row>
        <row r="916">
          <cell r="A916" t="str">
            <v>Sarka Lochova</v>
          </cell>
          <cell r="B916">
            <v>1966</v>
          </cell>
          <cell r="C916" t="str">
            <v>Šumperk</v>
          </cell>
          <cell r="D916" t="str">
            <v>CZ/M</v>
          </cell>
          <cell r="E916" t="str">
            <v>F</v>
          </cell>
          <cell r="F916" t="str">
            <v/>
          </cell>
        </row>
        <row r="917">
          <cell r="A917" t="str">
            <v>Stefan Uher</v>
          </cell>
          <cell r="B917">
            <v>1968</v>
          </cell>
          <cell r="C917" t="str">
            <v>Turnov</v>
          </cell>
          <cell r="D917" t="str">
            <v>CZ/C2</v>
          </cell>
          <cell r="E917" t="str">
            <v>M</v>
          </cell>
          <cell r="F917" t="str">
            <v/>
          </cell>
        </row>
        <row r="918">
          <cell r="A918" t="str">
            <v>Stepan Bartos</v>
          </cell>
          <cell r="B918">
            <v>2004</v>
          </cell>
          <cell r="C918" t="str">
            <v>Kolín</v>
          </cell>
          <cell r="D918" t="str">
            <v>CZ/C1</v>
          </cell>
          <cell r="E918" t="str">
            <v>M</v>
          </cell>
          <cell r="F918" t="str">
            <v>Junior v roce 2026</v>
          </cell>
        </row>
        <row r="919">
          <cell r="A919" t="str">
            <v>Stepan Capek</v>
          </cell>
          <cell r="B919">
            <v>1960</v>
          </cell>
          <cell r="C919" t="str">
            <v>Jičín</v>
          </cell>
          <cell r="D919" t="str">
            <v>CZ/C2</v>
          </cell>
          <cell r="E919" t="str">
            <v>M</v>
          </cell>
          <cell r="F919" t="str">
            <v/>
          </cell>
        </row>
        <row r="920">
          <cell r="A920" t="str">
            <v>Stepan Filakovsky</v>
          </cell>
          <cell r="B920">
            <v>2005</v>
          </cell>
          <cell r="C920" t="str">
            <v>Medlánky</v>
          </cell>
          <cell r="D920" t="str">
            <v>CZ/M</v>
          </cell>
          <cell r="E920" t="str">
            <v>M</v>
          </cell>
          <cell r="F920" t="str">
            <v>Junior v roce 2026</v>
          </cell>
        </row>
        <row r="921">
          <cell r="A921" t="str">
            <v>Stepan Matous</v>
          </cell>
          <cell r="B921">
            <v>1980</v>
          </cell>
          <cell r="C921" t="str">
            <v>Dvůr Králové</v>
          </cell>
          <cell r="D921" t="str">
            <v>CZ/C2</v>
          </cell>
          <cell r="E921" t="str">
            <v>M</v>
          </cell>
          <cell r="F921" t="str">
            <v/>
          </cell>
        </row>
        <row r="922">
          <cell r="A922" t="str">
            <v>Stepan Obrovsky</v>
          </cell>
          <cell r="B922">
            <v>1990</v>
          </cell>
          <cell r="C922" t="str">
            <v>Frýdlant</v>
          </cell>
          <cell r="D922" t="str">
            <v>CZ/M</v>
          </cell>
          <cell r="E922" t="str">
            <v>M</v>
          </cell>
          <cell r="F922" t="str">
            <v/>
          </cell>
        </row>
        <row r="923">
          <cell r="A923" t="str">
            <v>Teodor Skoda</v>
          </cell>
          <cell r="B923">
            <v>1998</v>
          </cell>
          <cell r="C923" t="str">
            <v>Hronov</v>
          </cell>
          <cell r="D923" t="str">
            <v>CZ/C2</v>
          </cell>
          <cell r="E923" t="str">
            <v>M</v>
          </cell>
          <cell r="F923" t="str">
            <v/>
          </cell>
        </row>
        <row r="924">
          <cell r="A924" t="str">
            <v>Tereza Jirsakova</v>
          </cell>
          <cell r="B924">
            <v>1997</v>
          </cell>
          <cell r="C924" t="str">
            <v>Hronov</v>
          </cell>
          <cell r="D924" t="str">
            <v>CZ/C2</v>
          </cell>
          <cell r="E924" t="str">
            <v>F</v>
          </cell>
          <cell r="F924" t="str">
            <v/>
          </cell>
        </row>
        <row r="925">
          <cell r="A925" t="str">
            <v>Tereza Koubkova</v>
          </cell>
          <cell r="B925">
            <v>1999</v>
          </cell>
          <cell r="C925" t="str">
            <v>Vysoké Mýto</v>
          </cell>
          <cell r="D925" t="str">
            <v>CZ/C2</v>
          </cell>
          <cell r="E925" t="str">
            <v>F</v>
          </cell>
          <cell r="F925" t="str">
            <v/>
          </cell>
        </row>
        <row r="926">
          <cell r="A926" t="str">
            <v>Tereza Krcilova Spalenkova</v>
          </cell>
          <cell r="B926">
            <v>1981</v>
          </cell>
          <cell r="C926" t="str">
            <v>Raná</v>
          </cell>
          <cell r="D926" t="str">
            <v>CZ/C2</v>
          </cell>
          <cell r="E926" t="str">
            <v>F</v>
          </cell>
          <cell r="F926" t="str">
            <v/>
          </cell>
        </row>
        <row r="927">
          <cell r="A927" t="str">
            <v>Tereza Ludvikova</v>
          </cell>
          <cell r="B927">
            <v>1997</v>
          </cell>
          <cell r="C927" t="str">
            <v>Jaroměř</v>
          </cell>
          <cell r="D927" t="str">
            <v>CZ/C2</v>
          </cell>
          <cell r="E927" t="str">
            <v>F</v>
          </cell>
          <cell r="F927" t="str">
            <v/>
          </cell>
        </row>
        <row r="928">
          <cell r="A928" t="str">
            <v>Tereza Novakova</v>
          </cell>
          <cell r="B928">
            <v>1993</v>
          </cell>
          <cell r="C928" t="str">
            <v>Chrudim</v>
          </cell>
          <cell r="D928" t="str">
            <v>CZ/C2</v>
          </cell>
          <cell r="E928" t="str">
            <v>F</v>
          </cell>
          <cell r="F928" t="str">
            <v/>
          </cell>
        </row>
        <row r="929">
          <cell r="A929" t="str">
            <v>Tibor Hezina</v>
          </cell>
          <cell r="B929">
            <v>2002</v>
          </cell>
          <cell r="C929" t="str">
            <v>Křižanov</v>
          </cell>
          <cell r="D929" t="str">
            <v>CZ/M</v>
          </cell>
          <cell r="E929" t="str">
            <v>M</v>
          </cell>
          <cell r="F929" t="str">
            <v>Junior v roce 2026</v>
          </cell>
        </row>
        <row r="930">
          <cell r="A930" t="str">
            <v>Tibor Hruza</v>
          </cell>
          <cell r="B930">
            <v>1970</v>
          </cell>
          <cell r="C930" t="str">
            <v>Letkov</v>
          </cell>
          <cell r="D930" t="str">
            <v>CZ/C1</v>
          </cell>
          <cell r="E930" t="str">
            <v>M</v>
          </cell>
          <cell r="F930" t="str">
            <v/>
          </cell>
        </row>
        <row r="931">
          <cell r="A931" t="str">
            <v>Tim Raasch</v>
          </cell>
          <cell r="B931">
            <v>2000</v>
          </cell>
          <cell r="C931" t="str">
            <v>Polička</v>
          </cell>
          <cell r="D931" t="str">
            <v>CZ/C2</v>
          </cell>
          <cell r="E931" t="str">
            <v>M</v>
          </cell>
          <cell r="F931" t="str">
            <v/>
          </cell>
        </row>
        <row r="932">
          <cell r="A932" t="str">
            <v>Tomas Barton</v>
          </cell>
          <cell r="B932">
            <v>1982</v>
          </cell>
          <cell r="C932" t="str">
            <v>Hosín</v>
          </cell>
          <cell r="D932" t="str">
            <v>CZ/C1</v>
          </cell>
          <cell r="E932" t="str">
            <v>M</v>
          </cell>
          <cell r="F932" t="str">
            <v/>
          </cell>
        </row>
        <row r="933">
          <cell r="A933" t="str">
            <v>Tomas Buben</v>
          </cell>
          <cell r="B933">
            <v>1971</v>
          </cell>
          <cell r="C933" t="str">
            <v>Jaroměř</v>
          </cell>
          <cell r="D933" t="str">
            <v>CZ/C2</v>
          </cell>
          <cell r="E933" t="str">
            <v>M</v>
          </cell>
          <cell r="F933" t="str">
            <v/>
          </cell>
        </row>
        <row r="934">
          <cell r="A934" t="str">
            <v>Tomas Ditrt</v>
          </cell>
          <cell r="B934">
            <v>1969</v>
          </cell>
          <cell r="C934" t="str">
            <v>Podhořany</v>
          </cell>
          <cell r="D934" t="str">
            <v>CZ/C2</v>
          </cell>
          <cell r="E934" t="str">
            <v>M</v>
          </cell>
          <cell r="F934" t="str">
            <v/>
          </cell>
        </row>
        <row r="935">
          <cell r="A935" t="str">
            <v>Tomas Fiala 72</v>
          </cell>
          <cell r="B935">
            <v>1972</v>
          </cell>
          <cell r="C935" t="str">
            <v>Křižanov</v>
          </cell>
          <cell r="D935" t="str">
            <v>CZ/M</v>
          </cell>
          <cell r="E935" t="str">
            <v>M</v>
          </cell>
          <cell r="F935" t="str">
            <v/>
          </cell>
        </row>
        <row r="936">
          <cell r="A936" t="str">
            <v>Tomas Fiala 77</v>
          </cell>
          <cell r="B936">
            <v>1977</v>
          </cell>
          <cell r="C936" t="str">
            <v>Luhačovice</v>
          </cell>
          <cell r="D936" t="str">
            <v>CZ/M</v>
          </cell>
          <cell r="E936" t="str">
            <v>M</v>
          </cell>
          <cell r="F936" t="str">
            <v/>
          </cell>
        </row>
        <row r="937">
          <cell r="A937" t="str">
            <v>Tomas Fila</v>
          </cell>
          <cell r="B937">
            <v>1987</v>
          </cell>
          <cell r="C937" t="str">
            <v>Beroun</v>
          </cell>
          <cell r="D937" t="str">
            <v>CZ/C1</v>
          </cell>
          <cell r="E937" t="str">
            <v>M</v>
          </cell>
          <cell r="F937" t="str">
            <v/>
          </cell>
        </row>
        <row r="938">
          <cell r="A938" t="str">
            <v>Tomas Flegl</v>
          </cell>
          <cell r="B938">
            <v>1987</v>
          </cell>
          <cell r="C938" t="str">
            <v>Hodkovice</v>
          </cell>
          <cell r="D938" t="str">
            <v>CZ/C2</v>
          </cell>
          <cell r="E938" t="str">
            <v>M</v>
          </cell>
          <cell r="F938" t="str">
            <v/>
          </cell>
        </row>
        <row r="939">
          <cell r="A939" t="str">
            <v>Tomas Frinta</v>
          </cell>
          <cell r="B939">
            <v>1970</v>
          </cell>
          <cell r="C939" t="str">
            <v>Hodkovice</v>
          </cell>
          <cell r="D939" t="str">
            <v>CZ/C2</v>
          </cell>
          <cell r="E939" t="str">
            <v>M</v>
          </cell>
          <cell r="F939" t="str">
            <v/>
          </cell>
        </row>
        <row r="940">
          <cell r="A940" t="str">
            <v>Tomas Hlavacek</v>
          </cell>
          <cell r="B940">
            <v>1984</v>
          </cell>
          <cell r="C940" t="str">
            <v>Mladá Boleslav</v>
          </cell>
          <cell r="D940" t="str">
            <v>CZ/C1</v>
          </cell>
          <cell r="E940" t="str">
            <v>M</v>
          </cell>
          <cell r="F940" t="str">
            <v/>
          </cell>
        </row>
        <row r="941">
          <cell r="A941" t="str">
            <v>Tomas Hlavenka</v>
          </cell>
          <cell r="B941">
            <v>1987</v>
          </cell>
          <cell r="C941" t="str">
            <v>Luhačovice</v>
          </cell>
          <cell r="D941" t="str">
            <v>CZ/M</v>
          </cell>
          <cell r="E941" t="str">
            <v>M</v>
          </cell>
          <cell r="F941" t="str">
            <v/>
          </cell>
        </row>
        <row r="942">
          <cell r="A942" t="str">
            <v>Tomas Holenda</v>
          </cell>
          <cell r="B942">
            <v>1956</v>
          </cell>
          <cell r="C942" t="str">
            <v>Havlíčkův Brod</v>
          </cell>
          <cell r="D942" t="str">
            <v>CZ/C2</v>
          </cell>
          <cell r="E942" t="str">
            <v>M</v>
          </cell>
          <cell r="F942" t="str">
            <v/>
          </cell>
        </row>
        <row r="943">
          <cell r="A943" t="str">
            <v>Tomas Holzapfel</v>
          </cell>
          <cell r="B943">
            <v>1975</v>
          </cell>
          <cell r="C943" t="str">
            <v>Mladá Boleslav</v>
          </cell>
          <cell r="D943" t="str">
            <v>CZ/C1</v>
          </cell>
          <cell r="E943" t="str">
            <v>M</v>
          </cell>
          <cell r="F943" t="str">
            <v/>
          </cell>
        </row>
        <row r="944">
          <cell r="A944" t="str">
            <v>Tomas Hulmak</v>
          </cell>
          <cell r="B944">
            <v>1999</v>
          </cell>
          <cell r="C944" t="str">
            <v>Hosín</v>
          </cell>
          <cell r="D944" t="str">
            <v>CZ/C1</v>
          </cell>
          <cell r="E944" t="str">
            <v>M</v>
          </cell>
          <cell r="F944" t="str">
            <v/>
          </cell>
        </row>
        <row r="945">
          <cell r="A945" t="str">
            <v>Tomas Hynek</v>
          </cell>
          <cell r="B945">
            <v>2002</v>
          </cell>
          <cell r="C945" t="str">
            <v>Dvůr Králové</v>
          </cell>
          <cell r="D945" t="str">
            <v>CZ/C2</v>
          </cell>
          <cell r="E945" t="str">
            <v>M</v>
          </cell>
          <cell r="F945" t="str">
            <v>Junior v roce 2026</v>
          </cell>
        </row>
        <row r="946">
          <cell r="A946" t="str">
            <v>Tomas Charvat</v>
          </cell>
          <cell r="B946">
            <v>1981</v>
          </cell>
          <cell r="C946" t="str">
            <v>Vysoké Mýto</v>
          </cell>
          <cell r="D946" t="str">
            <v>CZ/C2</v>
          </cell>
          <cell r="E946" t="str">
            <v>M</v>
          </cell>
          <cell r="F946" t="str">
            <v/>
          </cell>
        </row>
        <row r="947">
          <cell r="A947" t="str">
            <v>Tomas Jakoubek</v>
          </cell>
          <cell r="B947">
            <v>2000</v>
          </cell>
          <cell r="C947" t="str">
            <v>Hronov</v>
          </cell>
          <cell r="D947" t="str">
            <v>CZ/C2</v>
          </cell>
          <cell r="E947" t="str">
            <v>M</v>
          </cell>
          <cell r="F947" t="str">
            <v/>
          </cell>
        </row>
        <row r="948">
          <cell r="A948" t="str">
            <v>Tomas Jedlicka</v>
          </cell>
          <cell r="B948">
            <v>1959</v>
          </cell>
          <cell r="C948" t="str">
            <v>Karlštejn</v>
          </cell>
          <cell r="D948" t="str">
            <v>CZ/C1</v>
          </cell>
          <cell r="E948" t="str">
            <v>M</v>
          </cell>
          <cell r="F948" t="str">
            <v/>
          </cell>
        </row>
        <row r="949">
          <cell r="A949" t="str">
            <v>Tomas Jilek</v>
          </cell>
          <cell r="B949">
            <v>1995</v>
          </cell>
          <cell r="C949" t="str">
            <v>Raná</v>
          </cell>
          <cell r="D949" t="str">
            <v>CZ/C2</v>
          </cell>
          <cell r="E949" t="str">
            <v>M</v>
          </cell>
          <cell r="F949" t="str">
            <v/>
          </cell>
        </row>
        <row r="950">
          <cell r="A950" t="str">
            <v>Tomas Jiricny</v>
          </cell>
          <cell r="B950">
            <v>1981</v>
          </cell>
          <cell r="C950" t="str">
            <v>Hodkovice</v>
          </cell>
          <cell r="D950" t="str">
            <v>CZ/C2</v>
          </cell>
          <cell r="E950" t="str">
            <v>M</v>
          </cell>
          <cell r="F950" t="str">
            <v/>
          </cell>
        </row>
        <row r="951">
          <cell r="A951" t="str">
            <v>Tomas Jung</v>
          </cell>
          <cell r="B951">
            <v>1950</v>
          </cell>
          <cell r="C951" t="str">
            <v>Zbraslavice</v>
          </cell>
          <cell r="D951" t="str">
            <v>CZ/C1</v>
          </cell>
          <cell r="E951" t="str">
            <v>M</v>
          </cell>
          <cell r="F951" t="str">
            <v/>
          </cell>
        </row>
        <row r="952">
          <cell r="A952" t="str">
            <v>Tomas Knoz</v>
          </cell>
          <cell r="B952">
            <v>2006</v>
          </cell>
          <cell r="C952" t="str">
            <v>Kunovice</v>
          </cell>
          <cell r="D952" t="str">
            <v>CZ/M</v>
          </cell>
          <cell r="E952" t="str">
            <v>M</v>
          </cell>
          <cell r="F952" t="str">
            <v>Junior v roce 2026</v>
          </cell>
        </row>
        <row r="953">
          <cell r="A953" t="str">
            <v>Tomas Kohout</v>
          </cell>
          <cell r="B953">
            <v>1981</v>
          </cell>
          <cell r="C953" t="str">
            <v>Slaný</v>
          </cell>
          <cell r="D953" t="str">
            <v>CZ/C1</v>
          </cell>
          <cell r="E953" t="str">
            <v>M</v>
          </cell>
          <cell r="F953" t="str">
            <v/>
          </cell>
        </row>
        <row r="954">
          <cell r="A954" t="str">
            <v>Tomas Koutnik</v>
          </cell>
          <cell r="B954">
            <v>1985</v>
          </cell>
          <cell r="C954" t="str">
            <v>Jaroměř</v>
          </cell>
          <cell r="D954" t="str">
            <v>CZ/C2</v>
          </cell>
          <cell r="E954" t="str">
            <v>M</v>
          </cell>
          <cell r="F954" t="str">
            <v/>
          </cell>
        </row>
        <row r="955">
          <cell r="A955" t="str">
            <v>Tomas Kovarik</v>
          </cell>
          <cell r="B955">
            <v>1965</v>
          </cell>
          <cell r="C955" t="str">
            <v>Zbraslavice</v>
          </cell>
          <cell r="D955" t="str">
            <v>CZ/C1</v>
          </cell>
          <cell r="E955" t="str">
            <v>M</v>
          </cell>
          <cell r="F955" t="str">
            <v/>
          </cell>
        </row>
        <row r="956">
          <cell r="A956" t="str">
            <v>Tomas Kubac</v>
          </cell>
          <cell r="B956">
            <v>1993</v>
          </cell>
          <cell r="C956" t="str">
            <v>Roudnice</v>
          </cell>
          <cell r="D956" t="str">
            <v>CZ/C2</v>
          </cell>
          <cell r="E956" t="str">
            <v>M</v>
          </cell>
          <cell r="F956" t="str">
            <v/>
          </cell>
        </row>
        <row r="957">
          <cell r="A957" t="str">
            <v>Tomas Kulhavy</v>
          </cell>
          <cell r="B957">
            <v>2001</v>
          </cell>
          <cell r="C957" t="str">
            <v>Liberec</v>
          </cell>
          <cell r="D957" t="str">
            <v>CZ/C2</v>
          </cell>
          <cell r="E957" t="str">
            <v>M</v>
          </cell>
          <cell r="F957" t="str">
            <v>Junior v roce 2026</v>
          </cell>
        </row>
        <row r="958">
          <cell r="A958" t="str">
            <v>Tomas Lisec</v>
          </cell>
          <cell r="B958">
            <v>1984</v>
          </cell>
          <cell r="C958" t="str">
            <v>Točná</v>
          </cell>
          <cell r="D958" t="str">
            <v>CZ/C1</v>
          </cell>
          <cell r="E958" t="str">
            <v>M</v>
          </cell>
          <cell r="F958" t="str">
            <v/>
          </cell>
        </row>
        <row r="959">
          <cell r="A959" t="str">
            <v>Tomas Magnusek</v>
          </cell>
          <cell r="B959">
            <v>1988</v>
          </cell>
          <cell r="C959" t="str">
            <v>Frýdlant</v>
          </cell>
          <cell r="D959" t="str">
            <v>CZ/M</v>
          </cell>
          <cell r="E959" t="str">
            <v>M</v>
          </cell>
          <cell r="F959" t="str">
            <v/>
          </cell>
        </row>
        <row r="960">
          <cell r="A960" t="str">
            <v>Tomas Malik</v>
          </cell>
          <cell r="B960">
            <v>1972</v>
          </cell>
          <cell r="C960" t="str">
            <v>Letňany</v>
          </cell>
          <cell r="D960" t="str">
            <v>CZ/C1</v>
          </cell>
          <cell r="E960" t="str">
            <v>M</v>
          </cell>
          <cell r="F960" t="str">
            <v/>
          </cell>
        </row>
        <row r="961">
          <cell r="A961" t="str">
            <v>Tomas Malinsky</v>
          </cell>
          <cell r="B961">
            <v>1988</v>
          </cell>
          <cell r="C961" t="str">
            <v>Křižanov</v>
          </cell>
          <cell r="D961" t="str">
            <v>CZ/M</v>
          </cell>
          <cell r="E961" t="str">
            <v>M</v>
          </cell>
          <cell r="F961" t="str">
            <v/>
          </cell>
        </row>
        <row r="962">
          <cell r="A962" t="str">
            <v>Tomas Manasek</v>
          </cell>
          <cell r="B962">
            <v>1980</v>
          </cell>
          <cell r="C962" t="str">
            <v>Kunovice</v>
          </cell>
          <cell r="D962" t="str">
            <v>CZ/M</v>
          </cell>
          <cell r="E962" t="str">
            <v>M</v>
          </cell>
          <cell r="F962" t="str">
            <v/>
          </cell>
        </row>
        <row r="963">
          <cell r="A963" t="str">
            <v>Tomas Meier</v>
          </cell>
          <cell r="B963">
            <v>1972</v>
          </cell>
          <cell r="C963" t="str">
            <v>Náchod</v>
          </cell>
          <cell r="D963" t="str">
            <v>CZ/C2</v>
          </cell>
          <cell r="E963" t="str">
            <v>M</v>
          </cell>
          <cell r="F963" t="str">
            <v/>
          </cell>
        </row>
        <row r="964">
          <cell r="A964" t="str">
            <v>Tomas Mezera</v>
          </cell>
          <cell r="B964">
            <v>1973</v>
          </cell>
          <cell r="C964" t="str">
            <v>Raná</v>
          </cell>
          <cell r="D964" t="str">
            <v>CZ/C2</v>
          </cell>
          <cell r="E964" t="str">
            <v>M</v>
          </cell>
          <cell r="F964" t="str">
            <v/>
          </cell>
        </row>
        <row r="965">
          <cell r="A965" t="str">
            <v>Tomas Michna</v>
          </cell>
          <cell r="B965">
            <v>1989</v>
          </cell>
          <cell r="C965" t="str">
            <v>Šumperk</v>
          </cell>
          <cell r="D965" t="str">
            <v>CZ/M</v>
          </cell>
          <cell r="E965" t="str">
            <v>M</v>
          </cell>
          <cell r="F965" t="str">
            <v/>
          </cell>
        </row>
        <row r="966">
          <cell r="A966" t="str">
            <v>Tomas Moravec</v>
          </cell>
          <cell r="B966">
            <v>2000</v>
          </cell>
          <cell r="C966" t="str">
            <v>Žamberk</v>
          </cell>
          <cell r="D966" t="str">
            <v>CZ/C2</v>
          </cell>
          <cell r="E966" t="str">
            <v>M</v>
          </cell>
          <cell r="F966" t="str">
            <v/>
          </cell>
        </row>
        <row r="967">
          <cell r="A967" t="str">
            <v>Tomas Morch</v>
          </cell>
          <cell r="B967">
            <v>1981</v>
          </cell>
          <cell r="C967" t="str">
            <v>Raná</v>
          </cell>
          <cell r="D967" t="str">
            <v>CZ/C2</v>
          </cell>
          <cell r="E967" t="str">
            <v>M</v>
          </cell>
          <cell r="F967" t="str">
            <v/>
          </cell>
        </row>
        <row r="968">
          <cell r="A968" t="str">
            <v>Tomas Novak</v>
          </cell>
          <cell r="B968">
            <v>1974</v>
          </cell>
          <cell r="C968" t="str">
            <v>Česká Lípa</v>
          </cell>
          <cell r="D968" t="str">
            <v>CZ/C2</v>
          </cell>
          <cell r="E968" t="str">
            <v>M</v>
          </cell>
          <cell r="F968" t="str">
            <v/>
          </cell>
        </row>
        <row r="969">
          <cell r="A969" t="str">
            <v>Tomas Ohera</v>
          </cell>
          <cell r="B969">
            <v>1977</v>
          </cell>
          <cell r="C969" t="str">
            <v>Letňany</v>
          </cell>
          <cell r="D969" t="str">
            <v>CZ/C1</v>
          </cell>
          <cell r="E969" t="str">
            <v>M</v>
          </cell>
          <cell r="F969" t="str">
            <v/>
          </cell>
        </row>
        <row r="970">
          <cell r="A970" t="str">
            <v>Tomas Ondrusek</v>
          </cell>
          <cell r="B970">
            <v>1994</v>
          </cell>
          <cell r="C970" t="str">
            <v>Letkov</v>
          </cell>
          <cell r="D970" t="str">
            <v>CZ/C1</v>
          </cell>
          <cell r="E970" t="str">
            <v>M</v>
          </cell>
          <cell r="F970" t="str">
            <v/>
          </cell>
        </row>
        <row r="971">
          <cell r="A971" t="str">
            <v>Tomas Ondrisek</v>
          </cell>
          <cell r="B971">
            <v>1970</v>
          </cell>
          <cell r="C971" t="str">
            <v>Kunovice</v>
          </cell>
          <cell r="D971" t="str">
            <v>CZ/M</v>
          </cell>
          <cell r="E971" t="str">
            <v>M</v>
          </cell>
          <cell r="F971" t="str">
            <v/>
          </cell>
        </row>
        <row r="972">
          <cell r="A972" t="str">
            <v>Tomas Palata</v>
          </cell>
          <cell r="B972">
            <v>1966</v>
          </cell>
          <cell r="C972" t="str">
            <v>Liberec</v>
          </cell>
          <cell r="D972" t="str">
            <v>CZ/C2</v>
          </cell>
          <cell r="E972" t="str">
            <v>M</v>
          </cell>
          <cell r="F972" t="str">
            <v/>
          </cell>
        </row>
        <row r="973">
          <cell r="A973" t="str">
            <v>Tomas Podolak</v>
          </cell>
          <cell r="B973">
            <v>1986</v>
          </cell>
          <cell r="C973" t="str">
            <v>Kralupy</v>
          </cell>
          <cell r="D973" t="str">
            <v>CZ/C1</v>
          </cell>
          <cell r="E973" t="str">
            <v>M</v>
          </cell>
          <cell r="F973" t="str">
            <v/>
          </cell>
        </row>
        <row r="974">
          <cell r="A974" t="str">
            <v>Tomas Profeld</v>
          </cell>
          <cell r="B974">
            <v>1964</v>
          </cell>
          <cell r="C974" t="str">
            <v>Jičín</v>
          </cell>
          <cell r="D974" t="str">
            <v>CZ/C2</v>
          </cell>
          <cell r="E974" t="str">
            <v>M</v>
          </cell>
          <cell r="F974" t="str">
            <v/>
          </cell>
        </row>
        <row r="975">
          <cell r="A975" t="str">
            <v>Tomas Prokop</v>
          </cell>
          <cell r="B975">
            <v>1972</v>
          </cell>
          <cell r="C975" t="str">
            <v>Šumperk</v>
          </cell>
          <cell r="D975" t="str">
            <v>CZ/M</v>
          </cell>
          <cell r="E975" t="str">
            <v>M</v>
          </cell>
          <cell r="F975" t="str">
            <v/>
          </cell>
        </row>
        <row r="976">
          <cell r="A976" t="str">
            <v>Tomas Prikryl</v>
          </cell>
          <cell r="B976">
            <v>1973</v>
          </cell>
          <cell r="C976" t="str">
            <v>Vyškov</v>
          </cell>
          <cell r="D976" t="str">
            <v>CZ/M</v>
          </cell>
          <cell r="E976" t="str">
            <v>M</v>
          </cell>
          <cell r="F976" t="str">
            <v/>
          </cell>
        </row>
        <row r="977">
          <cell r="A977" t="str">
            <v>Tomas Ptacovsky</v>
          </cell>
          <cell r="B977">
            <v>1981</v>
          </cell>
          <cell r="C977" t="str">
            <v>Letňany</v>
          </cell>
          <cell r="D977" t="str">
            <v>CZ/C1</v>
          </cell>
          <cell r="E977" t="str">
            <v>M</v>
          </cell>
          <cell r="F977" t="str">
            <v/>
          </cell>
        </row>
        <row r="978">
          <cell r="A978" t="str">
            <v>Tomas Rendla</v>
          </cell>
          <cell r="B978">
            <v>1973</v>
          </cell>
          <cell r="C978" t="str">
            <v>Zbraslavice</v>
          </cell>
          <cell r="D978" t="str">
            <v>CZ/C1</v>
          </cell>
          <cell r="E978" t="str">
            <v>M</v>
          </cell>
          <cell r="F978" t="str">
            <v/>
          </cell>
        </row>
        <row r="979">
          <cell r="A979" t="str">
            <v>Tomas Rysavy</v>
          </cell>
          <cell r="B979">
            <v>1959</v>
          </cell>
          <cell r="C979" t="str">
            <v>Medlánky</v>
          </cell>
          <cell r="D979" t="str">
            <v>CZ/M</v>
          </cell>
          <cell r="E979" t="str">
            <v>M</v>
          </cell>
          <cell r="F979" t="str">
            <v/>
          </cell>
        </row>
        <row r="980">
          <cell r="A980" t="str">
            <v>Tomas Sedlacek</v>
          </cell>
          <cell r="B980">
            <v>1972</v>
          </cell>
          <cell r="C980" t="str">
            <v>Zbraslavice</v>
          </cell>
          <cell r="D980" t="str">
            <v>CZ/C1</v>
          </cell>
          <cell r="E980" t="str">
            <v>M</v>
          </cell>
          <cell r="F980" t="str">
            <v/>
          </cell>
        </row>
        <row r="981">
          <cell r="A981" t="str">
            <v>Tomas Seifert</v>
          </cell>
          <cell r="B981">
            <v>1972</v>
          </cell>
          <cell r="C981" t="str">
            <v>Raná</v>
          </cell>
          <cell r="D981" t="str">
            <v>CZ/C2</v>
          </cell>
          <cell r="E981" t="str">
            <v>M</v>
          </cell>
          <cell r="F981" t="str">
            <v/>
          </cell>
        </row>
        <row r="982">
          <cell r="A982" t="str">
            <v>Tomas Shrbeny</v>
          </cell>
          <cell r="B982">
            <v>1968</v>
          </cell>
          <cell r="C982" t="str">
            <v>Točná</v>
          </cell>
          <cell r="D982" t="str">
            <v>CZ/C1</v>
          </cell>
          <cell r="E982" t="str">
            <v>M</v>
          </cell>
          <cell r="F982" t="str">
            <v/>
          </cell>
        </row>
        <row r="983">
          <cell r="A983" t="str">
            <v>Tomas Suchanek</v>
          </cell>
          <cell r="B983">
            <v>1964</v>
          </cell>
          <cell r="C983" t="str">
            <v>GAC Benešov</v>
          </cell>
          <cell r="D983" t="str">
            <v>CZ/C1</v>
          </cell>
          <cell r="E983" t="str">
            <v>M</v>
          </cell>
          <cell r="F983" t="str">
            <v/>
          </cell>
        </row>
        <row r="984">
          <cell r="A984" t="str">
            <v>Tomas Talanda</v>
          </cell>
          <cell r="B984">
            <v>1988</v>
          </cell>
          <cell r="C984" t="str">
            <v>Křižanov</v>
          </cell>
          <cell r="D984" t="str">
            <v>CZ/M</v>
          </cell>
          <cell r="E984" t="str">
            <v>M</v>
          </cell>
          <cell r="F984" t="str">
            <v/>
          </cell>
        </row>
        <row r="985">
          <cell r="A985" t="str">
            <v>Tomas Turek</v>
          </cell>
          <cell r="B985">
            <v>1988</v>
          </cell>
          <cell r="C985" t="str">
            <v>Zbraslavice</v>
          </cell>
          <cell r="D985" t="str">
            <v>CZ/C1</v>
          </cell>
          <cell r="E985" t="str">
            <v>M</v>
          </cell>
          <cell r="F985" t="str">
            <v/>
          </cell>
        </row>
        <row r="986">
          <cell r="A986" t="str">
            <v>Tomas Vaclavik</v>
          </cell>
          <cell r="B986">
            <v>1974</v>
          </cell>
          <cell r="C986" t="str">
            <v>Hosín</v>
          </cell>
          <cell r="D986" t="str">
            <v>CZ/C1</v>
          </cell>
          <cell r="E986" t="str">
            <v>M</v>
          </cell>
          <cell r="F986" t="str">
            <v/>
          </cell>
        </row>
        <row r="987">
          <cell r="A987" t="str">
            <v>Tomas Vrbsky</v>
          </cell>
          <cell r="B987">
            <v>1964</v>
          </cell>
          <cell r="C987" t="str">
            <v>Letkov</v>
          </cell>
          <cell r="D987" t="str">
            <v>CZ/C1</v>
          </cell>
          <cell r="E987" t="str">
            <v>M</v>
          </cell>
          <cell r="F987" t="str">
            <v/>
          </cell>
        </row>
        <row r="988">
          <cell r="A988" t="str">
            <v>Tomas Wodeckij</v>
          </cell>
          <cell r="B988">
            <v>1987</v>
          </cell>
          <cell r="C988" t="str">
            <v>Letkov</v>
          </cell>
          <cell r="D988" t="str">
            <v>CZ/C1</v>
          </cell>
          <cell r="E988" t="str">
            <v>M</v>
          </cell>
          <cell r="F988" t="str">
            <v/>
          </cell>
        </row>
        <row r="989">
          <cell r="A989" t="str">
            <v>Tomas Zamecnik</v>
          </cell>
          <cell r="B989">
            <v>1988</v>
          </cell>
          <cell r="C989" t="str">
            <v>Zbraslavice</v>
          </cell>
          <cell r="D989" t="str">
            <v>CZ/C1</v>
          </cell>
          <cell r="E989" t="str">
            <v>M</v>
          </cell>
          <cell r="F989" t="str">
            <v/>
          </cell>
        </row>
        <row r="990">
          <cell r="A990" t="str">
            <v>Ulf Kern</v>
          </cell>
          <cell r="B990">
            <v>1958</v>
          </cell>
          <cell r="C990" t="str">
            <v>Raná</v>
          </cell>
          <cell r="D990" t="str">
            <v>CZ/C2</v>
          </cell>
          <cell r="E990" t="str">
            <v>M</v>
          </cell>
          <cell r="F990" t="str">
            <v/>
          </cell>
        </row>
        <row r="991">
          <cell r="A991" t="str">
            <v>Vaclav Cerny</v>
          </cell>
          <cell r="B991">
            <v>1949</v>
          </cell>
          <cell r="C991" t="str">
            <v>Slaný</v>
          </cell>
          <cell r="D991" t="str">
            <v>CZ/C1</v>
          </cell>
          <cell r="E991" t="str">
            <v>M</v>
          </cell>
          <cell r="F991" t="str">
            <v/>
          </cell>
        </row>
        <row r="992">
          <cell r="A992" t="str">
            <v>Vaclav Halek</v>
          </cell>
          <cell r="B992">
            <v>1966</v>
          </cell>
          <cell r="C992" t="str">
            <v>Toužim</v>
          </cell>
          <cell r="D992" t="str">
            <v>CZ/C1</v>
          </cell>
          <cell r="E992" t="str">
            <v>M</v>
          </cell>
          <cell r="F992" t="str">
            <v/>
          </cell>
        </row>
        <row r="993">
          <cell r="A993" t="str">
            <v>Vaclav Hrdina</v>
          </cell>
          <cell r="B993">
            <v>1984</v>
          </cell>
          <cell r="C993" t="str">
            <v>Letkov</v>
          </cell>
          <cell r="D993" t="str">
            <v>CZ/C1</v>
          </cell>
          <cell r="E993" t="str">
            <v>M</v>
          </cell>
          <cell r="F993" t="str">
            <v/>
          </cell>
        </row>
        <row r="994">
          <cell r="A994" t="str">
            <v>Vaclav Hruza</v>
          </cell>
          <cell r="B994">
            <v>1965</v>
          </cell>
          <cell r="C994" t="str">
            <v>Břeclav</v>
          </cell>
          <cell r="D994" t="str">
            <v>CZ/M</v>
          </cell>
          <cell r="E994" t="str">
            <v>M</v>
          </cell>
          <cell r="F994" t="str">
            <v/>
          </cell>
        </row>
        <row r="995">
          <cell r="A995" t="str">
            <v>Vaclav Koudelka</v>
          </cell>
          <cell r="B995">
            <v>1997</v>
          </cell>
          <cell r="C995" t="str">
            <v>Jičín</v>
          </cell>
          <cell r="D995" t="str">
            <v>CZ/C2</v>
          </cell>
          <cell r="E995" t="str">
            <v>M</v>
          </cell>
          <cell r="F995" t="str">
            <v/>
          </cell>
        </row>
        <row r="996">
          <cell r="A996" t="str">
            <v>Vaclav Krejcar</v>
          </cell>
          <cell r="B996">
            <v>1943</v>
          </cell>
          <cell r="C996" t="str">
            <v>Hořice</v>
          </cell>
          <cell r="D996" t="str">
            <v>CZ/C2</v>
          </cell>
          <cell r="E996" t="str">
            <v>M</v>
          </cell>
          <cell r="F996" t="str">
            <v/>
          </cell>
        </row>
        <row r="997">
          <cell r="A997" t="str">
            <v>Vaclav Kult</v>
          </cell>
          <cell r="B997">
            <v>1973</v>
          </cell>
          <cell r="C997" t="str">
            <v>Broumov</v>
          </cell>
          <cell r="D997" t="str">
            <v>CZ/C2</v>
          </cell>
          <cell r="E997" t="str">
            <v>M</v>
          </cell>
          <cell r="F997" t="str">
            <v/>
          </cell>
        </row>
        <row r="998">
          <cell r="A998" t="str">
            <v>Vaclav Kunasek</v>
          </cell>
          <cell r="B998">
            <v>1987</v>
          </cell>
          <cell r="C998" t="str">
            <v>Zbraslavice</v>
          </cell>
          <cell r="D998" t="str">
            <v>CZ/C1</v>
          </cell>
          <cell r="E998" t="str">
            <v>M</v>
          </cell>
          <cell r="F998" t="str">
            <v/>
          </cell>
        </row>
        <row r="999">
          <cell r="A999" t="str">
            <v>Vaclav Kysilka</v>
          </cell>
          <cell r="B999">
            <v>1979</v>
          </cell>
          <cell r="C999" t="str">
            <v>GAC Benešov</v>
          </cell>
          <cell r="D999" t="str">
            <v>CZ/C1</v>
          </cell>
          <cell r="E999" t="str">
            <v>M</v>
          </cell>
          <cell r="F999" t="str">
            <v/>
          </cell>
        </row>
        <row r="1000">
          <cell r="A1000" t="str">
            <v>Vaclav Marel</v>
          </cell>
          <cell r="B1000">
            <v>1974</v>
          </cell>
          <cell r="C1000" t="str">
            <v>Jaroměř</v>
          </cell>
          <cell r="D1000" t="str">
            <v>CZ/C2</v>
          </cell>
          <cell r="E1000" t="str">
            <v>M</v>
          </cell>
          <cell r="F1000" t="str">
            <v/>
          </cell>
        </row>
        <row r="1001">
          <cell r="A1001" t="str">
            <v>Vaclav Ochotny</v>
          </cell>
          <cell r="B1001">
            <v>1966</v>
          </cell>
          <cell r="C1001" t="str">
            <v>Kunovice</v>
          </cell>
          <cell r="D1001" t="str">
            <v>CZ/M</v>
          </cell>
          <cell r="E1001" t="str">
            <v>M</v>
          </cell>
          <cell r="F1001" t="str">
            <v/>
          </cell>
        </row>
        <row r="1002">
          <cell r="A1002" t="str">
            <v>Vaclav Petru</v>
          </cell>
          <cell r="B1002">
            <v>1974</v>
          </cell>
          <cell r="C1002" t="str">
            <v>Letňany</v>
          </cell>
          <cell r="D1002" t="str">
            <v>CZ/C1</v>
          </cell>
          <cell r="E1002" t="str">
            <v>M</v>
          </cell>
          <cell r="F1002" t="str">
            <v/>
          </cell>
        </row>
        <row r="1003">
          <cell r="A1003" t="str">
            <v>Vaclav Sehnal</v>
          </cell>
          <cell r="B1003">
            <v>1962</v>
          </cell>
          <cell r="C1003" t="str">
            <v>Kolín</v>
          </cell>
          <cell r="D1003" t="str">
            <v>CZ/C1</v>
          </cell>
          <cell r="E1003" t="str">
            <v>M</v>
          </cell>
          <cell r="F1003" t="str">
            <v/>
          </cell>
        </row>
        <row r="1004">
          <cell r="A1004" t="str">
            <v>Vaclav Svoboda</v>
          </cell>
          <cell r="B1004">
            <v>1970</v>
          </cell>
          <cell r="C1004" t="str">
            <v>Letkov</v>
          </cell>
          <cell r="D1004" t="str">
            <v>CZ/C1</v>
          </cell>
          <cell r="E1004" t="str">
            <v>M</v>
          </cell>
          <cell r="F1004" t="str">
            <v/>
          </cell>
        </row>
        <row r="1005">
          <cell r="A1005" t="str">
            <v>Vaclav Trnka</v>
          </cell>
          <cell r="B1005">
            <v>1939</v>
          </cell>
          <cell r="C1005" t="str">
            <v>Ústí nad Orlicí</v>
          </cell>
          <cell r="D1005" t="str">
            <v>CZ/C2</v>
          </cell>
          <cell r="E1005" t="str">
            <v>M</v>
          </cell>
          <cell r="F1005" t="str">
            <v/>
          </cell>
        </row>
        <row r="1006">
          <cell r="A1006" t="str">
            <v>Vaclav Zeman</v>
          </cell>
          <cell r="B1006">
            <v>1984</v>
          </cell>
          <cell r="C1006" t="str">
            <v>Zbraslavice</v>
          </cell>
          <cell r="D1006" t="str">
            <v>CZ/C1</v>
          </cell>
          <cell r="E1006" t="str">
            <v>M</v>
          </cell>
          <cell r="F1006" t="str">
            <v/>
          </cell>
        </row>
        <row r="1007">
          <cell r="A1007" t="str">
            <v>Vaclav Zak</v>
          </cell>
          <cell r="B1007">
            <v>1962</v>
          </cell>
          <cell r="C1007" t="str">
            <v>GAC Benešov</v>
          </cell>
          <cell r="D1007" t="str">
            <v>CZ/C1</v>
          </cell>
          <cell r="E1007" t="str">
            <v>M</v>
          </cell>
          <cell r="F1007" t="str">
            <v/>
          </cell>
        </row>
        <row r="1008">
          <cell r="A1008" t="str">
            <v>Vera Vavrinova</v>
          </cell>
          <cell r="B1008">
            <v>1949</v>
          </cell>
          <cell r="C1008" t="str">
            <v>Vysoké Mýto</v>
          </cell>
          <cell r="D1008" t="str">
            <v>CZ/C2</v>
          </cell>
          <cell r="E1008" t="str">
            <v>F</v>
          </cell>
          <cell r="F1008" t="str">
            <v/>
          </cell>
        </row>
        <row r="1009">
          <cell r="A1009" t="str">
            <v>Veronika Ambrozova</v>
          </cell>
          <cell r="B1009">
            <v>1984</v>
          </cell>
          <cell r="C1009" t="str">
            <v>Křižanov</v>
          </cell>
          <cell r="D1009" t="str">
            <v>CZ/M</v>
          </cell>
          <cell r="E1009" t="str">
            <v>F</v>
          </cell>
          <cell r="F1009" t="str">
            <v/>
          </cell>
        </row>
        <row r="1010">
          <cell r="A1010" t="str">
            <v>Veronika Jezkova</v>
          </cell>
          <cell r="B1010">
            <v>1986</v>
          </cell>
          <cell r="C1010" t="str">
            <v>Mladá Boleslav</v>
          </cell>
          <cell r="D1010" t="str">
            <v>CZ/C1</v>
          </cell>
          <cell r="E1010" t="str">
            <v>F</v>
          </cell>
          <cell r="F1010" t="str">
            <v/>
          </cell>
        </row>
        <row r="1011">
          <cell r="A1011" t="str">
            <v>Veronika Mullerova</v>
          </cell>
          <cell r="B1011">
            <v>1983</v>
          </cell>
          <cell r="C1011" t="str">
            <v>Letňany</v>
          </cell>
          <cell r="D1011" t="str">
            <v>CZ/C1</v>
          </cell>
          <cell r="E1011" t="str">
            <v>F</v>
          </cell>
          <cell r="F1011" t="str">
            <v/>
          </cell>
        </row>
        <row r="1012">
          <cell r="A1012" t="str">
            <v>Viktor Tvrdik</v>
          </cell>
          <cell r="B1012">
            <v>1977</v>
          </cell>
          <cell r="C1012" t="str">
            <v>Rakovník</v>
          </cell>
          <cell r="D1012" t="str">
            <v>CZ/C1</v>
          </cell>
          <cell r="E1012" t="str">
            <v>M</v>
          </cell>
          <cell r="F1012" t="str">
            <v/>
          </cell>
        </row>
        <row r="1013">
          <cell r="A1013" t="str">
            <v>Viktor Zimcik</v>
          </cell>
          <cell r="B1013">
            <v>1976</v>
          </cell>
          <cell r="C1013" t="str">
            <v>Kunovice</v>
          </cell>
          <cell r="D1013" t="str">
            <v>CZ/M</v>
          </cell>
          <cell r="E1013" t="str">
            <v>M</v>
          </cell>
          <cell r="F1013" t="str">
            <v/>
          </cell>
        </row>
        <row r="1014">
          <cell r="A1014" t="str">
            <v>Viktorie Kusa</v>
          </cell>
          <cell r="B1014">
            <v>2004</v>
          </cell>
          <cell r="C1014" t="str">
            <v>Letňany</v>
          </cell>
          <cell r="D1014" t="str">
            <v>CZ/C1</v>
          </cell>
          <cell r="E1014" t="str">
            <v>F</v>
          </cell>
          <cell r="F1014" t="str">
            <v>Junior v roce 2026</v>
          </cell>
        </row>
        <row r="1015">
          <cell r="A1015" t="str">
            <v>Vilem Riha</v>
          </cell>
          <cell r="B1015">
            <v>1990</v>
          </cell>
          <cell r="C1015" t="str">
            <v>Letňany</v>
          </cell>
          <cell r="D1015" t="str">
            <v>CZ/C1</v>
          </cell>
          <cell r="E1015" t="str">
            <v>M</v>
          </cell>
          <cell r="F1015" t="str">
            <v/>
          </cell>
        </row>
        <row r="1016">
          <cell r="A1016" t="str">
            <v>Vit Grossmann</v>
          </cell>
          <cell r="B1016">
            <v>1977</v>
          </cell>
          <cell r="C1016" t="str">
            <v>Hranice</v>
          </cell>
          <cell r="D1016" t="str">
            <v>CZ/M</v>
          </cell>
          <cell r="E1016" t="str">
            <v>M</v>
          </cell>
          <cell r="F1016" t="str">
            <v/>
          </cell>
        </row>
        <row r="1017">
          <cell r="A1017" t="str">
            <v>Vit Hrdlicka</v>
          </cell>
          <cell r="B1017">
            <v>1960</v>
          </cell>
          <cell r="C1017" t="str">
            <v>Medlánky</v>
          </cell>
          <cell r="D1017" t="str">
            <v>CZ/M</v>
          </cell>
          <cell r="E1017" t="str">
            <v>M</v>
          </cell>
          <cell r="F1017" t="str">
            <v/>
          </cell>
        </row>
        <row r="1018">
          <cell r="A1018" t="str">
            <v>Vit Morkovsky</v>
          </cell>
          <cell r="B1018">
            <v>2000</v>
          </cell>
          <cell r="C1018" t="str">
            <v>Polička</v>
          </cell>
          <cell r="D1018" t="str">
            <v>CZ/C2</v>
          </cell>
          <cell r="E1018" t="str">
            <v>M</v>
          </cell>
          <cell r="F1018" t="str">
            <v/>
          </cell>
        </row>
        <row r="1019">
          <cell r="A1019" t="str">
            <v>Vit Novak</v>
          </cell>
          <cell r="B1019">
            <v>1985</v>
          </cell>
          <cell r="C1019" t="str">
            <v>Olomouc</v>
          </cell>
          <cell r="D1019" t="str">
            <v>CZ/M</v>
          </cell>
          <cell r="E1019" t="str">
            <v>M</v>
          </cell>
          <cell r="F1019" t="str">
            <v/>
          </cell>
        </row>
        <row r="1020">
          <cell r="A1020" t="str">
            <v>Vit Pavelka</v>
          </cell>
          <cell r="B1020">
            <v>2004</v>
          </cell>
          <cell r="C1020" t="str">
            <v>Moravská Třebová</v>
          </cell>
          <cell r="D1020" t="str">
            <v>CZ/M</v>
          </cell>
          <cell r="E1020" t="str">
            <v>M</v>
          </cell>
          <cell r="F1020" t="str">
            <v>Junior v roce 2026</v>
          </cell>
        </row>
        <row r="1021">
          <cell r="A1021" t="str">
            <v>Vit Prokop</v>
          </cell>
          <cell r="B1021">
            <v>1987</v>
          </cell>
          <cell r="C1021" t="str">
            <v>Medlánky</v>
          </cell>
          <cell r="D1021" t="str">
            <v>CZ/M</v>
          </cell>
          <cell r="E1021" t="str">
            <v>M</v>
          </cell>
          <cell r="F1021" t="str">
            <v/>
          </cell>
        </row>
        <row r="1022">
          <cell r="A1022" t="str">
            <v>Vit Rydl</v>
          </cell>
          <cell r="B1022">
            <v>1969</v>
          </cell>
          <cell r="C1022" t="str">
            <v>Turnov</v>
          </cell>
          <cell r="D1022" t="str">
            <v>CZ/C2</v>
          </cell>
          <cell r="E1022" t="str">
            <v>M</v>
          </cell>
          <cell r="F1022" t="str">
            <v/>
          </cell>
        </row>
        <row r="1023">
          <cell r="A1023" t="str">
            <v>Vit Tvrdik</v>
          </cell>
          <cell r="B1023">
            <v>2000</v>
          </cell>
          <cell r="C1023" t="str">
            <v>Letňany</v>
          </cell>
          <cell r="D1023" t="str">
            <v>CZ/C1</v>
          </cell>
          <cell r="E1023" t="str">
            <v>M</v>
          </cell>
          <cell r="F1023" t="str">
            <v/>
          </cell>
        </row>
        <row r="1024">
          <cell r="A1024" t="str">
            <v>Vit Udatny</v>
          </cell>
          <cell r="B1024">
            <v>1997</v>
          </cell>
          <cell r="C1024" t="str">
            <v>Broumov</v>
          </cell>
          <cell r="D1024" t="str">
            <v>CZ/C2</v>
          </cell>
          <cell r="E1024" t="str">
            <v>M</v>
          </cell>
          <cell r="F1024" t="str">
            <v/>
          </cell>
        </row>
        <row r="1025">
          <cell r="A1025" t="str">
            <v>Vladimir Abraham</v>
          </cell>
          <cell r="B1025">
            <v>1962</v>
          </cell>
          <cell r="C1025" t="str">
            <v>Raná</v>
          </cell>
          <cell r="D1025" t="str">
            <v>CZ/C2</v>
          </cell>
          <cell r="E1025" t="str">
            <v>M</v>
          </cell>
          <cell r="F1025" t="str">
            <v/>
          </cell>
        </row>
        <row r="1026">
          <cell r="A1026" t="str">
            <v>Vladimir Baran</v>
          </cell>
          <cell r="B1026">
            <v>1949</v>
          </cell>
          <cell r="C1026" t="str">
            <v>Frýdlant</v>
          </cell>
          <cell r="D1026" t="str">
            <v>CZ/M</v>
          </cell>
          <cell r="E1026" t="str">
            <v>M</v>
          </cell>
          <cell r="F1026" t="str">
            <v/>
          </cell>
        </row>
        <row r="1027">
          <cell r="A1027" t="str">
            <v>Vladimir Dostal</v>
          </cell>
          <cell r="B1027">
            <v>1943</v>
          </cell>
          <cell r="C1027" t="str">
            <v>Hronov</v>
          </cell>
          <cell r="D1027" t="str">
            <v>CZ/C2</v>
          </cell>
          <cell r="E1027" t="str">
            <v>M</v>
          </cell>
          <cell r="F1027" t="str">
            <v/>
          </cell>
        </row>
        <row r="1028">
          <cell r="A1028" t="str">
            <v>Vladimir Fousek</v>
          </cell>
          <cell r="B1028">
            <v>1964</v>
          </cell>
          <cell r="C1028" t="str">
            <v>Raná</v>
          </cell>
          <cell r="D1028" t="str">
            <v>CZ/C2</v>
          </cell>
          <cell r="E1028" t="str">
            <v>M</v>
          </cell>
          <cell r="F1028" t="str">
            <v/>
          </cell>
        </row>
        <row r="1029">
          <cell r="A1029" t="str">
            <v>Vladimir Fux</v>
          </cell>
          <cell r="B1029">
            <v>1963</v>
          </cell>
          <cell r="C1029" t="str">
            <v>Křižanov</v>
          </cell>
          <cell r="D1029" t="str">
            <v>CZ/M</v>
          </cell>
          <cell r="E1029" t="str">
            <v>M</v>
          </cell>
          <cell r="F1029" t="str">
            <v/>
          </cell>
        </row>
        <row r="1030">
          <cell r="A1030" t="str">
            <v>Vladimir Hammer</v>
          </cell>
          <cell r="B1030">
            <v>2000</v>
          </cell>
          <cell r="C1030" t="str">
            <v>Letkov</v>
          </cell>
          <cell r="D1030" t="str">
            <v>CZ/C1</v>
          </cell>
          <cell r="E1030" t="str">
            <v>M</v>
          </cell>
          <cell r="F1030" t="str">
            <v/>
          </cell>
        </row>
        <row r="1031">
          <cell r="A1031" t="str">
            <v>Vladimir Hampl</v>
          </cell>
          <cell r="B1031">
            <v>1970</v>
          </cell>
          <cell r="C1031" t="str">
            <v>Dvůr Králové</v>
          </cell>
          <cell r="D1031" t="str">
            <v>CZ/C2</v>
          </cell>
          <cell r="E1031" t="str">
            <v>M</v>
          </cell>
          <cell r="F1031" t="str">
            <v/>
          </cell>
        </row>
        <row r="1032">
          <cell r="A1032" t="str">
            <v>Vladimir Jirka</v>
          </cell>
          <cell r="B1032">
            <v>1965</v>
          </cell>
          <cell r="C1032" t="str">
            <v>Zábřeh</v>
          </cell>
          <cell r="D1032" t="str">
            <v>CZ/M</v>
          </cell>
          <cell r="E1032" t="str">
            <v>M</v>
          </cell>
          <cell r="F1032" t="str">
            <v/>
          </cell>
        </row>
        <row r="1033">
          <cell r="A1033" t="str">
            <v>Vladimir Kamensky</v>
          </cell>
          <cell r="B1033">
            <v>1983</v>
          </cell>
          <cell r="C1033" t="str">
            <v>Břeclav</v>
          </cell>
          <cell r="D1033" t="str">
            <v>CZ/M</v>
          </cell>
          <cell r="E1033" t="str">
            <v>M</v>
          </cell>
          <cell r="F1033" t="str">
            <v/>
          </cell>
        </row>
        <row r="1034">
          <cell r="A1034" t="str">
            <v>Vladimir Kramosil</v>
          </cell>
          <cell r="B1034">
            <v>1937</v>
          </cell>
          <cell r="C1034" t="str">
            <v>Most</v>
          </cell>
          <cell r="D1034" t="str">
            <v>CZ/C2</v>
          </cell>
          <cell r="E1034" t="str">
            <v>M</v>
          </cell>
          <cell r="F1034" t="str">
            <v/>
          </cell>
        </row>
        <row r="1035">
          <cell r="A1035" t="str">
            <v>Vladimir Maca</v>
          </cell>
          <cell r="B1035">
            <v>1982</v>
          </cell>
          <cell r="C1035" t="str">
            <v>Jihlava</v>
          </cell>
          <cell r="D1035" t="str">
            <v>CZ/M</v>
          </cell>
          <cell r="E1035" t="str">
            <v>M</v>
          </cell>
          <cell r="F1035" t="str">
            <v/>
          </cell>
        </row>
        <row r="1036">
          <cell r="A1036" t="str">
            <v>Vladimir Nemec</v>
          </cell>
          <cell r="B1036">
            <v>1976</v>
          </cell>
          <cell r="C1036" t="str">
            <v>Jeseník</v>
          </cell>
          <cell r="D1036" t="str">
            <v>CZ/M</v>
          </cell>
          <cell r="E1036" t="str">
            <v>M</v>
          </cell>
          <cell r="F1036" t="str">
            <v/>
          </cell>
        </row>
        <row r="1037">
          <cell r="A1037" t="str">
            <v>Vladimir Prihoda</v>
          </cell>
          <cell r="B1037">
            <v>1953</v>
          </cell>
          <cell r="C1037" t="str">
            <v>Kralupy</v>
          </cell>
          <cell r="D1037" t="str">
            <v>CZ/C1</v>
          </cell>
          <cell r="E1037" t="str">
            <v>M</v>
          </cell>
          <cell r="F1037" t="str">
            <v/>
          </cell>
        </row>
        <row r="1038">
          <cell r="A1038" t="str">
            <v>Vladimir Spilka</v>
          </cell>
          <cell r="B1038">
            <v>1940</v>
          </cell>
          <cell r="C1038" t="str">
            <v>Hranice</v>
          </cell>
          <cell r="D1038" t="str">
            <v>CZ/M</v>
          </cell>
          <cell r="E1038" t="str">
            <v>M</v>
          </cell>
          <cell r="F1038" t="str">
            <v/>
          </cell>
        </row>
        <row r="1039">
          <cell r="A1039" t="str">
            <v>Vladislav Cadsky</v>
          </cell>
          <cell r="B1039">
            <v>1975</v>
          </cell>
          <cell r="C1039" t="str">
            <v>Kolín</v>
          </cell>
          <cell r="D1039" t="str">
            <v>CZ/C1</v>
          </cell>
          <cell r="E1039" t="str">
            <v>M</v>
          </cell>
          <cell r="F1039" t="str">
            <v/>
          </cell>
        </row>
        <row r="1040">
          <cell r="A1040" t="str">
            <v>Vladislav Panek</v>
          </cell>
          <cell r="B1040">
            <v>1965</v>
          </cell>
          <cell r="C1040" t="str">
            <v>Letňany</v>
          </cell>
          <cell r="D1040" t="str">
            <v>CZ/C1</v>
          </cell>
          <cell r="E1040" t="str">
            <v>M</v>
          </cell>
          <cell r="F1040" t="str">
            <v/>
          </cell>
        </row>
        <row r="1041">
          <cell r="A1041" t="str">
            <v>Vlastislav Picka</v>
          </cell>
          <cell r="B1041">
            <v>1948</v>
          </cell>
          <cell r="C1041" t="str">
            <v>Jindřichův Hradec</v>
          </cell>
          <cell r="D1041" t="str">
            <v>CZ/C1</v>
          </cell>
          <cell r="E1041" t="str">
            <v>M</v>
          </cell>
          <cell r="F1041" t="str">
            <v/>
          </cell>
        </row>
        <row r="1042">
          <cell r="A1042" t="str">
            <v>Vojtech Bartos</v>
          </cell>
          <cell r="B1042">
            <v>1970</v>
          </cell>
          <cell r="C1042" t="str">
            <v>Medlánky</v>
          </cell>
          <cell r="D1042" t="str">
            <v>CZ/M</v>
          </cell>
          <cell r="E1042" t="str">
            <v>M</v>
          </cell>
          <cell r="F1042" t="str">
            <v/>
          </cell>
        </row>
        <row r="1043">
          <cell r="A1043" t="str">
            <v>Vojtech Bystricky</v>
          </cell>
          <cell r="B1043">
            <v>2004</v>
          </cell>
          <cell r="C1043" t="str">
            <v>Strakonice</v>
          </cell>
          <cell r="D1043" t="str">
            <v>CZ/C1</v>
          </cell>
          <cell r="E1043" t="str">
            <v>M</v>
          </cell>
          <cell r="F1043" t="str">
            <v>Junior v roce 2026</v>
          </cell>
        </row>
        <row r="1044">
          <cell r="A1044" t="str">
            <v>Vojtech Flidr</v>
          </cell>
          <cell r="B1044">
            <v>2003</v>
          </cell>
          <cell r="C1044" t="str">
            <v>Dvůr Králové</v>
          </cell>
          <cell r="D1044" t="str">
            <v>CZ/C2</v>
          </cell>
          <cell r="E1044" t="str">
            <v>M</v>
          </cell>
          <cell r="F1044" t="str">
            <v>Junior v roce 2026</v>
          </cell>
        </row>
        <row r="1045">
          <cell r="A1045" t="str">
            <v>Vojtech Hajek</v>
          </cell>
          <cell r="B1045">
            <v>1987</v>
          </cell>
          <cell r="C1045" t="str">
            <v>Mladá Boleslav</v>
          </cell>
          <cell r="D1045" t="str">
            <v>CZ/C1</v>
          </cell>
          <cell r="E1045" t="str">
            <v>M</v>
          </cell>
          <cell r="F1045" t="str">
            <v/>
          </cell>
        </row>
        <row r="1046">
          <cell r="A1046" t="str">
            <v>Vojtech Karlik</v>
          </cell>
          <cell r="B1046">
            <v>1982</v>
          </cell>
          <cell r="C1046" t="str">
            <v>Kunovice</v>
          </cell>
          <cell r="D1046" t="str">
            <v>CZ/M</v>
          </cell>
          <cell r="E1046" t="str">
            <v>M</v>
          </cell>
          <cell r="F1046" t="str">
            <v/>
          </cell>
        </row>
        <row r="1047">
          <cell r="A1047" t="str">
            <v>Vojtech Kostejn</v>
          </cell>
          <cell r="B1047">
            <v>1974</v>
          </cell>
          <cell r="C1047" t="str">
            <v>Česká Lípa</v>
          </cell>
          <cell r="D1047" t="str">
            <v>CZ/C2</v>
          </cell>
          <cell r="E1047" t="str">
            <v>M</v>
          </cell>
          <cell r="F1047" t="str">
            <v/>
          </cell>
        </row>
        <row r="1048">
          <cell r="A1048" t="str">
            <v>Vojtech Labuda</v>
          </cell>
          <cell r="B1048">
            <v>1980</v>
          </cell>
          <cell r="C1048" t="str">
            <v>Příbram</v>
          </cell>
          <cell r="D1048" t="str">
            <v>CZ/C1</v>
          </cell>
          <cell r="E1048" t="str">
            <v>M</v>
          </cell>
          <cell r="F1048" t="str">
            <v/>
          </cell>
        </row>
        <row r="1049">
          <cell r="A1049" t="str">
            <v>Vojtech Novotny</v>
          </cell>
          <cell r="B1049">
            <v>1992</v>
          </cell>
          <cell r="C1049" t="str">
            <v>Kralupy</v>
          </cell>
          <cell r="D1049" t="str">
            <v>CZ/C1</v>
          </cell>
          <cell r="E1049" t="str">
            <v>M</v>
          </cell>
          <cell r="F1049" t="str">
            <v/>
          </cell>
        </row>
        <row r="1050">
          <cell r="A1050" t="str">
            <v>Vojtech Pavek</v>
          </cell>
          <cell r="B1050">
            <v>2000</v>
          </cell>
          <cell r="C1050" t="str">
            <v>Medlánky</v>
          </cell>
          <cell r="D1050" t="str">
            <v>CZ/M</v>
          </cell>
          <cell r="E1050" t="str">
            <v>M</v>
          </cell>
          <cell r="F1050" t="str">
            <v/>
          </cell>
        </row>
        <row r="1051">
          <cell r="A1051" t="str">
            <v>Vojtech Petrovicky</v>
          </cell>
          <cell r="B1051">
            <v>1986</v>
          </cell>
          <cell r="C1051" t="str">
            <v>Mladá Boleslav</v>
          </cell>
          <cell r="D1051" t="str">
            <v>CZ/C1</v>
          </cell>
          <cell r="E1051" t="str">
            <v>M</v>
          </cell>
          <cell r="F1051" t="str">
            <v/>
          </cell>
        </row>
        <row r="1052">
          <cell r="A1052" t="str">
            <v>Vojtech Pivonka</v>
          </cell>
          <cell r="B1052">
            <v>1976</v>
          </cell>
          <cell r="C1052" t="str">
            <v>Vrchlabí</v>
          </cell>
          <cell r="D1052" t="str">
            <v>CZ/C2</v>
          </cell>
          <cell r="E1052" t="str">
            <v>M</v>
          </cell>
          <cell r="F1052" t="str">
            <v/>
          </cell>
        </row>
        <row r="1053">
          <cell r="A1053" t="str">
            <v>Vojtech Sehnal</v>
          </cell>
          <cell r="B1053">
            <v>1994</v>
          </cell>
          <cell r="C1053" t="str">
            <v>Kolín</v>
          </cell>
          <cell r="D1053" t="str">
            <v>CZ/C1</v>
          </cell>
          <cell r="E1053" t="str">
            <v>M</v>
          </cell>
          <cell r="F1053" t="str">
            <v/>
          </cell>
        </row>
        <row r="1054">
          <cell r="A1054" t="str">
            <v>Vojtech Stavny</v>
          </cell>
          <cell r="B1054">
            <v>1962</v>
          </cell>
          <cell r="C1054" t="str">
            <v>Letkov</v>
          </cell>
          <cell r="D1054" t="str">
            <v>CZ/C1</v>
          </cell>
          <cell r="E1054" t="str">
            <v>M</v>
          </cell>
          <cell r="F1054" t="str">
            <v/>
          </cell>
        </row>
        <row r="1055">
          <cell r="A1055" t="str">
            <v>Vojtech Svoboda</v>
          </cell>
          <cell r="B1055">
            <v>1994</v>
          </cell>
          <cell r="C1055" t="str">
            <v>Zbraslavice</v>
          </cell>
          <cell r="D1055" t="str">
            <v>CZ/C1</v>
          </cell>
          <cell r="E1055" t="str">
            <v>M</v>
          </cell>
          <cell r="F1055" t="str">
            <v/>
          </cell>
        </row>
        <row r="1056">
          <cell r="A1056" t="str">
            <v>Vojtech Vach 76</v>
          </cell>
          <cell r="B1056">
            <v>1976</v>
          </cell>
          <cell r="C1056" t="str">
            <v>Nové Město nad Metují</v>
          </cell>
          <cell r="D1056" t="str">
            <v>CZ/C2</v>
          </cell>
          <cell r="E1056" t="str">
            <v>M</v>
          </cell>
          <cell r="F1056" t="str">
            <v/>
          </cell>
        </row>
        <row r="1057">
          <cell r="A1057" t="str">
            <v>Vojtech Vach 03</v>
          </cell>
          <cell r="B1057">
            <v>2003</v>
          </cell>
          <cell r="C1057" t="str">
            <v>Vrchlabí</v>
          </cell>
          <cell r="D1057" t="str">
            <v>CZ/C2</v>
          </cell>
          <cell r="E1057" t="str">
            <v>M</v>
          </cell>
          <cell r="F1057" t="str">
            <v>Junior v roce 2026</v>
          </cell>
        </row>
        <row r="1058">
          <cell r="A1058" t="str">
            <v>Vratislav Orlita</v>
          </cell>
          <cell r="B1058">
            <v>1946</v>
          </cell>
          <cell r="C1058" t="str">
            <v>Kunovice</v>
          </cell>
          <cell r="D1058" t="str">
            <v>CZ/M</v>
          </cell>
          <cell r="E1058" t="str">
            <v>M</v>
          </cell>
          <cell r="F1058" t="str">
            <v/>
          </cell>
        </row>
        <row r="1059">
          <cell r="A1059" t="str">
            <v>Vratislav Sram</v>
          </cell>
          <cell r="B1059">
            <v>1966</v>
          </cell>
          <cell r="C1059" t="str">
            <v>Broumov</v>
          </cell>
          <cell r="D1059" t="str">
            <v>CZ/C2</v>
          </cell>
          <cell r="E1059" t="str">
            <v>M</v>
          </cell>
          <cell r="F1059" t="str">
            <v/>
          </cell>
        </row>
        <row r="1060">
          <cell r="A1060" t="str">
            <v>Wolfgang Sluka</v>
          </cell>
          <cell r="B1060">
            <v>1942</v>
          </cell>
          <cell r="C1060" t="str">
            <v>Liberec</v>
          </cell>
          <cell r="D1060" t="str">
            <v>CZ/C2</v>
          </cell>
          <cell r="E1060" t="str">
            <v>M</v>
          </cell>
          <cell r="F1060" t="str">
            <v/>
          </cell>
        </row>
        <row r="1061">
          <cell r="A1061" t="str">
            <v>Yvona Vyhnankova</v>
          </cell>
          <cell r="B1061">
            <v>1963</v>
          </cell>
          <cell r="C1061" t="str">
            <v>Olomouc</v>
          </cell>
          <cell r="D1061" t="str">
            <v>CZ/M</v>
          </cell>
          <cell r="E1061" t="str">
            <v>F</v>
          </cell>
          <cell r="F1061" t="str">
            <v/>
          </cell>
        </row>
        <row r="1062">
          <cell r="A1062" t="str">
            <v>Zbynek Bican</v>
          </cell>
          <cell r="B1062">
            <v>1961</v>
          </cell>
          <cell r="C1062" t="str">
            <v>Raná</v>
          </cell>
          <cell r="D1062" t="str">
            <v>CZ/C2</v>
          </cell>
          <cell r="E1062" t="str">
            <v>M</v>
          </cell>
          <cell r="F1062" t="str">
            <v/>
          </cell>
        </row>
        <row r="1063">
          <cell r="A1063" t="str">
            <v>Zbynek Fuksa</v>
          </cell>
          <cell r="B1063">
            <v>1956</v>
          </cell>
          <cell r="C1063" t="str">
            <v>Jičín</v>
          </cell>
          <cell r="D1063" t="str">
            <v>CZ/C2</v>
          </cell>
          <cell r="E1063" t="str">
            <v>M</v>
          </cell>
          <cell r="F1063" t="str">
            <v/>
          </cell>
        </row>
        <row r="1064">
          <cell r="A1064" t="str">
            <v>Zbynek Zdrahal</v>
          </cell>
          <cell r="B1064">
            <v>1965</v>
          </cell>
          <cell r="C1064" t="str">
            <v>Medlánky</v>
          </cell>
          <cell r="D1064" t="str">
            <v>CZ/M</v>
          </cell>
          <cell r="E1064" t="str">
            <v>M</v>
          </cell>
          <cell r="F1064" t="str">
            <v/>
          </cell>
        </row>
        <row r="1065">
          <cell r="A1065" t="str">
            <v>Zbynek Koudelka</v>
          </cell>
          <cell r="B1065">
            <v>1991</v>
          </cell>
          <cell r="C1065" t="str">
            <v>Křižanov</v>
          </cell>
          <cell r="D1065" t="str">
            <v>CZ/M</v>
          </cell>
          <cell r="E1065" t="str">
            <v>M</v>
          </cell>
          <cell r="F1065" t="str">
            <v/>
          </cell>
        </row>
        <row r="1066">
          <cell r="A1066" t="str">
            <v>Zbynek Kuchta</v>
          </cell>
          <cell r="B1066">
            <v>1976</v>
          </cell>
          <cell r="C1066" t="str">
            <v>Klatovy</v>
          </cell>
          <cell r="D1066" t="str">
            <v>CZ/C1</v>
          </cell>
          <cell r="E1066" t="str">
            <v>M</v>
          </cell>
          <cell r="F1066" t="str">
            <v/>
          </cell>
        </row>
        <row r="1067">
          <cell r="A1067" t="str">
            <v>Zdenek Balcarek</v>
          </cell>
          <cell r="B1067">
            <v>1967</v>
          </cell>
          <cell r="C1067" t="str">
            <v>Kroměříž</v>
          </cell>
          <cell r="D1067" t="str">
            <v>CZ/M</v>
          </cell>
          <cell r="E1067" t="str">
            <v>M</v>
          </cell>
          <cell r="F1067" t="str">
            <v/>
          </cell>
        </row>
        <row r="1068">
          <cell r="A1068" t="str">
            <v>Zdenek Bohm</v>
          </cell>
          <cell r="B1068">
            <v>1963</v>
          </cell>
          <cell r="C1068" t="str">
            <v>Kolín</v>
          </cell>
          <cell r="D1068" t="str">
            <v>CZ/C1</v>
          </cell>
          <cell r="E1068" t="str">
            <v>M</v>
          </cell>
          <cell r="F1068" t="str">
            <v/>
          </cell>
        </row>
        <row r="1069">
          <cell r="A1069" t="str">
            <v>Zdenek Boruvka 54</v>
          </cell>
          <cell r="B1069">
            <v>1954</v>
          </cell>
          <cell r="C1069" t="str">
            <v>Jičín</v>
          </cell>
          <cell r="D1069" t="str">
            <v>CZ/C2</v>
          </cell>
          <cell r="E1069" t="str">
            <v>M</v>
          </cell>
          <cell r="F1069" t="str">
            <v/>
          </cell>
        </row>
        <row r="1070">
          <cell r="A1070" t="str">
            <v>Zdenek Boruvka 86</v>
          </cell>
          <cell r="B1070">
            <v>1986</v>
          </cell>
          <cell r="C1070" t="str">
            <v>Jičín</v>
          </cell>
          <cell r="D1070" t="str">
            <v>CZ/C2</v>
          </cell>
          <cell r="E1070" t="str">
            <v>M</v>
          </cell>
          <cell r="F1070" t="str">
            <v/>
          </cell>
        </row>
        <row r="1071">
          <cell r="A1071" t="str">
            <v>Zdenek Buben</v>
          </cell>
          <cell r="B1071">
            <v>1978</v>
          </cell>
          <cell r="C1071" t="str">
            <v>Hodkovice</v>
          </cell>
          <cell r="D1071" t="str">
            <v>CZ/C2</v>
          </cell>
          <cell r="E1071" t="str">
            <v>M</v>
          </cell>
          <cell r="F1071" t="str">
            <v/>
          </cell>
        </row>
        <row r="1072">
          <cell r="A1072" t="str">
            <v>Zdenek Kropac</v>
          </cell>
          <cell r="B1072">
            <v>1981</v>
          </cell>
          <cell r="C1072" t="str">
            <v>Kladno</v>
          </cell>
          <cell r="D1072" t="str">
            <v>CZ/C1</v>
          </cell>
          <cell r="E1072" t="str">
            <v>M</v>
          </cell>
          <cell r="F1072" t="str">
            <v/>
          </cell>
        </row>
        <row r="1073">
          <cell r="A1073" t="str">
            <v>Zdenek Krivanek</v>
          </cell>
          <cell r="B1073">
            <v>1967</v>
          </cell>
          <cell r="C1073" t="str">
            <v>Kolín</v>
          </cell>
          <cell r="D1073" t="str">
            <v>CZ/C1</v>
          </cell>
          <cell r="E1073" t="str">
            <v>M</v>
          </cell>
          <cell r="F1073" t="str">
            <v/>
          </cell>
        </row>
        <row r="1074">
          <cell r="A1074" t="str">
            <v>Zdenek Mach</v>
          </cell>
          <cell r="B1074">
            <v>1976</v>
          </cell>
          <cell r="C1074" t="str">
            <v>Broumov</v>
          </cell>
          <cell r="D1074" t="str">
            <v>CZ/C2</v>
          </cell>
          <cell r="E1074" t="str">
            <v>M</v>
          </cell>
          <cell r="F1074" t="str">
            <v/>
          </cell>
        </row>
        <row r="1075">
          <cell r="A1075" t="str">
            <v>Zdenek Parizek</v>
          </cell>
          <cell r="B1075">
            <v>1984</v>
          </cell>
          <cell r="C1075" t="str">
            <v>Raná</v>
          </cell>
          <cell r="D1075" t="str">
            <v>CZ/C2</v>
          </cell>
          <cell r="E1075" t="str">
            <v>M</v>
          </cell>
          <cell r="F1075" t="str">
            <v/>
          </cell>
        </row>
        <row r="1076">
          <cell r="A1076" t="str">
            <v>Zdenek Schenk</v>
          </cell>
          <cell r="B1076">
            <v>1972</v>
          </cell>
          <cell r="C1076" t="str">
            <v>Hranice</v>
          </cell>
          <cell r="D1076" t="str">
            <v>CZ/M</v>
          </cell>
          <cell r="E1076" t="str">
            <v>M</v>
          </cell>
          <cell r="F1076" t="str">
            <v/>
          </cell>
        </row>
        <row r="1077">
          <cell r="A1077" t="str">
            <v>Zdenek Setek</v>
          </cell>
          <cell r="B1077">
            <v>1980</v>
          </cell>
          <cell r="C1077" t="str">
            <v>Kolín</v>
          </cell>
          <cell r="D1077" t="str">
            <v>CZ/C1</v>
          </cell>
          <cell r="E1077" t="str">
            <v>M</v>
          </cell>
          <cell r="F1077" t="str">
            <v/>
          </cell>
        </row>
        <row r="1078">
          <cell r="A1078" t="str">
            <v>Zdenek Spacek</v>
          </cell>
          <cell r="B1078">
            <v>1980</v>
          </cell>
          <cell r="C1078" t="str">
            <v>Přibyslav</v>
          </cell>
          <cell r="D1078" t="str">
            <v>CZ/C2</v>
          </cell>
          <cell r="E1078" t="str">
            <v>M</v>
          </cell>
          <cell r="F1078" t="str">
            <v/>
          </cell>
        </row>
        <row r="1079">
          <cell r="A1079" t="str">
            <v>Zdenek Votava</v>
          </cell>
          <cell r="B1079">
            <v>2007</v>
          </cell>
          <cell r="C1079" t="str">
            <v>Letkov</v>
          </cell>
          <cell r="D1079" t="str">
            <v>CZ/C1</v>
          </cell>
          <cell r="E1079" t="str">
            <v>M</v>
          </cell>
          <cell r="F1079" t="str">
            <v>Junior v roce 2026</v>
          </cell>
        </row>
        <row r="1080">
          <cell r="A1080" t="str">
            <v>Zdenek Zabloudil</v>
          </cell>
          <cell r="B1080">
            <v>1962</v>
          </cell>
          <cell r="C1080" t="str">
            <v>Medlánky</v>
          </cell>
          <cell r="D1080" t="str">
            <v>CZ/M</v>
          </cell>
          <cell r="E1080" t="str">
            <v>M</v>
          </cell>
          <cell r="F1080" t="str">
            <v/>
          </cell>
        </row>
        <row r="1081">
          <cell r="A1081" t="str">
            <v>Zdenek Zerzan</v>
          </cell>
          <cell r="B1081">
            <v>1968</v>
          </cell>
          <cell r="C1081" t="str">
            <v>Šumperk</v>
          </cell>
          <cell r="D1081" t="str">
            <v>CZ/M</v>
          </cell>
          <cell r="E1081" t="str">
            <v>M</v>
          </cell>
          <cell r="F1081" t="str">
            <v/>
          </cell>
        </row>
        <row r="1082">
          <cell r="A1082" t="str">
            <v>Zuzana Kutilkova</v>
          </cell>
          <cell r="B1082">
            <v>1993</v>
          </cell>
          <cell r="C1082" t="str">
            <v>Křižanov</v>
          </cell>
          <cell r="D1082" t="str">
            <v>CZ/M</v>
          </cell>
          <cell r="E1082" t="str">
            <v>F</v>
          </cell>
          <cell r="F1082" t="str">
            <v/>
          </cell>
        </row>
        <row r="1083">
          <cell r="A1083" t="str">
            <v>Zuzana Markesova</v>
          </cell>
          <cell r="B1083">
            <v>2001</v>
          </cell>
          <cell r="C1083" t="str">
            <v>Medlánky</v>
          </cell>
          <cell r="D1083" t="str">
            <v>CZ/M</v>
          </cell>
          <cell r="E1083" t="str">
            <v>F</v>
          </cell>
          <cell r="F1083" t="str">
            <v>Junior v roce 2026</v>
          </cell>
        </row>
        <row r="1084">
          <cell r="A1084" t="str">
            <v>Zuzana Novakova</v>
          </cell>
          <cell r="B1084">
            <v>2001</v>
          </cell>
          <cell r="C1084" t="str">
            <v>Hranice</v>
          </cell>
          <cell r="D1084" t="str">
            <v>CZ/M</v>
          </cell>
          <cell r="E1084" t="str">
            <v>F</v>
          </cell>
          <cell r="F1084" t="str">
            <v>Junior v roce 2026</v>
          </cell>
        </row>
        <row r="1085">
          <cell r="A1085" t="str">
            <v>Zitomir Krepinsky</v>
          </cell>
          <cell r="B1085">
            <v>1987</v>
          </cell>
          <cell r="C1085" t="str">
            <v>Chrudim</v>
          </cell>
          <cell r="D1085" t="str">
            <v>CZ/C2</v>
          </cell>
          <cell r="E1085" t="str">
            <v>M</v>
          </cell>
          <cell r="F1085" t="str">
            <v/>
          </cell>
        </row>
      </sheetData>
      <sheetData sheetId="4">
        <row r="1">
          <cell r="A1" t="str">
            <v>Aeroklub</v>
          </cell>
          <cell r="B1" t="str">
            <v>Region</v>
          </cell>
        </row>
        <row r="2">
          <cell r="A2" t="str">
            <v>Benešov</v>
          </cell>
          <cell r="B2" t="str">
            <v>CZ/C1</v>
          </cell>
        </row>
        <row r="3">
          <cell r="A3" t="str">
            <v>Beroun</v>
          </cell>
          <cell r="B3" t="str">
            <v>CZ/C1</v>
          </cell>
        </row>
        <row r="4">
          <cell r="A4" t="str">
            <v>Bystřice u Benešova</v>
          </cell>
          <cell r="B4" t="str">
            <v>CZ/C1</v>
          </cell>
        </row>
        <row r="5">
          <cell r="A5" t="str">
            <v>Erpužice</v>
          </cell>
          <cell r="B5" t="str">
            <v>CZ/C1</v>
          </cell>
        </row>
        <row r="6">
          <cell r="A6" t="str">
            <v>GAC Benešov</v>
          </cell>
          <cell r="B6" t="str">
            <v>CZ/C1</v>
          </cell>
        </row>
        <row r="7">
          <cell r="A7" t="str">
            <v>Hořovice</v>
          </cell>
          <cell r="B7" t="str">
            <v>CZ/C1</v>
          </cell>
        </row>
        <row r="8">
          <cell r="A8" t="str">
            <v>Hosín</v>
          </cell>
          <cell r="B8" t="str">
            <v>CZ/C1</v>
          </cell>
        </row>
        <row r="9">
          <cell r="A9" t="str">
            <v>Jindřichův Hradec</v>
          </cell>
          <cell r="B9" t="str">
            <v>CZ/C1</v>
          </cell>
        </row>
        <row r="10">
          <cell r="A10" t="str">
            <v>Karlovy Vary</v>
          </cell>
          <cell r="B10" t="str">
            <v>CZ/C1</v>
          </cell>
        </row>
        <row r="11">
          <cell r="A11" t="str">
            <v>Karlštejn</v>
          </cell>
          <cell r="B11" t="str">
            <v>CZ/C1</v>
          </cell>
        </row>
        <row r="12">
          <cell r="A12" t="str">
            <v>Kladno</v>
          </cell>
          <cell r="B12" t="str">
            <v>CZ/C1</v>
          </cell>
        </row>
        <row r="13">
          <cell r="A13" t="str">
            <v>Klatovy</v>
          </cell>
          <cell r="B13" t="str">
            <v>CZ/C1</v>
          </cell>
        </row>
        <row r="14">
          <cell r="A14" t="str">
            <v>Kolín</v>
          </cell>
          <cell r="B14" t="str">
            <v>CZ/C1</v>
          </cell>
        </row>
        <row r="15">
          <cell r="A15" t="str">
            <v>Kralupy</v>
          </cell>
          <cell r="B15" t="str">
            <v>CZ/C1</v>
          </cell>
        </row>
        <row r="16">
          <cell r="A16" t="str">
            <v>Letkov</v>
          </cell>
          <cell r="B16" t="str">
            <v>CZ/C1</v>
          </cell>
        </row>
        <row r="17">
          <cell r="A17" t="str">
            <v>Letňany</v>
          </cell>
          <cell r="B17" t="str">
            <v>CZ/C1</v>
          </cell>
        </row>
        <row r="18">
          <cell r="A18" t="str">
            <v>Mladá Boleslav</v>
          </cell>
          <cell r="B18" t="str">
            <v>CZ/C1</v>
          </cell>
        </row>
        <row r="19">
          <cell r="A19" t="str">
            <v>Nesvačily</v>
          </cell>
          <cell r="B19" t="str">
            <v>CZ/C1</v>
          </cell>
        </row>
        <row r="20">
          <cell r="A20" t="str">
            <v>Panenský Týnec</v>
          </cell>
          <cell r="B20" t="str">
            <v>CZ/C1</v>
          </cell>
        </row>
        <row r="21">
          <cell r="A21" t="str">
            <v>Plasy</v>
          </cell>
          <cell r="B21" t="str">
            <v>CZ/C1</v>
          </cell>
        </row>
        <row r="22">
          <cell r="A22" t="str">
            <v>Plzeň Bory</v>
          </cell>
          <cell r="B22" t="str">
            <v>CZ/C1</v>
          </cell>
        </row>
        <row r="23">
          <cell r="A23" t="str">
            <v>Prachatice</v>
          </cell>
          <cell r="B23" t="str">
            <v>CZ/C1</v>
          </cell>
        </row>
        <row r="24">
          <cell r="A24" t="str">
            <v>Příbram</v>
          </cell>
          <cell r="B24" t="str">
            <v>CZ/C1</v>
          </cell>
        </row>
        <row r="25">
          <cell r="A25" t="str">
            <v>Rakovník</v>
          </cell>
          <cell r="B25" t="str">
            <v>CZ/C1</v>
          </cell>
        </row>
        <row r="26">
          <cell r="A26" t="str">
            <v>Slaný</v>
          </cell>
          <cell r="B26" t="str">
            <v>CZ/C1</v>
          </cell>
        </row>
        <row r="27">
          <cell r="A27" t="str">
            <v>Soběslav</v>
          </cell>
          <cell r="B27" t="str">
            <v>CZ/C1</v>
          </cell>
        </row>
        <row r="28">
          <cell r="A28" t="str">
            <v>Staňkov</v>
          </cell>
          <cell r="B28" t="str">
            <v>CZ/C1</v>
          </cell>
        </row>
        <row r="29">
          <cell r="A29" t="str">
            <v>Strakonice</v>
          </cell>
          <cell r="B29" t="str">
            <v>CZ/C1</v>
          </cell>
        </row>
        <row r="30">
          <cell r="A30" t="str">
            <v>Tábor</v>
          </cell>
          <cell r="B30" t="str">
            <v>CZ/C1</v>
          </cell>
        </row>
        <row r="31">
          <cell r="A31" t="str">
            <v>Tachov</v>
          </cell>
          <cell r="B31" t="str">
            <v>CZ/C1</v>
          </cell>
        </row>
        <row r="32">
          <cell r="A32" t="str">
            <v>Točná</v>
          </cell>
          <cell r="B32" t="str">
            <v>CZ/C1</v>
          </cell>
        </row>
        <row r="33">
          <cell r="A33" t="str">
            <v>Toužim</v>
          </cell>
          <cell r="B33" t="str">
            <v>CZ/C1</v>
          </cell>
        </row>
        <row r="34">
          <cell r="A34" t="str">
            <v>Vlašim</v>
          </cell>
          <cell r="B34" t="str">
            <v>CZ/C1</v>
          </cell>
        </row>
        <row r="35">
          <cell r="A35" t="str">
            <v>Zbraslavice</v>
          </cell>
          <cell r="B35" t="str">
            <v>CZ/C1</v>
          </cell>
        </row>
        <row r="36">
          <cell r="A36" t="str">
            <v>-</v>
          </cell>
          <cell r="B36" t="str">
            <v>-</v>
          </cell>
        </row>
        <row r="37">
          <cell r="A37" t="str">
            <v>Broumov</v>
          </cell>
          <cell r="B37" t="str">
            <v>CZ/C2</v>
          </cell>
        </row>
        <row r="38">
          <cell r="A38" t="str">
            <v>Česká Lípa</v>
          </cell>
          <cell r="B38" t="str">
            <v>CZ/C2</v>
          </cell>
        </row>
        <row r="39">
          <cell r="A39" t="str">
            <v>Dvůr Králové</v>
          </cell>
          <cell r="B39" t="str">
            <v>CZ/C2</v>
          </cell>
        </row>
        <row r="40">
          <cell r="A40" t="str">
            <v>Havlíčkův Brod</v>
          </cell>
          <cell r="B40" t="str">
            <v>CZ/C2</v>
          </cell>
        </row>
        <row r="41">
          <cell r="A41" t="str">
            <v>Hodkovice</v>
          </cell>
          <cell r="B41" t="str">
            <v>CZ/C2</v>
          </cell>
        </row>
        <row r="42">
          <cell r="A42" t="str">
            <v>Hořice</v>
          </cell>
          <cell r="B42" t="str">
            <v>CZ/C2</v>
          </cell>
        </row>
        <row r="43">
          <cell r="A43" t="str">
            <v>Hradčany</v>
          </cell>
          <cell r="B43" t="str">
            <v>CZ/C2</v>
          </cell>
        </row>
        <row r="44">
          <cell r="A44" t="str">
            <v>Hronov</v>
          </cell>
          <cell r="B44" t="str">
            <v>CZ/C2</v>
          </cell>
        </row>
        <row r="45">
          <cell r="A45" t="str">
            <v>Chomutov</v>
          </cell>
          <cell r="B45" t="str">
            <v>CZ/C2</v>
          </cell>
        </row>
        <row r="46">
          <cell r="A46" t="str">
            <v>Chotěboř</v>
          </cell>
          <cell r="B46" t="str">
            <v>CZ/C2</v>
          </cell>
        </row>
        <row r="47">
          <cell r="A47" t="str">
            <v>Chrudim</v>
          </cell>
          <cell r="B47" t="str">
            <v>CZ/C2</v>
          </cell>
        </row>
        <row r="48">
          <cell r="A48" t="str">
            <v>Jaroměř</v>
          </cell>
          <cell r="B48" t="str">
            <v>CZ/C2</v>
          </cell>
        </row>
        <row r="49">
          <cell r="A49" t="str">
            <v>Jičín</v>
          </cell>
          <cell r="B49" t="str">
            <v>CZ/C2</v>
          </cell>
        </row>
        <row r="50">
          <cell r="A50" t="str">
            <v>Letecká společnost na Vysočině</v>
          </cell>
          <cell r="B50" t="str">
            <v>CZ/C2</v>
          </cell>
        </row>
        <row r="51">
          <cell r="A51" t="str">
            <v>Liberec</v>
          </cell>
          <cell r="B51" t="str">
            <v>CZ/C2</v>
          </cell>
        </row>
        <row r="52">
          <cell r="A52" t="str">
            <v>Mnichovo Hradiště</v>
          </cell>
          <cell r="B52" t="str">
            <v>CZ/C2</v>
          </cell>
        </row>
        <row r="53">
          <cell r="A53" t="str">
            <v>Most</v>
          </cell>
          <cell r="B53" t="str">
            <v>CZ/C2</v>
          </cell>
        </row>
        <row r="54">
          <cell r="A54" t="str">
            <v>Náchod</v>
          </cell>
          <cell r="B54" t="str">
            <v>CZ/C2</v>
          </cell>
        </row>
        <row r="55">
          <cell r="A55" t="str">
            <v>Nové Město nad Metují</v>
          </cell>
          <cell r="B55" t="str">
            <v>CZ/C2</v>
          </cell>
        </row>
        <row r="56">
          <cell r="A56" t="str">
            <v>Pardubice</v>
          </cell>
          <cell r="B56" t="str">
            <v>CZ/C2</v>
          </cell>
        </row>
        <row r="57">
          <cell r="A57" t="str">
            <v>Podhořany</v>
          </cell>
          <cell r="B57" t="str">
            <v>CZ/C2</v>
          </cell>
        </row>
        <row r="58">
          <cell r="A58" t="str">
            <v>Polička</v>
          </cell>
          <cell r="B58" t="str">
            <v>CZ/C2</v>
          </cell>
        </row>
        <row r="59">
          <cell r="A59" t="str">
            <v>Přibyslav</v>
          </cell>
          <cell r="B59" t="str">
            <v>CZ/C2</v>
          </cell>
        </row>
        <row r="60">
          <cell r="A60" t="str">
            <v>Raná</v>
          </cell>
          <cell r="B60" t="str">
            <v>CZ/C2</v>
          </cell>
        </row>
        <row r="61">
          <cell r="A61" t="str">
            <v>Roudnice</v>
          </cell>
          <cell r="B61" t="str">
            <v>CZ/C2</v>
          </cell>
        </row>
        <row r="62">
          <cell r="A62" t="str">
            <v>Skuteč</v>
          </cell>
          <cell r="B62" t="str">
            <v>CZ/C2</v>
          </cell>
        </row>
        <row r="63">
          <cell r="A63" t="str">
            <v>Turnov</v>
          </cell>
          <cell r="B63" t="str">
            <v>CZ/C2</v>
          </cell>
        </row>
        <row r="64">
          <cell r="A64" t="str">
            <v>Ústí nad Labem</v>
          </cell>
          <cell r="B64" t="str">
            <v>CZ/C2</v>
          </cell>
        </row>
        <row r="65">
          <cell r="A65" t="str">
            <v>Ústí nad Orlicí</v>
          </cell>
          <cell r="B65" t="str">
            <v>CZ/C2</v>
          </cell>
        </row>
        <row r="66">
          <cell r="A66" t="str">
            <v>Vrchlabí</v>
          </cell>
          <cell r="B66" t="str">
            <v>CZ/C2</v>
          </cell>
        </row>
        <row r="67">
          <cell r="A67" t="str">
            <v>Vysoké Mýto</v>
          </cell>
          <cell r="B67" t="str">
            <v>CZ/C2</v>
          </cell>
        </row>
        <row r="68">
          <cell r="A68" t="str">
            <v>Žamberk</v>
          </cell>
          <cell r="B68" t="str">
            <v>CZ/C2</v>
          </cell>
        </row>
        <row r="69">
          <cell r="A69" t="str">
            <v>-</v>
          </cell>
          <cell r="B69" t="str">
            <v>-</v>
          </cell>
        </row>
        <row r="70">
          <cell r="A70" t="str">
            <v>Bohuňovice</v>
          </cell>
          <cell r="B70" t="str">
            <v>CZ/M</v>
          </cell>
        </row>
        <row r="71">
          <cell r="A71" t="str">
            <v>Břeclav</v>
          </cell>
          <cell r="B71" t="str">
            <v>CZ/M</v>
          </cell>
        </row>
        <row r="72">
          <cell r="A72" t="str">
            <v>LK Břeclav</v>
          </cell>
          <cell r="B72" t="str">
            <v>CZ/M</v>
          </cell>
        </row>
        <row r="73">
          <cell r="A73" t="str">
            <v>Frýdlant</v>
          </cell>
          <cell r="B73" t="str">
            <v>CZ/M</v>
          </cell>
        </row>
        <row r="74">
          <cell r="A74" t="str">
            <v>Hranice</v>
          </cell>
          <cell r="B74" t="str">
            <v>CZ/M</v>
          </cell>
        </row>
        <row r="75">
          <cell r="A75" t="str">
            <v>Jeseník</v>
          </cell>
          <cell r="B75" t="str">
            <v>CZ/M</v>
          </cell>
        </row>
        <row r="76">
          <cell r="A76" t="str">
            <v>Jihlava</v>
          </cell>
          <cell r="B76" t="str">
            <v>CZ/M</v>
          </cell>
        </row>
        <row r="77">
          <cell r="A77" t="str">
            <v>Krnov</v>
          </cell>
          <cell r="B77" t="str">
            <v>CZ/M</v>
          </cell>
        </row>
        <row r="78">
          <cell r="A78" t="str">
            <v>Kroměříž</v>
          </cell>
          <cell r="B78" t="str">
            <v>CZ/M</v>
          </cell>
        </row>
        <row r="79">
          <cell r="A79" t="str">
            <v>Křižanov</v>
          </cell>
          <cell r="B79" t="str">
            <v>CZ/M</v>
          </cell>
        </row>
        <row r="80">
          <cell r="A80" t="str">
            <v>Kunovice</v>
          </cell>
          <cell r="B80" t="str">
            <v>CZ/M</v>
          </cell>
        </row>
        <row r="81">
          <cell r="A81" t="str">
            <v>Kyjov</v>
          </cell>
          <cell r="B81" t="str">
            <v>CZ/M</v>
          </cell>
        </row>
        <row r="82">
          <cell r="A82" t="str">
            <v>Luhačovice</v>
          </cell>
          <cell r="B82" t="str">
            <v>CZ/M</v>
          </cell>
        </row>
        <row r="83">
          <cell r="A83" t="str">
            <v>Medlánky</v>
          </cell>
          <cell r="B83" t="str">
            <v>CZ/M</v>
          </cell>
        </row>
        <row r="84">
          <cell r="A84" t="str">
            <v>Moravská Třebová</v>
          </cell>
          <cell r="B84" t="str">
            <v>CZ/M</v>
          </cell>
        </row>
        <row r="85">
          <cell r="A85" t="str">
            <v>Olomouc</v>
          </cell>
          <cell r="B85" t="str">
            <v>CZ/M</v>
          </cell>
        </row>
        <row r="86">
          <cell r="A86" t="str">
            <v>Prostějov</v>
          </cell>
          <cell r="B86" t="str">
            <v>CZ/M</v>
          </cell>
        </row>
        <row r="87">
          <cell r="A87" t="str">
            <v>Slatina</v>
          </cell>
          <cell r="B87" t="str">
            <v>CZ/M</v>
          </cell>
        </row>
        <row r="88">
          <cell r="A88" t="str">
            <v>Slavičín</v>
          </cell>
          <cell r="B88" t="str">
            <v>CZ/M</v>
          </cell>
        </row>
        <row r="89">
          <cell r="A89" t="str">
            <v>Stichovice</v>
          </cell>
          <cell r="B89" t="str">
            <v>CZ/M</v>
          </cell>
        </row>
        <row r="90">
          <cell r="A90" t="str">
            <v>Šumperk</v>
          </cell>
          <cell r="B90" t="str">
            <v>CZ/M</v>
          </cell>
        </row>
        <row r="91">
          <cell r="A91" t="str">
            <v>Vyškov</v>
          </cell>
          <cell r="B91" t="str">
            <v>CZ/M</v>
          </cell>
        </row>
        <row r="92">
          <cell r="A92" t="str">
            <v>Zábřeh</v>
          </cell>
          <cell r="B92" t="str">
            <v>CZ/M</v>
          </cell>
        </row>
        <row r="94">
          <cell r="A94" t="str">
            <v>Aalborg</v>
          </cell>
          <cell r="B94" t="str">
            <v>DK</v>
          </cell>
        </row>
        <row r="95">
          <cell r="A95" t="str">
            <v>Air Sympatia</v>
          </cell>
          <cell r="B95" t="str">
            <v>SK</v>
          </cell>
        </row>
        <row r="96">
          <cell r="A96" t="str">
            <v>Akaflieg Dresden</v>
          </cell>
          <cell r="B96" t="str">
            <v>DE</v>
          </cell>
        </row>
        <row r="97">
          <cell r="A97" t="str">
            <v>Bad Nauheim</v>
          </cell>
          <cell r="B97" t="str">
            <v>DE</v>
          </cell>
        </row>
        <row r="98">
          <cell r="A98" t="str">
            <v>Bratislava</v>
          </cell>
          <cell r="B98" t="str">
            <v>SK</v>
          </cell>
        </row>
        <row r="99">
          <cell r="A99" t="str">
            <v>Dánsko</v>
          </cell>
          <cell r="B99" t="str">
            <v>DK</v>
          </cell>
        </row>
        <row r="100">
          <cell r="A100" t="str">
            <v>Greiz</v>
          </cell>
          <cell r="B100" t="str">
            <v>DE</v>
          </cell>
        </row>
        <row r="101">
          <cell r="A101" t="str">
            <v>Japonsko</v>
          </cell>
          <cell r="B101" t="str">
            <v>JP</v>
          </cell>
        </row>
        <row r="102">
          <cell r="A102" t="str">
            <v>Jelenia Góra</v>
          </cell>
          <cell r="B102" t="str">
            <v>PL</v>
          </cell>
        </row>
        <row r="103">
          <cell r="A103" t="str">
            <v>Martin</v>
          </cell>
          <cell r="B103" t="str">
            <v>SK</v>
          </cell>
        </row>
        <row r="104">
          <cell r="A104" t="str">
            <v>Německo</v>
          </cell>
          <cell r="B104" t="str">
            <v>DE</v>
          </cell>
        </row>
        <row r="105">
          <cell r="A105" t="str">
            <v>Nitra</v>
          </cell>
          <cell r="B105" t="str">
            <v>SK</v>
          </cell>
        </row>
        <row r="106">
          <cell r="A106" t="str">
            <v>Novo Mesto</v>
          </cell>
          <cell r="B106" t="str">
            <v>SI</v>
          </cell>
        </row>
        <row r="107">
          <cell r="A107" t="str">
            <v>Poprad</v>
          </cell>
          <cell r="B107" t="str">
            <v>SK</v>
          </cell>
        </row>
        <row r="108">
          <cell r="A108" t="str">
            <v>Prešov</v>
          </cell>
          <cell r="B108" t="str">
            <v>SK</v>
          </cell>
        </row>
        <row r="109">
          <cell r="A109" t="str">
            <v>Prievidza</v>
          </cell>
          <cell r="B109" t="str">
            <v>SK</v>
          </cell>
        </row>
        <row r="110">
          <cell r="A110" t="str">
            <v>Rakousko</v>
          </cell>
          <cell r="B110" t="str">
            <v>AT</v>
          </cell>
        </row>
        <row r="111">
          <cell r="A111" t="str">
            <v>Ružomberok</v>
          </cell>
          <cell r="B111" t="str">
            <v>SK</v>
          </cell>
        </row>
        <row r="112">
          <cell r="A112" t="str">
            <v>SGC Martin</v>
          </cell>
          <cell r="B112" t="str">
            <v>SK</v>
          </cell>
        </row>
        <row r="113">
          <cell r="A113" t="str">
            <v>Slovinsko</v>
          </cell>
          <cell r="B113" t="str">
            <v>SI</v>
          </cell>
        </row>
        <row r="114">
          <cell r="A114" t="str">
            <v>Trenčín</v>
          </cell>
          <cell r="B114" t="str">
            <v>SK</v>
          </cell>
        </row>
        <row r="115">
          <cell r="A115" t="str">
            <v>Trnava</v>
          </cell>
          <cell r="B115" t="str">
            <v>SK</v>
          </cell>
        </row>
        <row r="116">
          <cell r="A116" t="str">
            <v>Žilina</v>
          </cell>
          <cell r="B116" t="str">
            <v>SK</v>
          </cell>
        </row>
      </sheetData>
      <sheetData sheetId="5" refreshError="1"/>
      <sheetData sheetId="6" refreshError="1"/>
      <sheetData sheetId="7"/>
      <sheetData sheetId="8">
        <row r="7">
          <cell r="B7" t="str">
            <v>Alena Netusilova</v>
          </cell>
          <cell r="C7">
            <v>1970</v>
          </cell>
          <cell r="D7" t="str">
            <v>F</v>
          </cell>
          <cell r="E7" t="str">
            <v>Zbraslavice</v>
          </cell>
          <cell r="F7" t="str">
            <v>CZ/C1</v>
          </cell>
          <cell r="G7">
            <v>30464</v>
          </cell>
          <cell r="H7">
            <v>3</v>
          </cell>
          <cell r="I7">
            <v>1</v>
          </cell>
          <cell r="J7" t="str">
            <v/>
          </cell>
          <cell r="K7" t="str">
            <v/>
          </cell>
          <cell r="M7" t="str">
            <v>WRV 2026</v>
          </cell>
        </row>
        <row r="8">
          <cell r="B8" t="str">
            <v>Michaela Krizova</v>
          </cell>
          <cell r="C8">
            <v>2001</v>
          </cell>
          <cell r="D8" t="str">
            <v>F</v>
          </cell>
          <cell r="E8" t="str">
            <v>Přibyslav</v>
          </cell>
          <cell r="F8" t="str">
            <v>CZ/C2</v>
          </cell>
          <cell r="G8">
            <v>29616</v>
          </cell>
          <cell r="H8">
            <v>3</v>
          </cell>
          <cell r="I8">
            <v>2</v>
          </cell>
          <cell r="J8" t="str">
            <v>Juniorka v roce 2026</v>
          </cell>
          <cell r="K8" t="str">
            <v/>
          </cell>
          <cell r="M8" t="str">
            <v>WRV 2026</v>
          </cell>
        </row>
        <row r="9">
          <cell r="B9" t="str">
            <v>Tereza Koubkova</v>
          </cell>
          <cell r="C9">
            <v>1999</v>
          </cell>
          <cell r="D9" t="str">
            <v>F</v>
          </cell>
          <cell r="E9" t="str">
            <v>Vysoké Mýto</v>
          </cell>
          <cell r="F9" t="str">
            <v>CZ/C2</v>
          </cell>
          <cell r="G9">
            <v>29258</v>
          </cell>
          <cell r="H9">
            <v>3</v>
          </cell>
          <cell r="I9">
            <v>3</v>
          </cell>
          <cell r="J9" t="str">
            <v/>
          </cell>
          <cell r="K9" t="str">
            <v/>
          </cell>
          <cell r="M9" t="str">
            <v>WRV 2026</v>
          </cell>
        </row>
        <row r="10">
          <cell r="B10" t="str">
            <v>Michaela Rendlova</v>
          </cell>
          <cell r="C10">
            <v>2004</v>
          </cell>
          <cell r="D10" t="str">
            <v>F</v>
          </cell>
          <cell r="E10" t="str">
            <v>Toužim</v>
          </cell>
          <cell r="F10" t="str">
            <v>CZ/C1</v>
          </cell>
          <cell r="G10">
            <v>28958</v>
          </cell>
          <cell r="H10">
            <v>3</v>
          </cell>
          <cell r="I10">
            <v>4</v>
          </cell>
          <cell r="J10" t="str">
            <v>Juniorka v roce 2026</v>
          </cell>
          <cell r="K10" t="str">
            <v>Juniorka v roce 2027</v>
          </cell>
          <cell r="M10" t="str">
            <v>WRV 2026</v>
          </cell>
        </row>
        <row r="11">
          <cell r="B11" t="str">
            <v>Hana Treslova</v>
          </cell>
          <cell r="C11">
            <v>1991</v>
          </cell>
          <cell r="D11" t="str">
            <v>F</v>
          </cell>
          <cell r="E11" t="str">
            <v>Raná</v>
          </cell>
          <cell r="F11" t="str">
            <v>CZ/C2</v>
          </cell>
          <cell r="G11">
            <v>27793</v>
          </cell>
          <cell r="H11">
            <v>3</v>
          </cell>
          <cell r="I11">
            <v>5</v>
          </cell>
          <cell r="J11" t="str">
            <v/>
          </cell>
          <cell r="K11" t="str">
            <v/>
          </cell>
          <cell r="M11" t="str">
            <v>WRV 2026</v>
          </cell>
        </row>
        <row r="12">
          <cell r="B12" t="str">
            <v>Barbora Moravcova</v>
          </cell>
          <cell r="C12">
            <v>1994</v>
          </cell>
          <cell r="D12" t="str">
            <v>F</v>
          </cell>
          <cell r="E12" t="str">
            <v>Zbraslavice</v>
          </cell>
          <cell r="F12" t="str">
            <v>CZ/C1</v>
          </cell>
          <cell r="G12">
            <v>27789</v>
          </cell>
          <cell r="H12">
            <v>3</v>
          </cell>
          <cell r="I12">
            <v>6</v>
          </cell>
          <cell r="J12" t="str">
            <v/>
          </cell>
          <cell r="K12" t="str">
            <v/>
          </cell>
          <cell r="M12" t="str">
            <v>WRV 2026</v>
          </cell>
        </row>
        <row r="13">
          <cell r="B13" t="str">
            <v>Dana Novakova</v>
          </cell>
          <cell r="C13">
            <v>1965</v>
          </cell>
          <cell r="D13" t="str">
            <v>F</v>
          </cell>
          <cell r="E13" t="str">
            <v>Mladá Boleslav</v>
          </cell>
          <cell r="F13" t="str">
            <v>CZ/C1</v>
          </cell>
          <cell r="G13">
            <v>24367</v>
          </cell>
          <cell r="H13">
            <v>3</v>
          </cell>
          <cell r="I13">
            <v>7</v>
          </cell>
          <cell r="J13" t="str">
            <v/>
          </cell>
          <cell r="K13" t="str">
            <v/>
          </cell>
          <cell r="M13" t="str">
            <v>WRV 2026</v>
          </cell>
        </row>
        <row r="14">
          <cell r="B14" t="str">
            <v>Jana Treslova</v>
          </cell>
          <cell r="C14">
            <v>1963</v>
          </cell>
          <cell r="D14" t="str">
            <v>F</v>
          </cell>
          <cell r="E14" t="str">
            <v>Raná</v>
          </cell>
          <cell r="F14" t="str">
            <v>CZ/C2</v>
          </cell>
          <cell r="G14">
            <v>24274</v>
          </cell>
          <cell r="H14">
            <v>3</v>
          </cell>
          <cell r="I14">
            <v>8</v>
          </cell>
          <cell r="J14" t="str">
            <v/>
          </cell>
          <cell r="K14" t="str">
            <v/>
          </cell>
          <cell r="M14" t="str">
            <v>WRV 2026</v>
          </cell>
        </row>
        <row r="15">
          <cell r="B15" t="str">
            <v>Katerina Vojtova</v>
          </cell>
          <cell r="C15">
            <v>1983</v>
          </cell>
          <cell r="D15" t="str">
            <v>F</v>
          </cell>
          <cell r="E15" t="str">
            <v>Slaný</v>
          </cell>
          <cell r="F15" t="str">
            <v>CZ/C1</v>
          </cell>
          <cell r="G15">
            <v>23234</v>
          </cell>
          <cell r="H15">
            <v>3</v>
          </cell>
          <cell r="I15">
            <v>9</v>
          </cell>
          <cell r="J15" t="str">
            <v/>
          </cell>
          <cell r="K15" t="str">
            <v/>
          </cell>
          <cell r="M15" t="str">
            <v>WRV 2026</v>
          </cell>
        </row>
        <row r="16">
          <cell r="B16" t="str">
            <v>Petra Piskata</v>
          </cell>
          <cell r="C16">
            <v>1989</v>
          </cell>
          <cell r="D16" t="str">
            <v>F</v>
          </cell>
          <cell r="E16" t="str">
            <v>Luhačovice</v>
          </cell>
          <cell r="F16" t="str">
            <v>CZ/M</v>
          </cell>
          <cell r="G16">
            <v>22839</v>
          </cell>
          <cell r="H16">
            <v>3</v>
          </cell>
          <cell r="I16">
            <v>10</v>
          </cell>
          <cell r="J16" t="str">
            <v/>
          </cell>
          <cell r="K16" t="str">
            <v/>
          </cell>
          <cell r="M16" t="str">
            <v>WRV 2026</v>
          </cell>
        </row>
        <row r="17">
          <cell r="B17" t="str">
            <v>Eliska Kudejova</v>
          </cell>
          <cell r="C17">
            <v>2006</v>
          </cell>
          <cell r="D17" t="str">
            <v>F</v>
          </cell>
          <cell r="E17" t="str">
            <v>Strakonice</v>
          </cell>
          <cell r="F17" t="str">
            <v>CZ/C1</v>
          </cell>
          <cell r="G17">
            <v>21916</v>
          </cell>
          <cell r="H17">
            <v>3</v>
          </cell>
          <cell r="I17">
            <v>11</v>
          </cell>
          <cell r="J17" t="str">
            <v>Juniorka v roce 2026</v>
          </cell>
          <cell r="K17" t="str">
            <v>Juniorka v roce 2027</v>
          </cell>
          <cell r="M17" t="str">
            <v>WRV 2026</v>
          </cell>
        </row>
        <row r="18">
          <cell r="B18" t="str">
            <v>Pavlina Horackova</v>
          </cell>
          <cell r="C18">
            <v>1965</v>
          </cell>
          <cell r="D18" t="str">
            <v>F</v>
          </cell>
          <cell r="E18" t="str">
            <v>Šumperk</v>
          </cell>
          <cell r="F18" t="str">
            <v>CZ/M</v>
          </cell>
          <cell r="G18">
            <v>20388</v>
          </cell>
          <cell r="H18">
            <v>3</v>
          </cell>
          <cell r="I18">
            <v>12</v>
          </cell>
          <cell r="J18" t="str">
            <v/>
          </cell>
          <cell r="K18" t="str">
            <v/>
          </cell>
        </row>
        <row r="19">
          <cell r="B19" t="str">
            <v>Katerina Vancurova</v>
          </cell>
          <cell r="C19">
            <v>2002</v>
          </cell>
          <cell r="D19" t="str">
            <v>F</v>
          </cell>
          <cell r="E19" t="str">
            <v>Hranice</v>
          </cell>
          <cell r="F19" t="str">
            <v>CZ/M</v>
          </cell>
          <cell r="G19">
            <v>17173</v>
          </cell>
          <cell r="H19">
            <v>3</v>
          </cell>
          <cell r="I19">
            <v>13</v>
          </cell>
          <cell r="J19" t="str">
            <v>Juniorka v roce 2026</v>
          </cell>
          <cell r="K19" t="str">
            <v>Juniorka v roce 2027</v>
          </cell>
        </row>
        <row r="20">
          <cell r="B20" t="str">
            <v>Olga Mokosova</v>
          </cell>
          <cell r="C20">
            <v>1970</v>
          </cell>
          <cell r="D20" t="str">
            <v>F</v>
          </cell>
          <cell r="E20" t="str">
            <v>Jihlava</v>
          </cell>
          <cell r="F20" t="str">
            <v>CZ/M</v>
          </cell>
          <cell r="G20">
            <v>16064</v>
          </cell>
          <cell r="H20">
            <v>3</v>
          </cell>
          <cell r="I20">
            <v>14</v>
          </cell>
          <cell r="J20" t="str">
            <v/>
          </cell>
          <cell r="K20" t="str">
            <v/>
          </cell>
        </row>
        <row r="21">
          <cell r="B21" t="str">
            <v>Klara Teichmannova</v>
          </cell>
          <cell r="C21">
            <v>1993</v>
          </cell>
          <cell r="D21" t="str">
            <v>F</v>
          </cell>
          <cell r="E21" t="str">
            <v>Hronov</v>
          </cell>
          <cell r="F21" t="str">
            <v>CZ/C2</v>
          </cell>
          <cell r="G21">
            <v>15475</v>
          </cell>
          <cell r="H21">
            <v>2</v>
          </cell>
          <cell r="I21">
            <v>15</v>
          </cell>
          <cell r="J21" t="str">
            <v/>
          </cell>
          <cell r="K21" t="str">
            <v/>
          </cell>
          <cell r="M21" t="str">
            <v>WRV 2026</v>
          </cell>
        </row>
        <row r="22">
          <cell r="B22" t="str">
            <v>Sarka Lochova</v>
          </cell>
          <cell r="C22">
            <v>1966</v>
          </cell>
          <cell r="D22" t="str">
            <v>F</v>
          </cell>
          <cell r="E22" t="str">
            <v>Šumperk</v>
          </cell>
          <cell r="F22" t="str">
            <v>CZ/M</v>
          </cell>
          <cell r="G22">
            <v>10967</v>
          </cell>
          <cell r="H22">
            <v>3</v>
          </cell>
          <cell r="I22">
            <v>16</v>
          </cell>
          <cell r="J22" t="str">
            <v/>
          </cell>
          <cell r="K22" t="str">
            <v/>
          </cell>
        </row>
        <row r="23">
          <cell r="B23" t="str">
            <v>Jana Mezerova</v>
          </cell>
          <cell r="C23">
            <v>1975</v>
          </cell>
          <cell r="D23" t="str">
            <v>F</v>
          </cell>
          <cell r="E23" t="str">
            <v>Raná</v>
          </cell>
          <cell r="F23" t="str">
            <v>CZ/C2</v>
          </cell>
          <cell r="G23">
            <v>9123</v>
          </cell>
          <cell r="H23">
            <v>3</v>
          </cell>
          <cell r="I23">
            <v>17</v>
          </cell>
          <cell r="J23" t="str">
            <v/>
          </cell>
          <cell r="K23" t="str">
            <v/>
          </cell>
        </row>
        <row r="24">
          <cell r="B24" t="str">
            <v>Adela Vachova</v>
          </cell>
          <cell r="C24">
            <v>2007</v>
          </cell>
          <cell r="D24" t="str">
            <v>F</v>
          </cell>
          <cell r="E24" t="str">
            <v>Hodkovice</v>
          </cell>
          <cell r="F24" t="str">
            <v>CZ/C2</v>
          </cell>
          <cell r="G24">
            <v>7754</v>
          </cell>
          <cell r="H24">
            <v>2</v>
          </cell>
          <cell r="I24">
            <v>18</v>
          </cell>
          <cell r="J24" t="str">
            <v>Juniorka v roce 2026</v>
          </cell>
          <cell r="K24" t="str">
            <v>Juniorka v roce 2027</v>
          </cell>
        </row>
        <row r="25">
          <cell r="B25" t="str">
            <v>Yvona Vyhnankova</v>
          </cell>
          <cell r="C25">
            <v>1963</v>
          </cell>
          <cell r="D25" t="str">
            <v>F</v>
          </cell>
          <cell r="E25" t="str">
            <v>Olomouc</v>
          </cell>
          <cell r="F25" t="str">
            <v>CZ/M</v>
          </cell>
          <cell r="G25">
            <v>7393</v>
          </cell>
          <cell r="H25">
            <v>3</v>
          </cell>
          <cell r="I25">
            <v>19</v>
          </cell>
          <cell r="J25" t="str">
            <v/>
          </cell>
          <cell r="K25" t="str">
            <v/>
          </cell>
        </row>
        <row r="26">
          <cell r="B26" t="str">
            <v>Tereza Ludvikova</v>
          </cell>
          <cell r="C26">
            <v>1997</v>
          </cell>
          <cell r="D26" t="str">
            <v>F</v>
          </cell>
          <cell r="E26" t="str">
            <v>Jaroměř</v>
          </cell>
          <cell r="F26" t="str">
            <v>CZ/C2</v>
          </cell>
          <cell r="G26">
            <v>5772</v>
          </cell>
          <cell r="H26">
            <v>1</v>
          </cell>
          <cell r="I26">
            <v>20</v>
          </cell>
          <cell r="J26" t="str">
            <v/>
          </cell>
          <cell r="K26" t="str">
            <v/>
          </cell>
        </row>
        <row r="27">
          <cell r="B27" t="str">
            <v>Anna Lanzendorfova</v>
          </cell>
          <cell r="C27">
            <v>2005</v>
          </cell>
          <cell r="D27" t="str">
            <v>F</v>
          </cell>
          <cell r="E27" t="str">
            <v>Letkov</v>
          </cell>
          <cell r="F27" t="str">
            <v>CZ/C1</v>
          </cell>
          <cell r="G27">
            <v>4981</v>
          </cell>
          <cell r="H27">
            <v>1</v>
          </cell>
          <cell r="I27">
            <v>21</v>
          </cell>
          <cell r="J27" t="str">
            <v>Juniorka v roce 2026</v>
          </cell>
          <cell r="K27" t="str">
            <v>Juniorka v roce 2027</v>
          </cell>
        </row>
        <row r="28">
          <cell r="B28" t="str">
            <v>Eva Klapkova</v>
          </cell>
          <cell r="C28">
            <v>1993</v>
          </cell>
          <cell r="D28" t="str">
            <v>F</v>
          </cell>
          <cell r="E28" t="str">
            <v>Raná</v>
          </cell>
          <cell r="F28" t="str">
            <v>CZ/C2</v>
          </cell>
          <cell r="G28">
            <v>4620</v>
          </cell>
          <cell r="H28">
            <v>2</v>
          </cell>
          <cell r="I28">
            <v>22</v>
          </cell>
          <cell r="J28" t="str">
            <v/>
          </cell>
          <cell r="K28" t="str">
            <v/>
          </cell>
        </row>
        <row r="29">
          <cell r="B29" t="str">
            <v>Viktorie Kusa</v>
          </cell>
          <cell r="C29">
            <v>2004</v>
          </cell>
          <cell r="D29" t="str">
            <v>F</v>
          </cell>
          <cell r="E29" t="str">
            <v>Letňany</v>
          </cell>
          <cell r="F29" t="str">
            <v>CZ/C1</v>
          </cell>
          <cell r="G29">
            <v>3979</v>
          </cell>
          <cell r="H29">
            <v>1</v>
          </cell>
          <cell r="I29">
            <v>23</v>
          </cell>
          <cell r="J29" t="str">
            <v>Juniorka v roce 2026</v>
          </cell>
          <cell r="K29" t="str">
            <v>Juniorka v roce 2027</v>
          </cell>
        </row>
        <row r="30">
          <cell r="B30" t="str">
            <v>Marie Vesela</v>
          </cell>
          <cell r="C30">
            <v>1999</v>
          </cell>
          <cell r="D30" t="str">
            <v>F</v>
          </cell>
          <cell r="E30" t="str">
            <v>Staňkov</v>
          </cell>
          <cell r="F30" t="str">
            <v>CZ/C1</v>
          </cell>
          <cell r="G30">
            <v>3617</v>
          </cell>
          <cell r="H30">
            <v>3</v>
          </cell>
          <cell r="I30">
            <v>24</v>
          </cell>
          <cell r="J30" t="str">
            <v/>
          </cell>
          <cell r="K30" t="str">
            <v/>
          </cell>
        </row>
        <row r="31">
          <cell r="B31" t="str">
            <v>Tereza Novakova</v>
          </cell>
          <cell r="C31">
            <v>1993</v>
          </cell>
          <cell r="D31" t="str">
            <v>F</v>
          </cell>
          <cell r="E31" t="str">
            <v>Chrudim</v>
          </cell>
          <cell r="F31" t="str">
            <v>CZ/C2</v>
          </cell>
          <cell r="G31">
            <v>2570</v>
          </cell>
          <cell r="H31">
            <v>1</v>
          </cell>
          <cell r="I31">
            <v>25</v>
          </cell>
          <cell r="J31" t="str">
            <v/>
          </cell>
          <cell r="K31" t="str">
            <v/>
          </cell>
        </row>
        <row r="32">
          <cell r="B32" t="str">
            <v>Petra Ctibor</v>
          </cell>
          <cell r="C32">
            <v>1991</v>
          </cell>
          <cell r="D32" t="str">
            <v>F</v>
          </cell>
          <cell r="E32" t="str">
            <v>Medlánky</v>
          </cell>
          <cell r="F32" t="str">
            <v>CZ/M</v>
          </cell>
          <cell r="G32">
            <v>2402</v>
          </cell>
          <cell r="H32">
            <v>1</v>
          </cell>
          <cell r="I32">
            <v>26</v>
          </cell>
          <cell r="J32" t="str">
            <v/>
          </cell>
          <cell r="K32" t="str">
            <v/>
          </cell>
        </row>
        <row r="33">
          <cell r="B33" t="str">
            <v>Zuzana Novakova</v>
          </cell>
          <cell r="C33">
            <v>2001</v>
          </cell>
          <cell r="D33" t="str">
            <v>F</v>
          </cell>
          <cell r="E33" t="str">
            <v>Hranice</v>
          </cell>
          <cell r="F33" t="str">
            <v>CZ/M</v>
          </cell>
          <cell r="G33">
            <v>1852</v>
          </cell>
          <cell r="H33">
            <v>1</v>
          </cell>
          <cell r="I33">
            <v>27</v>
          </cell>
          <cell r="J33" t="str">
            <v>Juniorka v roce 2026</v>
          </cell>
          <cell r="K33" t="str">
            <v/>
          </cell>
        </row>
        <row r="34">
          <cell r="J34" t="str">
            <v/>
          </cell>
          <cell r="K34" t="str">
            <v/>
          </cell>
        </row>
        <row r="35">
          <cell r="J35" t="str">
            <v/>
          </cell>
          <cell r="K35" t="str">
            <v/>
          </cell>
        </row>
        <row r="36">
          <cell r="J36" t="str">
            <v/>
          </cell>
          <cell r="K36" t="str">
            <v/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Zmeny"/>
      <sheetName val="Soutez"/>
      <sheetName val="Kp"/>
      <sheetName val="Pilot"/>
      <sheetName val="Region"/>
      <sheetName val="Temp"/>
      <sheetName val="Data"/>
      <sheetName val="Zebrik G"/>
      <sheetName val="Zebrik W"/>
      <sheetName val="KB PMRg 2021"/>
      <sheetName val="KB PMRg 2022"/>
      <sheetName val="KB PMRg 2023"/>
      <sheetName val="N PMČR 2024"/>
      <sheetName val="N PMČRj 2024"/>
      <sheetName val="N PMRg 2024"/>
      <sheetName val="Zebrik.PK.AeCR.2023"/>
    </sheetNames>
    <sheetDataSet>
      <sheetData sheetId="0" refreshError="1"/>
      <sheetData sheetId="1">
        <row r="1">
          <cell r="A1" t="str">
            <v>Soutěž</v>
          </cell>
          <cell r="B1" t="str">
            <v>Stát</v>
          </cell>
          <cell r="C1" t="str">
            <v>Rok</v>
          </cell>
          <cell r="D1" t="str">
            <v>Místo</v>
          </cell>
          <cell r="E1" t="str">
            <v>Termín</v>
          </cell>
          <cell r="F1" t="str">
            <v>Poč. disc.</v>
          </cell>
          <cell r="G1" t="str">
            <v>Poč. pilotů</v>
          </cell>
          <cell r="H1" t="str">
            <v>Ki</v>
          </cell>
          <cell r="I1" t="str">
            <v>Kn1</v>
          </cell>
          <cell r="J1" t="str">
            <v>Kn2</v>
          </cell>
          <cell r="K1" t="str">
            <v>Kp</v>
          </cell>
          <cell r="L1" t="str">
            <v>Kinp</v>
          </cell>
          <cell r="M1" t="str">
            <v>dKinp</v>
          </cell>
        </row>
        <row r="2">
          <cell r="A2" t="str">
            <v>Zařazené soutěže 2021:</v>
          </cell>
        </row>
        <row r="3">
          <cell r="A3" t="str">
            <v>JPJ 2021 - Klub</v>
          </cell>
          <cell r="B3" t="str">
            <v>CZ</v>
          </cell>
          <cell r="C3">
            <v>2021</v>
          </cell>
          <cell r="D3" t="str">
            <v>Šumperk</v>
          </cell>
          <cell r="E3" t="str">
            <v>24.7.-31.7.21</v>
          </cell>
          <cell r="F3">
            <v>5</v>
          </cell>
          <cell r="G3">
            <v>38</v>
          </cell>
          <cell r="H3">
            <v>0.9</v>
          </cell>
          <cell r="I3">
            <v>0</v>
          </cell>
          <cell r="J3">
            <v>0</v>
          </cell>
          <cell r="K3">
            <v>5.0000000000000001E-3</v>
          </cell>
          <cell r="L3">
            <v>0.90500000000000003</v>
          </cell>
          <cell r="M3">
            <v>5.0000000000000044E-3</v>
          </cell>
        </row>
        <row r="4">
          <cell r="A4" t="str">
            <v>JPJ 2021 - Kombi</v>
          </cell>
          <cell r="B4" t="str">
            <v>CZ</v>
          </cell>
          <cell r="C4">
            <v>2021</v>
          </cell>
          <cell r="D4" t="str">
            <v>Šumperk</v>
          </cell>
          <cell r="E4" t="str">
            <v>24.7.-31.7.21</v>
          </cell>
          <cell r="F4">
            <v>5</v>
          </cell>
          <cell r="G4">
            <v>25</v>
          </cell>
          <cell r="H4">
            <v>0.9</v>
          </cell>
          <cell r="I4">
            <v>0</v>
          </cell>
          <cell r="J4">
            <v>0</v>
          </cell>
          <cell r="K4">
            <v>5.0000000000000001E-3</v>
          </cell>
          <cell r="L4">
            <v>0.90500000000000003</v>
          </cell>
          <cell r="M4">
            <v>5.0000000000000044E-3</v>
          </cell>
        </row>
        <row r="5">
          <cell r="A5" t="str">
            <v>PMČR 2021 - Klub</v>
          </cell>
          <cell r="B5" t="str">
            <v>CZ</v>
          </cell>
          <cell r="C5">
            <v>2021</v>
          </cell>
          <cell r="D5" t="str">
            <v>Tábor</v>
          </cell>
          <cell r="E5" t="str">
            <v>22.5.-5.6.21</v>
          </cell>
          <cell r="F5">
            <v>8</v>
          </cell>
          <cell r="G5">
            <v>16</v>
          </cell>
          <cell r="H5">
            <v>1</v>
          </cell>
          <cell r="I5">
            <v>0.02</v>
          </cell>
          <cell r="J5">
            <v>0.01</v>
          </cell>
          <cell r="K5">
            <v>0.02</v>
          </cell>
          <cell r="L5">
            <v>1.05</v>
          </cell>
          <cell r="M5">
            <v>5.0000000000000044E-2</v>
          </cell>
        </row>
        <row r="6">
          <cell r="A6" t="str">
            <v>PMČR 2021 - Kombi 15m</v>
          </cell>
          <cell r="B6" t="str">
            <v>CZ</v>
          </cell>
          <cell r="C6">
            <v>2021</v>
          </cell>
          <cell r="D6" t="str">
            <v>Tábor</v>
          </cell>
          <cell r="E6" t="str">
            <v>22.5.-5.6.21</v>
          </cell>
          <cell r="F6">
            <v>7</v>
          </cell>
          <cell r="G6">
            <v>16</v>
          </cell>
          <cell r="H6">
            <v>1</v>
          </cell>
          <cell r="I6">
            <v>2.5000000000000001E-2</v>
          </cell>
          <cell r="J6">
            <v>0.02</v>
          </cell>
          <cell r="K6">
            <v>1.4999999999999999E-2</v>
          </cell>
          <cell r="L6">
            <v>1.0599999999999998</v>
          </cell>
          <cell r="M6">
            <v>5.9999999999999831E-2</v>
          </cell>
        </row>
        <row r="7">
          <cell r="A7" t="str">
            <v>PMČR 2021 - Kombi Open</v>
          </cell>
          <cell r="B7" t="str">
            <v>CZ</v>
          </cell>
          <cell r="C7">
            <v>2021</v>
          </cell>
          <cell r="D7" t="str">
            <v>Tábor</v>
          </cell>
          <cell r="E7" t="str">
            <v>22.5.-5.6.21</v>
          </cell>
          <cell r="F7">
            <v>7</v>
          </cell>
          <cell r="G7">
            <v>19</v>
          </cell>
          <cell r="H7">
            <v>1</v>
          </cell>
          <cell r="I7">
            <v>0.04</v>
          </cell>
          <cell r="J7">
            <v>0</v>
          </cell>
          <cell r="K7">
            <v>1.4999999999999999E-2</v>
          </cell>
          <cell r="L7">
            <v>1.0549999999999999</v>
          </cell>
          <cell r="M7">
            <v>5.4999999999999938E-2</v>
          </cell>
        </row>
        <row r="8">
          <cell r="A8" t="str">
            <v>PMRg 2021 - Klub</v>
          </cell>
          <cell r="B8" t="str">
            <v>CZ</v>
          </cell>
          <cell r="C8">
            <v>2021</v>
          </cell>
          <cell r="D8" t="str">
            <v>Moravská Třebová</v>
          </cell>
          <cell r="E8" t="str">
            <v>1.8.-15.8.21</v>
          </cell>
          <cell r="F8">
            <v>8</v>
          </cell>
          <cell r="G8">
            <v>26</v>
          </cell>
          <cell r="H8">
            <v>0.9</v>
          </cell>
          <cell r="I8">
            <v>0.02</v>
          </cell>
          <cell r="J8">
            <v>0</v>
          </cell>
          <cell r="K8">
            <v>0.02</v>
          </cell>
          <cell r="L8">
            <v>0.94000000000000006</v>
          </cell>
          <cell r="M8">
            <v>4.0000000000000036E-2</v>
          </cell>
        </row>
        <row r="9">
          <cell r="A9" t="str">
            <v>PMRg 2021 - Kombi</v>
          </cell>
          <cell r="B9" t="str">
            <v>CZ</v>
          </cell>
          <cell r="C9">
            <v>2021</v>
          </cell>
          <cell r="D9" t="str">
            <v>Moravská Třebová</v>
          </cell>
          <cell r="E9" t="str">
            <v>1.8.-15.8.21</v>
          </cell>
          <cell r="F9">
            <v>8</v>
          </cell>
          <cell r="G9">
            <v>13</v>
          </cell>
          <cell r="H9">
            <v>0.9</v>
          </cell>
          <cell r="I9">
            <v>0.01</v>
          </cell>
          <cell r="J9">
            <v>0</v>
          </cell>
          <cell r="K9">
            <v>0.02</v>
          </cell>
          <cell r="L9">
            <v>0.93</v>
          </cell>
          <cell r="M9">
            <v>3.0000000000000027E-2</v>
          </cell>
        </row>
        <row r="10">
          <cell r="A10" t="str">
            <v>PMČRj 2021 - Klub</v>
          </cell>
          <cell r="B10" t="str">
            <v>CZ</v>
          </cell>
          <cell r="C10">
            <v>2021</v>
          </cell>
          <cell r="D10" t="str">
            <v>Moravská Třebová</v>
          </cell>
          <cell r="E10" t="str">
            <v>1.8.-15.8.21</v>
          </cell>
          <cell r="F10">
            <v>7</v>
          </cell>
          <cell r="G10">
            <v>29</v>
          </cell>
          <cell r="H10">
            <v>0.9</v>
          </cell>
          <cell r="I10">
            <v>0</v>
          </cell>
          <cell r="J10">
            <v>0</v>
          </cell>
          <cell r="K10">
            <v>1.4999999999999999E-2</v>
          </cell>
          <cell r="L10">
            <v>0.91500000000000004</v>
          </cell>
          <cell r="M10">
            <v>1.5000000000000013E-2</v>
          </cell>
        </row>
        <row r="11">
          <cell r="A11" t="str">
            <v>GGP MB 2021 - Gradient GP</v>
          </cell>
          <cell r="B11" t="str">
            <v>CZ</v>
          </cell>
          <cell r="C11">
            <v>2021</v>
          </cell>
          <cell r="D11" t="str">
            <v>Mladá Boleslav</v>
          </cell>
          <cell r="E11" t="str">
            <v>21.8.-28.8.21</v>
          </cell>
          <cell r="F11">
            <v>3</v>
          </cell>
          <cell r="G11">
            <v>9</v>
          </cell>
          <cell r="H11">
            <v>0.75</v>
          </cell>
          <cell r="I11">
            <v>0</v>
          </cell>
          <cell r="J11">
            <v>0</v>
          </cell>
          <cell r="K11">
            <v>-0.02</v>
          </cell>
          <cell r="L11">
            <v>0</v>
          </cell>
          <cell r="M11">
            <v>-0.75</v>
          </cell>
        </row>
        <row r="12">
          <cell r="A12" t="str">
            <v>GGP MB 2021 - Klub GP</v>
          </cell>
          <cell r="B12" t="str">
            <v>CZ</v>
          </cell>
          <cell r="C12">
            <v>2021</v>
          </cell>
          <cell r="D12" t="str">
            <v>Mladá Boleslav</v>
          </cell>
          <cell r="E12" t="str">
            <v>21.8.-28.8.221</v>
          </cell>
          <cell r="F12">
            <v>3</v>
          </cell>
          <cell r="G12">
            <v>17</v>
          </cell>
          <cell r="H12">
            <v>0.9</v>
          </cell>
          <cell r="I12">
            <v>0</v>
          </cell>
          <cell r="J12">
            <v>0</v>
          </cell>
          <cell r="K12">
            <v>-0.02</v>
          </cell>
          <cell r="L12">
            <v>0.88</v>
          </cell>
          <cell r="M12">
            <v>-2.0000000000000018E-2</v>
          </cell>
        </row>
        <row r="13">
          <cell r="A13" t="str">
            <v>GGP MB 2021 - Pohár MV - Kombi</v>
          </cell>
          <cell r="B13" t="str">
            <v>CZ</v>
          </cell>
          <cell r="C13">
            <v>2021</v>
          </cell>
          <cell r="D13" t="str">
            <v>Mladá Boleslav</v>
          </cell>
          <cell r="E13" t="str">
            <v>21.8.-28.8.221</v>
          </cell>
          <cell r="F13">
            <v>3</v>
          </cell>
          <cell r="G13">
            <v>11</v>
          </cell>
          <cell r="H13">
            <v>0.9</v>
          </cell>
          <cell r="I13">
            <v>0.01</v>
          </cell>
          <cell r="J13">
            <v>0</v>
          </cell>
          <cell r="K13">
            <v>-0.02</v>
          </cell>
          <cell r="L13">
            <v>0.89</v>
          </cell>
          <cell r="M13">
            <v>-1.0000000000000009E-2</v>
          </cell>
        </row>
        <row r="14">
          <cell r="A14" t="str">
            <v>Rakovnická Dlaždice 2021 - Kombi</v>
          </cell>
          <cell r="B14" t="str">
            <v>CZ</v>
          </cell>
          <cell r="C14">
            <v>2021</v>
          </cell>
          <cell r="D14" t="str">
            <v>Rakovník</v>
          </cell>
          <cell r="E14" t="str">
            <v>14.8.-22.8.21</v>
          </cell>
          <cell r="F14">
            <v>2</v>
          </cell>
          <cell r="G14">
            <v>12</v>
          </cell>
          <cell r="H14">
            <v>0.75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-0.75</v>
          </cell>
        </row>
        <row r="15">
          <cell r="A15" t="str">
            <v>HOP 2021 - Klub</v>
          </cell>
          <cell r="B15" t="str">
            <v>CZ</v>
          </cell>
          <cell r="C15">
            <v>2021</v>
          </cell>
          <cell r="D15" t="str">
            <v>Hronov</v>
          </cell>
          <cell r="E15" t="str">
            <v>7.8.-14.8.21</v>
          </cell>
          <cell r="F15">
            <v>6</v>
          </cell>
          <cell r="G15">
            <v>26</v>
          </cell>
          <cell r="H15">
            <v>0.75</v>
          </cell>
          <cell r="I15">
            <v>5.0000000000000001E-3</v>
          </cell>
          <cell r="J15">
            <v>0</v>
          </cell>
          <cell r="K15">
            <v>0.01</v>
          </cell>
          <cell r="L15">
            <v>0.76500000000000001</v>
          </cell>
          <cell r="M15">
            <v>1.5000000000000013E-2</v>
          </cell>
        </row>
        <row r="16">
          <cell r="A16" t="str">
            <v>HOP 2021 - Kombi</v>
          </cell>
          <cell r="B16" t="str">
            <v>CZ</v>
          </cell>
          <cell r="C16">
            <v>2021</v>
          </cell>
          <cell r="D16" t="str">
            <v>Hronov</v>
          </cell>
          <cell r="E16" t="str">
            <v>7.8.-14.8.21</v>
          </cell>
          <cell r="F16">
            <v>6</v>
          </cell>
          <cell r="G16">
            <v>17</v>
          </cell>
          <cell r="H16">
            <v>0.75</v>
          </cell>
          <cell r="I16">
            <v>0</v>
          </cell>
          <cell r="J16">
            <v>0</v>
          </cell>
          <cell r="K16">
            <v>0.01</v>
          </cell>
          <cell r="L16">
            <v>0.76</v>
          </cell>
          <cell r="M16">
            <v>1.0000000000000009E-2</v>
          </cell>
        </row>
        <row r="17">
          <cell r="A17" t="str">
            <v>Pohár Českého Ráje 2021 - Kombi</v>
          </cell>
          <cell r="B17" t="str">
            <v>CZ</v>
          </cell>
          <cell r="C17">
            <v>2021</v>
          </cell>
          <cell r="D17" t="str">
            <v>Jičín</v>
          </cell>
          <cell r="E17" t="str">
            <v>31.7.-7.8.21</v>
          </cell>
          <cell r="F17">
            <v>3</v>
          </cell>
          <cell r="G17">
            <v>12</v>
          </cell>
          <cell r="H17">
            <v>0.75</v>
          </cell>
          <cell r="I17">
            <v>0</v>
          </cell>
          <cell r="J17">
            <v>0</v>
          </cell>
          <cell r="K17">
            <v>-0.02</v>
          </cell>
          <cell r="L17">
            <v>0.73</v>
          </cell>
          <cell r="M17">
            <v>-2.0000000000000018E-2</v>
          </cell>
        </row>
        <row r="18">
          <cell r="A18" t="str">
            <v>Ranský pohár 2021 - Kombi</v>
          </cell>
          <cell r="B18" t="str">
            <v>CZ</v>
          </cell>
          <cell r="C18">
            <v>2021</v>
          </cell>
          <cell r="D18" t="str">
            <v>Raná</v>
          </cell>
          <cell r="E18" t="str">
            <v>24.7.-1.8.21</v>
          </cell>
          <cell r="F18">
            <v>4</v>
          </cell>
          <cell r="G18">
            <v>19</v>
          </cell>
          <cell r="H18">
            <v>0.75</v>
          </cell>
          <cell r="I18">
            <v>0</v>
          </cell>
          <cell r="J18">
            <v>0</v>
          </cell>
          <cell r="K18">
            <v>0</v>
          </cell>
          <cell r="L18">
            <v>0.75</v>
          </cell>
          <cell r="M18">
            <v>0</v>
          </cell>
        </row>
        <row r="19">
          <cell r="A19" t="str">
            <v>Cirrus GP 2021 - Std. Cirrus</v>
          </cell>
          <cell r="B19" t="str">
            <v>CZ</v>
          </cell>
          <cell r="C19">
            <v>2021</v>
          </cell>
          <cell r="D19" t="str">
            <v>Křižanov</v>
          </cell>
          <cell r="E19" t="str">
            <v>24.7.-30.7.21</v>
          </cell>
          <cell r="F19">
            <v>5</v>
          </cell>
          <cell r="G19">
            <v>14</v>
          </cell>
          <cell r="H19">
            <v>0.75</v>
          </cell>
          <cell r="I19">
            <v>5.0000000000000001E-3</v>
          </cell>
          <cell r="J19">
            <v>0</v>
          </cell>
          <cell r="K19">
            <v>5.0000000000000001E-3</v>
          </cell>
          <cell r="L19">
            <v>0.76</v>
          </cell>
          <cell r="M19">
            <v>1.0000000000000009E-2</v>
          </cell>
        </row>
        <row r="20">
          <cell r="A20" t="str">
            <v>WGC 2021 - Klub</v>
          </cell>
          <cell r="B20" t="str">
            <v>FR</v>
          </cell>
          <cell r="C20">
            <v>2021</v>
          </cell>
          <cell r="D20" t="str">
            <v>Montlucon</v>
          </cell>
          <cell r="E20" t="str">
            <v>8.8.-20.8.21</v>
          </cell>
          <cell r="F20">
            <v>9</v>
          </cell>
          <cell r="G20">
            <v>36</v>
          </cell>
          <cell r="H20">
            <v>1</v>
          </cell>
          <cell r="I20">
            <v>0.05</v>
          </cell>
          <cell r="J20">
            <v>0.03</v>
          </cell>
          <cell r="K20">
            <v>2.5000000000000001E-2</v>
          </cell>
          <cell r="L20">
            <v>1.105</v>
          </cell>
          <cell r="M20">
            <v>0.10499999999999998</v>
          </cell>
        </row>
        <row r="21">
          <cell r="A21" t="str">
            <v>WGC 2021 - Std</v>
          </cell>
          <cell r="B21" t="str">
            <v>FR</v>
          </cell>
          <cell r="C21">
            <v>2021</v>
          </cell>
          <cell r="D21" t="str">
            <v>Montlucon</v>
          </cell>
          <cell r="E21" t="str">
            <v>8.8.-20.8.21</v>
          </cell>
          <cell r="F21">
            <v>8</v>
          </cell>
          <cell r="G21">
            <v>30</v>
          </cell>
          <cell r="H21">
            <v>1</v>
          </cell>
          <cell r="I21">
            <v>3.5000000000000003E-2</v>
          </cell>
          <cell r="J21">
            <v>0.03</v>
          </cell>
          <cell r="K21">
            <v>0.02</v>
          </cell>
          <cell r="L21">
            <v>1.085</v>
          </cell>
          <cell r="M21">
            <v>8.4999999999999964E-2</v>
          </cell>
        </row>
        <row r="22">
          <cell r="A22" t="str">
            <v>WGC 2021 - 15m</v>
          </cell>
          <cell r="B22" t="str">
            <v>FR</v>
          </cell>
          <cell r="C22">
            <v>2021</v>
          </cell>
          <cell r="D22" t="str">
            <v>Montlucon</v>
          </cell>
          <cell r="E22" t="str">
            <v>8.8.-20.8.21</v>
          </cell>
          <cell r="F22">
            <v>8</v>
          </cell>
          <cell r="G22">
            <v>29</v>
          </cell>
          <cell r="H22">
            <v>1</v>
          </cell>
          <cell r="I22">
            <v>3.5000000000000003E-2</v>
          </cell>
          <cell r="J22">
            <v>0.02</v>
          </cell>
          <cell r="K22">
            <v>0.02</v>
          </cell>
          <cell r="L22">
            <v>1.075</v>
          </cell>
          <cell r="M22">
            <v>7.4999999999999956E-2</v>
          </cell>
        </row>
        <row r="23">
          <cell r="A23" t="str">
            <v>FCC 2021 - Klub</v>
          </cell>
          <cell r="B23" t="str">
            <v>SK</v>
          </cell>
          <cell r="C23">
            <v>2021</v>
          </cell>
          <cell r="D23" t="str">
            <v>Prievidza</v>
          </cell>
          <cell r="E23" t="str">
            <v>1.8.-13.8.21</v>
          </cell>
          <cell r="F23">
            <v>10</v>
          </cell>
          <cell r="G23">
            <v>10</v>
          </cell>
          <cell r="H23">
            <v>0.9</v>
          </cell>
          <cell r="I23">
            <v>5.0000000000000001E-3</v>
          </cell>
          <cell r="J23">
            <v>0</v>
          </cell>
          <cell r="K23">
            <v>0.03</v>
          </cell>
          <cell r="L23">
            <v>0.93500000000000005</v>
          </cell>
          <cell r="M23">
            <v>3.5000000000000031E-2</v>
          </cell>
        </row>
        <row r="24">
          <cell r="A24" t="str">
            <v>FCC 2021 - Kombi 15m</v>
          </cell>
          <cell r="B24" t="str">
            <v>SK</v>
          </cell>
          <cell r="C24">
            <v>2021</v>
          </cell>
          <cell r="D24" t="str">
            <v>Prievidza</v>
          </cell>
          <cell r="E24" t="str">
            <v>1.8.-13.8.21</v>
          </cell>
          <cell r="F24">
            <v>10</v>
          </cell>
          <cell r="G24">
            <v>10</v>
          </cell>
          <cell r="H24">
            <v>0.9</v>
          </cell>
          <cell r="I24">
            <v>1.4999999999999999E-2</v>
          </cell>
          <cell r="J24">
            <v>0</v>
          </cell>
          <cell r="K24">
            <v>0.03</v>
          </cell>
          <cell r="L24">
            <v>0.94500000000000006</v>
          </cell>
          <cell r="M24">
            <v>4.500000000000004E-2</v>
          </cell>
        </row>
        <row r="25">
          <cell r="A25" t="str">
            <v>FCC 2021 - Kombi Open</v>
          </cell>
          <cell r="B25" t="str">
            <v>SK</v>
          </cell>
          <cell r="C25">
            <v>2021</v>
          </cell>
          <cell r="D25" t="str">
            <v>Prievidza</v>
          </cell>
          <cell r="E25" t="str">
            <v>1.8.-13.8.21</v>
          </cell>
          <cell r="F25">
            <v>10</v>
          </cell>
          <cell r="G25">
            <v>18</v>
          </cell>
          <cell r="H25">
            <v>0.9</v>
          </cell>
          <cell r="I25">
            <v>1.4999999999999999E-2</v>
          </cell>
          <cell r="J25">
            <v>0</v>
          </cell>
          <cell r="K25">
            <v>0.03</v>
          </cell>
          <cell r="L25">
            <v>0.94500000000000006</v>
          </cell>
          <cell r="M25">
            <v>4.500000000000004E-2</v>
          </cell>
        </row>
        <row r="26">
          <cell r="A26" t="str">
            <v>Oldtimer Pribina Star 2021 - Klub</v>
          </cell>
          <cell r="B26" t="str">
            <v>SK</v>
          </cell>
          <cell r="C26">
            <v>2021</v>
          </cell>
          <cell r="D26" t="str">
            <v>Nitra</v>
          </cell>
          <cell r="E26" t="str">
            <v>7.8.-13.8.21</v>
          </cell>
          <cell r="F26">
            <v>4</v>
          </cell>
          <cell r="G26">
            <v>22</v>
          </cell>
          <cell r="H26">
            <v>0.75</v>
          </cell>
          <cell r="I26">
            <v>0</v>
          </cell>
          <cell r="J26">
            <v>0</v>
          </cell>
          <cell r="K26">
            <v>0</v>
          </cell>
          <cell r="L26">
            <v>0.75</v>
          </cell>
          <cell r="M26">
            <v>0</v>
          </cell>
        </row>
        <row r="27">
          <cell r="A27" t="str">
            <v>PMSR 2021 - Klub</v>
          </cell>
          <cell r="B27" t="str">
            <v>SK</v>
          </cell>
          <cell r="C27">
            <v>2021</v>
          </cell>
          <cell r="D27" t="str">
            <v>Nitra</v>
          </cell>
          <cell r="E27" t="str">
            <v>20.6.-2.7.21</v>
          </cell>
          <cell r="F27">
            <v>12</v>
          </cell>
          <cell r="G27">
            <v>22</v>
          </cell>
          <cell r="H27">
            <v>0.9</v>
          </cell>
          <cell r="I27">
            <v>1.4999999999999999E-2</v>
          </cell>
          <cell r="J27">
            <v>0</v>
          </cell>
          <cell r="K27">
            <v>0.03</v>
          </cell>
          <cell r="L27">
            <v>0.94500000000000006</v>
          </cell>
          <cell r="M27">
            <v>4.500000000000004E-2</v>
          </cell>
        </row>
        <row r="28">
          <cell r="A28" t="str">
            <v>PMSR 2021 - Kombi 15m</v>
          </cell>
          <cell r="B28" t="str">
            <v>SK</v>
          </cell>
          <cell r="C28">
            <v>2021</v>
          </cell>
          <cell r="D28" t="str">
            <v>Nitra</v>
          </cell>
          <cell r="E28" t="str">
            <v>20.6.-2.7.21</v>
          </cell>
          <cell r="F28">
            <v>12</v>
          </cell>
          <cell r="G28">
            <v>22</v>
          </cell>
          <cell r="H28">
            <v>0.9</v>
          </cell>
          <cell r="I28">
            <v>1.4999999999999999E-2</v>
          </cell>
          <cell r="J28">
            <v>0.02</v>
          </cell>
          <cell r="K28">
            <v>0.03</v>
          </cell>
          <cell r="L28">
            <v>0.96500000000000008</v>
          </cell>
          <cell r="M28">
            <v>6.5000000000000058E-2</v>
          </cell>
        </row>
        <row r="29">
          <cell r="A29" t="str">
            <v>PMSR 2021 - Kombi Open</v>
          </cell>
          <cell r="B29" t="str">
            <v>SK</v>
          </cell>
          <cell r="C29">
            <v>2021</v>
          </cell>
          <cell r="D29" t="str">
            <v>Nitra</v>
          </cell>
          <cell r="E29" t="str">
            <v>20.6.-2.7.21</v>
          </cell>
          <cell r="F29">
            <v>12</v>
          </cell>
          <cell r="G29">
            <v>22</v>
          </cell>
          <cell r="H29">
            <v>0.9</v>
          </cell>
          <cell r="I29">
            <v>0.02</v>
          </cell>
          <cell r="J29">
            <v>0</v>
          </cell>
          <cell r="K29">
            <v>0.03</v>
          </cell>
          <cell r="L29">
            <v>0.95000000000000007</v>
          </cell>
          <cell r="M29">
            <v>5.0000000000000044E-2</v>
          </cell>
        </row>
        <row r="30">
          <cell r="A30" t="str">
            <v>JWGC 2021 - Klub</v>
          </cell>
          <cell r="B30" t="str">
            <v>LT</v>
          </cell>
          <cell r="C30">
            <v>2021</v>
          </cell>
          <cell r="D30" t="str">
            <v>Pociunai</v>
          </cell>
          <cell r="E30" t="str">
            <v>11.7.-23.7.21</v>
          </cell>
          <cell r="F30">
            <v>7</v>
          </cell>
          <cell r="G30">
            <v>27</v>
          </cell>
          <cell r="H30">
            <v>1</v>
          </cell>
          <cell r="I30">
            <v>1.4999999999999999E-2</v>
          </cell>
          <cell r="J30">
            <v>0.01</v>
          </cell>
          <cell r="K30">
            <v>1.4999999999999999E-2</v>
          </cell>
          <cell r="L30">
            <v>1.0399999999999998</v>
          </cell>
          <cell r="M30">
            <v>3.9999999999999813E-2</v>
          </cell>
        </row>
        <row r="31">
          <cell r="A31" t="str">
            <v>JWGC 2021 - Std</v>
          </cell>
          <cell r="B31" t="str">
            <v>LT</v>
          </cell>
          <cell r="C31">
            <v>2021</v>
          </cell>
          <cell r="D31" t="str">
            <v>Pociunai</v>
          </cell>
          <cell r="E31" t="str">
            <v>11.7.-23.7.21</v>
          </cell>
          <cell r="F31">
            <v>6</v>
          </cell>
          <cell r="G31">
            <v>17</v>
          </cell>
          <cell r="H31">
            <v>1</v>
          </cell>
          <cell r="I31">
            <v>0.01</v>
          </cell>
          <cell r="J31">
            <v>0.01</v>
          </cell>
          <cell r="K31">
            <v>0.01</v>
          </cell>
          <cell r="L31">
            <v>1.03</v>
          </cell>
          <cell r="M31">
            <v>3.0000000000000027E-2</v>
          </cell>
        </row>
        <row r="32">
          <cell r="A32" t="str">
            <v>WSGP Final 2021 - 18m GP</v>
          </cell>
          <cell r="B32" t="str">
            <v>FR</v>
          </cell>
          <cell r="C32">
            <v>2021</v>
          </cell>
          <cell r="D32" t="str">
            <v>Saint Auban</v>
          </cell>
          <cell r="E32" t="str">
            <v>5.9.-11.9.21</v>
          </cell>
          <cell r="F32">
            <v>6</v>
          </cell>
          <cell r="G32">
            <v>20</v>
          </cell>
          <cell r="H32">
            <v>1</v>
          </cell>
          <cell r="I32">
            <v>0.03</v>
          </cell>
          <cell r="J32">
            <v>0.03</v>
          </cell>
          <cell r="K32">
            <v>0.01</v>
          </cell>
          <cell r="L32">
            <v>1.07</v>
          </cell>
          <cell r="M32">
            <v>7.0000000000000062E-2</v>
          </cell>
        </row>
        <row r="33">
          <cell r="A33" t="str">
            <v>Safari 2021 - Klub</v>
          </cell>
          <cell r="B33" t="str">
            <v>CZ</v>
          </cell>
          <cell r="C33">
            <v>2021</v>
          </cell>
          <cell r="D33" t="str">
            <v>Dvůr Králové</v>
          </cell>
          <cell r="E33" t="str">
            <v>3.7.-17.7.21</v>
          </cell>
          <cell r="F33">
            <v>4</v>
          </cell>
          <cell r="G33">
            <v>33</v>
          </cell>
          <cell r="H33">
            <v>0.75</v>
          </cell>
          <cell r="I33">
            <v>0</v>
          </cell>
          <cell r="J33">
            <v>0</v>
          </cell>
          <cell r="K33">
            <v>0</v>
          </cell>
          <cell r="L33">
            <v>0.75</v>
          </cell>
          <cell r="M33">
            <v>0</v>
          </cell>
        </row>
        <row r="34">
          <cell r="A34" t="str">
            <v>Safari 2021 - Kombi</v>
          </cell>
          <cell r="B34" t="str">
            <v>CZ</v>
          </cell>
          <cell r="C34">
            <v>2021</v>
          </cell>
          <cell r="D34" t="str">
            <v>Dvůr Králové</v>
          </cell>
          <cell r="E34" t="str">
            <v>3.7.-17.7.21</v>
          </cell>
          <cell r="F34">
            <v>5</v>
          </cell>
          <cell r="G34">
            <v>13</v>
          </cell>
          <cell r="H34">
            <v>0.75</v>
          </cell>
          <cell r="I34">
            <v>0</v>
          </cell>
          <cell r="J34">
            <v>0</v>
          </cell>
          <cell r="K34">
            <v>5.0000000000000001E-3</v>
          </cell>
          <cell r="L34">
            <v>0.755</v>
          </cell>
          <cell r="M34">
            <v>5.0000000000000044E-3</v>
          </cell>
        </row>
        <row r="35">
          <cell r="A35" t="str">
            <v>Safari 2021 - Duo Klub</v>
          </cell>
          <cell r="B35" t="str">
            <v>CZ</v>
          </cell>
          <cell r="C35">
            <v>2021</v>
          </cell>
          <cell r="D35" t="str">
            <v>Dvůr Králové</v>
          </cell>
          <cell r="E35" t="str">
            <v>3.7.-17.7.21</v>
          </cell>
          <cell r="F35">
            <v>3</v>
          </cell>
          <cell r="G35">
            <v>11</v>
          </cell>
          <cell r="H35">
            <v>0.75</v>
          </cell>
          <cell r="I35">
            <v>0</v>
          </cell>
          <cell r="J35">
            <v>0</v>
          </cell>
          <cell r="K35">
            <v>-0.02</v>
          </cell>
          <cell r="L35">
            <v>0.73</v>
          </cell>
          <cell r="M35">
            <v>-2.0000000000000018E-2</v>
          </cell>
        </row>
        <row r="36">
          <cell r="A36" t="str">
            <v>Zařazené soutěže 2022:</v>
          </cell>
        </row>
        <row r="37">
          <cell r="A37" t="str">
            <v>PMČR 2022 - Klub</v>
          </cell>
          <cell r="B37" t="str">
            <v>CZ</v>
          </cell>
          <cell r="C37">
            <v>2022</v>
          </cell>
          <cell r="D37" t="str">
            <v>Zbraslavice</v>
          </cell>
          <cell r="E37" t="str">
            <v>22.5.-4.6.22</v>
          </cell>
          <cell r="F37">
            <v>9</v>
          </cell>
          <cell r="G37">
            <v>16</v>
          </cell>
          <cell r="H37">
            <v>1</v>
          </cell>
          <cell r="I37">
            <v>2.5000000000000001E-2</v>
          </cell>
          <cell r="J37">
            <v>0</v>
          </cell>
          <cell r="K37">
            <v>2.5000000000000001E-2</v>
          </cell>
          <cell r="L37">
            <v>1.0499999999999998</v>
          </cell>
          <cell r="M37">
            <v>4.9999999999999822E-2</v>
          </cell>
        </row>
        <row r="38">
          <cell r="A38" t="str">
            <v>PMČR 2022 - Kombi 15m</v>
          </cell>
          <cell r="B38" t="str">
            <v>CZ</v>
          </cell>
          <cell r="C38">
            <v>2022</v>
          </cell>
          <cell r="D38" t="str">
            <v>Zbraslavice</v>
          </cell>
          <cell r="E38" t="str">
            <v>22.5.-4.6.22</v>
          </cell>
          <cell r="F38">
            <v>8</v>
          </cell>
          <cell r="G38">
            <v>13</v>
          </cell>
          <cell r="H38">
            <v>1</v>
          </cell>
          <cell r="I38">
            <v>0.02</v>
          </cell>
          <cell r="J38">
            <v>0.02</v>
          </cell>
          <cell r="K38">
            <v>0.02</v>
          </cell>
          <cell r="L38">
            <v>1.06</v>
          </cell>
          <cell r="M38">
            <v>6.0000000000000053E-2</v>
          </cell>
        </row>
        <row r="39">
          <cell r="A39" t="str">
            <v>PMČR 2022 - Kombi Open</v>
          </cell>
          <cell r="B39" t="str">
            <v>CZ</v>
          </cell>
          <cell r="C39">
            <v>2022</v>
          </cell>
          <cell r="D39" t="str">
            <v>Zbraslavice</v>
          </cell>
          <cell r="E39" t="str">
            <v>22.5.-4.6.22</v>
          </cell>
          <cell r="F39">
            <v>7</v>
          </cell>
          <cell r="G39">
            <v>19</v>
          </cell>
          <cell r="H39">
            <v>1</v>
          </cell>
          <cell r="I39">
            <v>0.05</v>
          </cell>
          <cell r="J39">
            <v>0.01</v>
          </cell>
          <cell r="K39">
            <v>1.4999999999999999E-2</v>
          </cell>
          <cell r="L39">
            <v>1.075</v>
          </cell>
          <cell r="M39">
            <v>7.4999999999999956E-2</v>
          </cell>
        </row>
        <row r="40">
          <cell r="A40" t="str">
            <v>JPJ 2022 - Klub</v>
          </cell>
          <cell r="B40" t="str">
            <v>CZ</v>
          </cell>
          <cell r="C40">
            <v>2022</v>
          </cell>
          <cell r="D40" t="str">
            <v>Šumperk</v>
          </cell>
          <cell r="E40" t="str">
            <v>7.5.-14.5.22</v>
          </cell>
          <cell r="F40">
            <v>5</v>
          </cell>
          <cell r="G40">
            <v>39</v>
          </cell>
          <cell r="H40">
            <v>0.9</v>
          </cell>
          <cell r="I40">
            <v>0</v>
          </cell>
          <cell r="J40">
            <v>0</v>
          </cell>
          <cell r="K40">
            <v>5.0000000000000001E-3</v>
          </cell>
          <cell r="L40">
            <v>0.90500000000000003</v>
          </cell>
          <cell r="M40">
            <v>5.0000000000000044E-3</v>
          </cell>
        </row>
        <row r="41">
          <cell r="A41" t="str">
            <v>JPJ 2022 - Kombi</v>
          </cell>
          <cell r="B41" t="str">
            <v>CZ</v>
          </cell>
          <cell r="C41">
            <v>2022</v>
          </cell>
          <cell r="D41" t="str">
            <v>Šumperk</v>
          </cell>
          <cell r="E41" t="str">
            <v>7.5.-14.5.22</v>
          </cell>
          <cell r="F41">
            <v>5</v>
          </cell>
          <cell r="G41">
            <v>20</v>
          </cell>
          <cell r="H41">
            <v>0.9</v>
          </cell>
          <cell r="I41">
            <v>5.0000000000000001E-3</v>
          </cell>
          <cell r="J41">
            <v>0</v>
          </cell>
          <cell r="K41">
            <v>5.0000000000000001E-3</v>
          </cell>
          <cell r="L41">
            <v>0.91</v>
          </cell>
          <cell r="M41">
            <v>1.0000000000000009E-2</v>
          </cell>
        </row>
        <row r="42">
          <cell r="A42" t="str">
            <v>PMRg 2022 - Klub</v>
          </cell>
          <cell r="B42" t="str">
            <v>CZ</v>
          </cell>
          <cell r="C42">
            <v>2022</v>
          </cell>
          <cell r="D42" t="str">
            <v>Hodkovice</v>
          </cell>
          <cell r="E42" t="str">
            <v>14.8.-26.8.22</v>
          </cell>
          <cell r="F42">
            <v>6</v>
          </cell>
          <cell r="G42">
            <v>13</v>
          </cell>
          <cell r="H42">
            <v>0.9</v>
          </cell>
          <cell r="I42">
            <v>5.0000000000000001E-3</v>
          </cell>
          <cell r="J42">
            <v>0</v>
          </cell>
          <cell r="K42">
            <v>0.01</v>
          </cell>
          <cell r="L42">
            <v>0.91500000000000004</v>
          </cell>
          <cell r="M42">
            <v>1.5000000000000013E-2</v>
          </cell>
        </row>
        <row r="43">
          <cell r="A43" t="str">
            <v>PMRg 2022 - Kombi</v>
          </cell>
          <cell r="B43" t="str">
            <v>CZ</v>
          </cell>
          <cell r="C43">
            <v>2022</v>
          </cell>
          <cell r="D43" t="str">
            <v>Hodkovice</v>
          </cell>
          <cell r="E43" t="str">
            <v>14.8.-26.8.22</v>
          </cell>
          <cell r="F43">
            <v>6</v>
          </cell>
          <cell r="G43">
            <v>11</v>
          </cell>
          <cell r="H43">
            <v>0.9</v>
          </cell>
          <cell r="I43">
            <v>0</v>
          </cell>
          <cell r="J43">
            <v>0</v>
          </cell>
          <cell r="K43">
            <v>0.01</v>
          </cell>
          <cell r="L43">
            <v>0.91</v>
          </cell>
          <cell r="M43">
            <v>1.0000000000000009E-2</v>
          </cell>
        </row>
        <row r="44">
          <cell r="A44" t="str">
            <v>PMČRj 2022 - Klub</v>
          </cell>
          <cell r="B44" t="str">
            <v>CZ</v>
          </cell>
          <cell r="C44">
            <v>2022</v>
          </cell>
          <cell r="D44" t="str">
            <v>Hodkovice</v>
          </cell>
          <cell r="E44" t="str">
            <v>3.7.-16.7.22</v>
          </cell>
          <cell r="F44">
            <v>6</v>
          </cell>
          <cell r="G44">
            <v>29</v>
          </cell>
          <cell r="H44">
            <v>0.9</v>
          </cell>
          <cell r="I44">
            <v>5.0000000000000001E-3</v>
          </cell>
          <cell r="J44">
            <v>0</v>
          </cell>
          <cell r="K44">
            <v>0.01</v>
          </cell>
          <cell r="L44">
            <v>0.91500000000000004</v>
          </cell>
          <cell r="M44">
            <v>1.5000000000000013E-2</v>
          </cell>
        </row>
        <row r="45">
          <cell r="A45" t="str">
            <v>GGP MB 2022 - Klub GP</v>
          </cell>
          <cell r="B45" t="str">
            <v>CZ</v>
          </cell>
          <cell r="C45">
            <v>2022</v>
          </cell>
          <cell r="D45" t="str">
            <v>Mladá Boleslav</v>
          </cell>
          <cell r="E45" t="str">
            <v>27.8.-3.9.22</v>
          </cell>
          <cell r="F45">
            <v>5</v>
          </cell>
          <cell r="G45">
            <v>15</v>
          </cell>
          <cell r="H45">
            <v>0.9</v>
          </cell>
          <cell r="I45" t="str">
            <v>0.005</v>
          </cell>
          <cell r="J45">
            <v>0</v>
          </cell>
          <cell r="K45">
            <v>5.0000000000000001E-3</v>
          </cell>
          <cell r="L45">
            <v>0.90500000000000003</v>
          </cell>
          <cell r="M45">
            <v>5.0000000000000044E-3</v>
          </cell>
        </row>
        <row r="46">
          <cell r="A46" t="str">
            <v>GGP MB 2022 - Pohár MV - Kombi</v>
          </cell>
          <cell r="B46" t="str">
            <v>CZ</v>
          </cell>
          <cell r="C46">
            <v>2022</v>
          </cell>
          <cell r="D46" t="str">
            <v>Mladá Boleslav</v>
          </cell>
          <cell r="E46" t="str">
            <v>27.8.-3.9.22</v>
          </cell>
          <cell r="F46">
            <v>5</v>
          </cell>
          <cell r="G46">
            <v>11</v>
          </cell>
          <cell r="H46">
            <v>0.9</v>
          </cell>
          <cell r="I46">
            <v>0.01</v>
          </cell>
          <cell r="J46">
            <v>0</v>
          </cell>
          <cell r="K46">
            <v>5.0000000000000001E-3</v>
          </cell>
          <cell r="L46">
            <v>0.91500000000000004</v>
          </cell>
          <cell r="M46">
            <v>1.5000000000000013E-2</v>
          </cell>
        </row>
        <row r="47">
          <cell r="A47" t="str">
            <v>Rakovnická Dlaždice 2022 - Klub</v>
          </cell>
          <cell r="B47" t="str">
            <v>CZ</v>
          </cell>
          <cell r="C47">
            <v>2022</v>
          </cell>
          <cell r="D47" t="str">
            <v>Rakovník</v>
          </cell>
          <cell r="E47" t="str">
            <v>6.8-14.8.22</v>
          </cell>
          <cell r="F47">
            <v>6</v>
          </cell>
          <cell r="G47">
            <v>14</v>
          </cell>
          <cell r="H47">
            <v>0</v>
          </cell>
          <cell r="I47">
            <v>0</v>
          </cell>
          <cell r="J47">
            <v>0</v>
          </cell>
          <cell r="K47">
            <v>0.01</v>
          </cell>
          <cell r="L47">
            <v>0</v>
          </cell>
          <cell r="M47">
            <v>0</v>
          </cell>
        </row>
        <row r="48">
          <cell r="A48" t="str">
            <v>HOP 2022 - Klub</v>
          </cell>
          <cell r="B48" t="str">
            <v>CZ</v>
          </cell>
          <cell r="C48">
            <v>2022</v>
          </cell>
          <cell r="D48" t="str">
            <v>Velké Poříčí</v>
          </cell>
          <cell r="E48" t="str">
            <v>13.8.-20.8.22</v>
          </cell>
          <cell r="F48">
            <v>4</v>
          </cell>
          <cell r="G48">
            <v>23</v>
          </cell>
          <cell r="H48">
            <v>0.75</v>
          </cell>
          <cell r="I48">
            <v>5.0000000000000001E-3</v>
          </cell>
          <cell r="J48">
            <v>0</v>
          </cell>
          <cell r="K48">
            <v>0</v>
          </cell>
          <cell r="L48">
            <v>0.755</v>
          </cell>
          <cell r="M48">
            <v>5.0000000000000044E-3</v>
          </cell>
        </row>
        <row r="49">
          <cell r="A49" t="str">
            <v>HOP 2022 - Kombi</v>
          </cell>
          <cell r="B49" t="str">
            <v>CZ</v>
          </cell>
          <cell r="C49">
            <v>2022</v>
          </cell>
          <cell r="D49" t="str">
            <v>Velké Poříčí</v>
          </cell>
          <cell r="E49" t="str">
            <v>13.8.-20.8.22</v>
          </cell>
          <cell r="F49">
            <v>4</v>
          </cell>
          <cell r="G49">
            <v>19</v>
          </cell>
          <cell r="H49">
            <v>0.75</v>
          </cell>
          <cell r="I49" t="str">
            <v>0.005</v>
          </cell>
          <cell r="J49">
            <v>0</v>
          </cell>
          <cell r="K49">
            <v>0</v>
          </cell>
          <cell r="L49">
            <v>0.75</v>
          </cell>
          <cell r="M49">
            <v>0</v>
          </cell>
        </row>
        <row r="50">
          <cell r="A50" t="str">
            <v>Pohár Českého Ráje 2022 - Klub</v>
          </cell>
          <cell r="B50" t="str">
            <v>CZ</v>
          </cell>
          <cell r="C50">
            <v>2022</v>
          </cell>
          <cell r="D50" t="str">
            <v>Jičín</v>
          </cell>
          <cell r="E50" t="str">
            <v>23.7.-30.7.22</v>
          </cell>
          <cell r="F50">
            <v>3</v>
          </cell>
          <cell r="G50">
            <v>17</v>
          </cell>
          <cell r="H50">
            <v>0</v>
          </cell>
          <cell r="I50">
            <v>0</v>
          </cell>
          <cell r="J50">
            <v>0</v>
          </cell>
          <cell r="K50">
            <v>-0.02</v>
          </cell>
          <cell r="L50">
            <v>0</v>
          </cell>
          <cell r="M50">
            <v>0</v>
          </cell>
        </row>
        <row r="51">
          <cell r="A51" t="str">
            <v>Ranský pohár 2022 - Klub</v>
          </cell>
          <cell r="B51" t="str">
            <v>CZ</v>
          </cell>
          <cell r="C51">
            <v>2022</v>
          </cell>
          <cell r="D51" t="str">
            <v>Jičín</v>
          </cell>
          <cell r="E51" t="str">
            <v>30.7.-6.8.22</v>
          </cell>
          <cell r="F51">
            <v>6</v>
          </cell>
          <cell r="G51">
            <v>21</v>
          </cell>
          <cell r="H51">
            <v>0</v>
          </cell>
          <cell r="I51">
            <v>0</v>
          </cell>
          <cell r="J51">
            <v>0</v>
          </cell>
          <cell r="K51">
            <v>0.01</v>
          </cell>
          <cell r="L51">
            <v>0</v>
          </cell>
          <cell r="M51">
            <v>0</v>
          </cell>
        </row>
        <row r="52">
          <cell r="A52" t="str">
            <v>Ranský pohár 2022 - Kombi</v>
          </cell>
          <cell r="B52" t="str">
            <v>CZ</v>
          </cell>
          <cell r="C52">
            <v>2022</v>
          </cell>
          <cell r="D52" t="str">
            <v>Raná</v>
          </cell>
          <cell r="E52" t="str">
            <v>30.7.-6.8.22</v>
          </cell>
          <cell r="F52">
            <v>6</v>
          </cell>
          <cell r="G52">
            <v>7</v>
          </cell>
          <cell r="H52">
            <v>0</v>
          </cell>
          <cell r="I52">
            <v>0</v>
          </cell>
          <cell r="J52">
            <v>0</v>
          </cell>
          <cell r="K52">
            <v>0.01</v>
          </cell>
          <cell r="L52">
            <v>0</v>
          </cell>
          <cell r="M52">
            <v>0</v>
          </cell>
        </row>
        <row r="53">
          <cell r="A53" t="str">
            <v>Safari 2022 - Duo</v>
          </cell>
          <cell r="B53" t="str">
            <v>CZ</v>
          </cell>
          <cell r="C53">
            <v>2022</v>
          </cell>
          <cell r="D53" t="str">
            <v>Dvůr Králové</v>
          </cell>
          <cell r="E53" t="str">
            <v>2.7.-16.7.22</v>
          </cell>
          <cell r="F53">
            <v>4</v>
          </cell>
          <cell r="G53">
            <v>9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</row>
        <row r="54">
          <cell r="A54" t="str">
            <v>Safari 2022 - Klub</v>
          </cell>
          <cell r="B54" t="str">
            <v>CZ</v>
          </cell>
          <cell r="C54">
            <v>2022</v>
          </cell>
          <cell r="D54" t="str">
            <v>Dvůr Králové</v>
          </cell>
          <cell r="E54" t="str">
            <v>2.7.-16.7.22</v>
          </cell>
          <cell r="F54">
            <v>5</v>
          </cell>
          <cell r="G54">
            <v>26</v>
          </cell>
          <cell r="H54">
            <v>0.75</v>
          </cell>
          <cell r="I54">
            <v>0</v>
          </cell>
          <cell r="J54">
            <v>0</v>
          </cell>
          <cell r="K54">
            <v>5.0000000000000001E-3</v>
          </cell>
          <cell r="L54">
            <v>0.755</v>
          </cell>
          <cell r="M54">
            <v>5.0000000000000044E-3</v>
          </cell>
        </row>
        <row r="55">
          <cell r="A55" t="str">
            <v>Safari 2022 - Kombi</v>
          </cell>
          <cell r="B55" t="str">
            <v>CZ</v>
          </cell>
          <cell r="C55">
            <v>2022</v>
          </cell>
          <cell r="D55" t="str">
            <v>Dvůr Králové</v>
          </cell>
          <cell r="E55" t="str">
            <v>2.7.-16.7.22</v>
          </cell>
          <cell r="F55">
            <v>5</v>
          </cell>
          <cell r="G55">
            <v>10</v>
          </cell>
          <cell r="H55">
            <v>0.75</v>
          </cell>
          <cell r="I55">
            <v>0</v>
          </cell>
          <cell r="J55">
            <v>0</v>
          </cell>
          <cell r="K55">
            <v>5.0000000000000001E-3</v>
          </cell>
          <cell r="L55">
            <v>0.755</v>
          </cell>
          <cell r="M55">
            <v>5.0000000000000044E-3</v>
          </cell>
        </row>
        <row r="56">
          <cell r="A56" t="str">
            <v>Toužim Cup 2022 - Klub</v>
          </cell>
          <cell r="B56" t="str">
            <v>CZ</v>
          </cell>
          <cell r="C56">
            <v>2022</v>
          </cell>
          <cell r="D56" t="str">
            <v>Toužim</v>
          </cell>
          <cell r="E56" t="str">
            <v>9.7.-17.7.22</v>
          </cell>
          <cell r="F56">
            <v>5</v>
          </cell>
          <cell r="G56">
            <v>26</v>
          </cell>
          <cell r="H56">
            <v>0.9</v>
          </cell>
          <cell r="I56">
            <v>0.01</v>
          </cell>
          <cell r="J56">
            <v>0</v>
          </cell>
          <cell r="K56">
            <v>5.0000000000000001E-3</v>
          </cell>
          <cell r="L56">
            <v>0.91500000000000004</v>
          </cell>
          <cell r="M56">
            <v>1.5000000000000013E-2</v>
          </cell>
        </row>
        <row r="57">
          <cell r="A57" t="str">
            <v>Toužim Cup 2022 - Kombi</v>
          </cell>
          <cell r="B57" t="str">
            <v>CZ</v>
          </cell>
          <cell r="C57">
            <v>2022</v>
          </cell>
          <cell r="D57" t="str">
            <v>Toužim</v>
          </cell>
          <cell r="E57" t="str">
            <v>9.7.-17.7.22</v>
          </cell>
          <cell r="F57">
            <v>5</v>
          </cell>
          <cell r="G57">
            <v>26</v>
          </cell>
          <cell r="H57">
            <v>0.9</v>
          </cell>
          <cell r="I57">
            <v>5.0000000000000001E-3</v>
          </cell>
          <cell r="J57">
            <v>0</v>
          </cell>
          <cell r="K57">
            <v>5.0000000000000001E-3</v>
          </cell>
          <cell r="L57">
            <v>0.91</v>
          </cell>
          <cell r="M57">
            <v>1.0000000000000009E-2</v>
          </cell>
        </row>
        <row r="58">
          <cell r="A58" t="str">
            <v>FL 2022 - Kombi</v>
          </cell>
          <cell r="B58" t="str">
            <v>CZ</v>
          </cell>
          <cell r="C58">
            <v>2022</v>
          </cell>
          <cell r="D58" t="str">
            <v>Frýdlant n/Ostr.</v>
          </cell>
          <cell r="E58" t="str">
            <v>1.7.-9.7.22</v>
          </cell>
          <cell r="F58">
            <v>3</v>
          </cell>
          <cell r="G58">
            <v>15</v>
          </cell>
          <cell r="H58">
            <v>0.75</v>
          </cell>
          <cell r="I58">
            <v>5.0000000000000001E-3</v>
          </cell>
          <cell r="J58">
            <v>0</v>
          </cell>
          <cell r="K58">
            <v>-0.02</v>
          </cell>
          <cell r="L58">
            <v>0.73499999999999999</v>
          </cell>
          <cell r="M58">
            <v>-1.5000000000000013E-2</v>
          </cell>
        </row>
        <row r="59">
          <cell r="A59" t="str">
            <v>Adrenalin GP 2022 - Klub GP</v>
          </cell>
          <cell r="B59" t="str">
            <v>CZ</v>
          </cell>
          <cell r="C59">
            <v>2022</v>
          </cell>
          <cell r="D59" t="str">
            <v>Frýdlant n/Ostr.</v>
          </cell>
          <cell r="E59" t="str">
            <v>1.7.-9.7.22</v>
          </cell>
          <cell r="F59">
            <v>4</v>
          </cell>
          <cell r="G59">
            <v>12</v>
          </cell>
          <cell r="H59">
            <v>0.9</v>
          </cell>
          <cell r="I59">
            <v>0</v>
          </cell>
          <cell r="J59">
            <v>0</v>
          </cell>
          <cell r="K59">
            <v>0</v>
          </cell>
          <cell r="L59">
            <v>0.9</v>
          </cell>
          <cell r="M59">
            <v>0</v>
          </cell>
        </row>
        <row r="60">
          <cell r="A60" t="str">
            <v>Ulfův memoriál</v>
          </cell>
          <cell r="B60" t="str">
            <v>CZ</v>
          </cell>
          <cell r="C60">
            <v>2022</v>
          </cell>
          <cell r="D60" t="str">
            <v>Raná</v>
          </cell>
          <cell r="E60" t="str">
            <v>21.5.-28.5.22</v>
          </cell>
          <cell r="F60">
            <v>3</v>
          </cell>
          <cell r="G60">
            <v>10</v>
          </cell>
          <cell r="H60">
            <v>0</v>
          </cell>
          <cell r="I60">
            <v>0</v>
          </cell>
          <cell r="J60">
            <v>0</v>
          </cell>
          <cell r="K60">
            <v>-0.02</v>
          </cell>
          <cell r="L60">
            <v>0</v>
          </cell>
          <cell r="M60">
            <v>0</v>
          </cell>
        </row>
        <row r="61">
          <cell r="A61" t="str">
            <v>Podbrdský pohár</v>
          </cell>
          <cell r="B61" t="str">
            <v>CZ</v>
          </cell>
          <cell r="C61">
            <v>2022</v>
          </cell>
          <cell r="D61" t="str">
            <v>Letkov</v>
          </cell>
          <cell r="E61" t="str">
            <v>30.4.-7.5.22</v>
          </cell>
          <cell r="F61">
            <v>4</v>
          </cell>
          <cell r="G61">
            <v>20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</row>
        <row r="62">
          <cell r="A62" t="str">
            <v>AZ Cup 2022 - Klub</v>
          </cell>
          <cell r="B62" t="str">
            <v>CZ</v>
          </cell>
          <cell r="C62">
            <v>2022</v>
          </cell>
          <cell r="D62" t="str">
            <v>Zbraslavice</v>
          </cell>
          <cell r="E62" t="str">
            <v>22.4.-30.4.22</v>
          </cell>
          <cell r="F62">
            <v>6</v>
          </cell>
          <cell r="G62">
            <v>22</v>
          </cell>
          <cell r="H62">
            <v>0.9</v>
          </cell>
          <cell r="I62">
            <v>5.0000000000000001E-3</v>
          </cell>
          <cell r="J62">
            <v>0</v>
          </cell>
          <cell r="K62">
            <v>0.01</v>
          </cell>
          <cell r="L62">
            <v>0.91500000000000004</v>
          </cell>
          <cell r="M62">
            <v>1.5000000000000013E-2</v>
          </cell>
        </row>
        <row r="63">
          <cell r="A63" t="str">
            <v xml:space="preserve">AZ Cup 2022 - Kombi </v>
          </cell>
          <cell r="B63" t="str">
            <v>CZ</v>
          </cell>
          <cell r="C63">
            <v>2022</v>
          </cell>
          <cell r="D63" t="str">
            <v>Zbraslavice</v>
          </cell>
          <cell r="E63" t="str">
            <v>22.4.-30.4.22</v>
          </cell>
          <cell r="F63">
            <v>6</v>
          </cell>
          <cell r="G63">
            <v>24</v>
          </cell>
          <cell r="H63">
            <v>0.9</v>
          </cell>
          <cell r="I63">
            <v>3.5000000000000003E-2</v>
          </cell>
          <cell r="J63">
            <v>0.01</v>
          </cell>
          <cell r="K63">
            <v>0.01</v>
          </cell>
          <cell r="L63">
            <v>0.95500000000000007</v>
          </cell>
          <cell r="M63">
            <v>5.5000000000000049E-2</v>
          </cell>
        </row>
        <row r="64">
          <cell r="A64" t="str">
            <v>PPV 2022 - Klub</v>
          </cell>
          <cell r="B64" t="str">
            <v>CZ</v>
          </cell>
          <cell r="C64">
            <v>2022</v>
          </cell>
          <cell r="D64" t="str">
            <v>Havlíčkův Brod</v>
          </cell>
          <cell r="E64" t="str">
            <v>23.7-30.7.22</v>
          </cell>
          <cell r="F64">
            <v>3</v>
          </cell>
          <cell r="G64">
            <v>37</v>
          </cell>
          <cell r="H64">
            <v>0.9</v>
          </cell>
          <cell r="I64">
            <v>5.0000000000000001E-3</v>
          </cell>
          <cell r="J64">
            <v>0</v>
          </cell>
          <cell r="K64">
            <v>-0.02</v>
          </cell>
          <cell r="L64">
            <v>0.88500000000000001</v>
          </cell>
          <cell r="M64">
            <v>-1.5000000000000013E-2</v>
          </cell>
        </row>
        <row r="65">
          <cell r="A65" t="str">
            <v>PPV 2022 - Kombi</v>
          </cell>
          <cell r="B65" t="str">
            <v>CZ</v>
          </cell>
          <cell r="C65">
            <v>2022</v>
          </cell>
          <cell r="D65" t="str">
            <v>Havlíčkův Brod</v>
          </cell>
          <cell r="E65" t="str">
            <v>23.7-30.7.22</v>
          </cell>
          <cell r="F65">
            <v>4</v>
          </cell>
          <cell r="G65">
            <v>25</v>
          </cell>
          <cell r="H65">
            <v>0.9</v>
          </cell>
          <cell r="I65">
            <v>0.02</v>
          </cell>
          <cell r="J65">
            <v>0</v>
          </cell>
          <cell r="K65">
            <v>0</v>
          </cell>
          <cell r="L65">
            <v>0.92</v>
          </cell>
          <cell r="M65">
            <v>2.0000000000000018E-2</v>
          </cell>
        </row>
        <row r="66">
          <cell r="A66" t="str">
            <v>WGC 2022 - 18m</v>
          </cell>
          <cell r="B66" t="str">
            <v>HU</v>
          </cell>
          <cell r="C66">
            <v>2022</v>
          </cell>
          <cell r="D66" t="str">
            <v>Szeged</v>
          </cell>
          <cell r="E66" t="str">
            <v>24.7.-5.8.22</v>
          </cell>
          <cell r="F66">
            <v>10</v>
          </cell>
          <cell r="G66">
            <v>42</v>
          </cell>
          <cell r="H66">
            <v>1</v>
          </cell>
          <cell r="I66">
            <v>0.05</v>
          </cell>
          <cell r="J66">
            <v>0.01</v>
          </cell>
          <cell r="K66">
            <v>0.03</v>
          </cell>
          <cell r="L66">
            <v>1.0900000000000001</v>
          </cell>
          <cell r="M66">
            <v>9.000000000000008E-2</v>
          </cell>
        </row>
        <row r="67">
          <cell r="A67" t="str">
            <v>WGC 2022 - Open</v>
          </cell>
          <cell r="B67" t="str">
            <v>HU</v>
          </cell>
          <cell r="C67">
            <v>2022</v>
          </cell>
          <cell r="D67" t="str">
            <v>Szeged</v>
          </cell>
          <cell r="E67" t="str">
            <v>24.7.-5.8.22</v>
          </cell>
          <cell r="F67">
            <v>10</v>
          </cell>
          <cell r="G67">
            <v>22</v>
          </cell>
          <cell r="H67">
            <v>1</v>
          </cell>
          <cell r="I67">
            <v>0.05</v>
          </cell>
          <cell r="J67">
            <v>0.02</v>
          </cell>
          <cell r="K67">
            <v>0.03</v>
          </cell>
          <cell r="L67">
            <v>1.1000000000000001</v>
          </cell>
          <cell r="M67">
            <v>0.10000000000000009</v>
          </cell>
        </row>
        <row r="68">
          <cell r="A68" t="str">
            <v>WGC 2022 - Duo 20m</v>
          </cell>
          <cell r="B68" t="str">
            <v>HU</v>
          </cell>
          <cell r="C68">
            <v>2022</v>
          </cell>
          <cell r="D68" t="str">
            <v>Szeged</v>
          </cell>
          <cell r="E68" t="str">
            <v>24.7.-5.8.22</v>
          </cell>
          <cell r="F68">
            <v>10</v>
          </cell>
          <cell r="G68">
            <v>19</v>
          </cell>
          <cell r="H68">
            <v>1</v>
          </cell>
          <cell r="I68">
            <v>0.05</v>
          </cell>
          <cell r="J68">
            <v>0.01</v>
          </cell>
          <cell r="K68">
            <v>0.03</v>
          </cell>
          <cell r="L68">
            <v>1.0900000000000001</v>
          </cell>
          <cell r="M68">
            <v>9.000000000000008E-2</v>
          </cell>
        </row>
        <row r="69">
          <cell r="A69" t="str">
            <v>EGC 2022 - Klub</v>
          </cell>
          <cell r="B69" t="str">
            <v>LT</v>
          </cell>
          <cell r="C69">
            <v>2022</v>
          </cell>
          <cell r="D69" t="str">
            <v>Pociunai</v>
          </cell>
          <cell r="E69" t="str">
            <v>3.7.-15.7.22</v>
          </cell>
          <cell r="F69">
            <v>8</v>
          </cell>
          <cell r="G69">
            <v>28</v>
          </cell>
          <cell r="H69">
            <v>1</v>
          </cell>
          <cell r="I69">
            <v>3.5000000000000003E-2</v>
          </cell>
          <cell r="J69">
            <v>0.02</v>
          </cell>
          <cell r="K69">
            <v>0.02</v>
          </cell>
          <cell r="L69">
            <v>1.075</v>
          </cell>
          <cell r="M69">
            <v>7.4999999999999956E-2</v>
          </cell>
        </row>
        <row r="70">
          <cell r="A70" t="str">
            <v>EGC 2022 - Std</v>
          </cell>
          <cell r="B70" t="str">
            <v>LT</v>
          </cell>
          <cell r="C70">
            <v>2022</v>
          </cell>
          <cell r="D70" t="str">
            <v>Pociunai</v>
          </cell>
          <cell r="E70" t="str">
            <v>3.7.-15.7.22</v>
          </cell>
          <cell r="F70">
            <v>7</v>
          </cell>
          <cell r="G70">
            <v>28</v>
          </cell>
          <cell r="H70">
            <v>1</v>
          </cell>
          <cell r="I70">
            <v>4.4999999999999998E-2</v>
          </cell>
          <cell r="J70">
            <v>0.03</v>
          </cell>
          <cell r="K70">
            <v>1.4999999999999999E-2</v>
          </cell>
          <cell r="L70">
            <v>1.0899999999999999</v>
          </cell>
          <cell r="M70">
            <v>8.9999999999999858E-2</v>
          </cell>
        </row>
        <row r="71">
          <cell r="A71" t="str">
            <v>EGC 2022 - 15m</v>
          </cell>
          <cell r="B71" t="str">
            <v>LT</v>
          </cell>
          <cell r="C71">
            <v>2022</v>
          </cell>
          <cell r="D71" t="str">
            <v>Pociunai</v>
          </cell>
          <cell r="E71" t="str">
            <v>3.7.-15.7.22</v>
          </cell>
          <cell r="F71">
            <v>8</v>
          </cell>
          <cell r="G71">
            <v>26</v>
          </cell>
          <cell r="H71">
            <v>1</v>
          </cell>
          <cell r="I71">
            <v>0.02</v>
          </cell>
          <cell r="J71">
            <v>0.02</v>
          </cell>
          <cell r="K71">
            <v>0.02</v>
          </cell>
          <cell r="L71">
            <v>1.06</v>
          </cell>
          <cell r="M71">
            <v>6.0000000000000053E-2</v>
          </cell>
        </row>
        <row r="72">
          <cell r="A72" t="str">
            <v>JWGC 2022 - Klub</v>
          </cell>
          <cell r="B72" t="str">
            <v>CZ</v>
          </cell>
          <cell r="C72">
            <v>2022</v>
          </cell>
          <cell r="D72" t="str">
            <v>Tabor</v>
          </cell>
          <cell r="E72" t="str">
            <v>30.7.-12.8.22</v>
          </cell>
          <cell r="F72">
            <v>10</v>
          </cell>
          <cell r="G72">
            <v>45</v>
          </cell>
          <cell r="H72">
            <v>1</v>
          </cell>
          <cell r="I72">
            <v>1.4999999999999999E-2</v>
          </cell>
          <cell r="J72">
            <v>0.03</v>
          </cell>
          <cell r="K72">
            <v>0.03</v>
          </cell>
          <cell r="L72">
            <v>1.075</v>
          </cell>
          <cell r="M72">
            <v>7.4999999999999956E-2</v>
          </cell>
        </row>
        <row r="73">
          <cell r="A73" t="str">
            <v>JWGC 2022 - Std</v>
          </cell>
          <cell r="B73" t="str">
            <v>CZ</v>
          </cell>
          <cell r="C73">
            <v>2022</v>
          </cell>
          <cell r="D73" t="str">
            <v>Tabor</v>
          </cell>
          <cell r="E73" t="str">
            <v>30.7.-12.8.22</v>
          </cell>
          <cell r="F73">
            <v>10</v>
          </cell>
          <cell r="G73">
            <v>29</v>
          </cell>
          <cell r="H73">
            <v>1</v>
          </cell>
          <cell r="I73">
            <v>1.4999999999999999E-2</v>
          </cell>
          <cell r="J73">
            <v>0.03</v>
          </cell>
          <cell r="K73">
            <v>0.03</v>
          </cell>
          <cell r="L73">
            <v>1.075</v>
          </cell>
          <cell r="M73">
            <v>7.4999999999999956E-2</v>
          </cell>
        </row>
        <row r="74">
          <cell r="A74" t="str">
            <v>WWGC 2022 - Klub</v>
          </cell>
          <cell r="B74" t="str">
            <v>UK</v>
          </cell>
          <cell r="C74">
            <v>2022</v>
          </cell>
          <cell r="D74" t="str">
            <v>Husbands Bosworth</v>
          </cell>
          <cell r="E74" t="str">
            <v>14.8.-26.8.22</v>
          </cell>
          <cell r="F74">
            <v>6</v>
          </cell>
          <cell r="G74">
            <v>18</v>
          </cell>
          <cell r="H74">
            <v>1</v>
          </cell>
          <cell r="I74">
            <v>0.01</v>
          </cell>
          <cell r="J74">
            <v>0.02</v>
          </cell>
          <cell r="K74">
            <v>0.01</v>
          </cell>
          <cell r="L74">
            <v>1.04</v>
          </cell>
          <cell r="M74">
            <v>4.0000000000000036E-2</v>
          </cell>
        </row>
        <row r="75">
          <cell r="A75" t="str">
            <v>WWGC 2022 - Std</v>
          </cell>
          <cell r="B75" t="str">
            <v>UK</v>
          </cell>
          <cell r="C75">
            <v>2022</v>
          </cell>
          <cell r="D75" t="str">
            <v>Husbands Bosworth</v>
          </cell>
          <cell r="E75" t="str">
            <v>14.8.-26.8.22</v>
          </cell>
          <cell r="F75">
            <v>8</v>
          </cell>
          <cell r="G75">
            <v>13</v>
          </cell>
          <cell r="H75">
            <v>1</v>
          </cell>
          <cell r="I75">
            <v>5.0000000000000001E-3</v>
          </cell>
          <cell r="J75">
            <v>0.01</v>
          </cell>
          <cell r="K75">
            <v>0.02</v>
          </cell>
          <cell r="L75">
            <v>1.0349999999999999</v>
          </cell>
          <cell r="M75">
            <v>3.499999999999992E-2</v>
          </cell>
        </row>
        <row r="76">
          <cell r="A76" t="str">
            <v>WWGC 2022 - 18m</v>
          </cell>
          <cell r="B76" t="str">
            <v>UK</v>
          </cell>
          <cell r="C76">
            <v>2022</v>
          </cell>
          <cell r="D76" t="str">
            <v>Husbands Bosworth</v>
          </cell>
          <cell r="E76" t="str">
            <v>14.8.-26.8.22</v>
          </cell>
          <cell r="F76">
            <v>8</v>
          </cell>
          <cell r="G76">
            <v>12</v>
          </cell>
          <cell r="H76">
            <v>1</v>
          </cell>
          <cell r="I76">
            <v>5.0000000000000001E-3</v>
          </cell>
          <cell r="J76">
            <v>0.03</v>
          </cell>
          <cell r="K76">
            <v>0.02</v>
          </cell>
          <cell r="L76">
            <v>1.0549999999999999</v>
          </cell>
          <cell r="M76">
            <v>5.4999999999999938E-2</v>
          </cell>
        </row>
        <row r="77">
          <cell r="A77" t="str">
            <v>PMSR 2022 - Klub</v>
          </cell>
          <cell r="B77" t="str">
            <v>SK</v>
          </cell>
          <cell r="C77">
            <v>2022</v>
          </cell>
          <cell r="D77" t="str">
            <v>Martin</v>
          </cell>
          <cell r="E77" t="str">
            <v>12.6.-26.6.22</v>
          </cell>
          <cell r="F77">
            <v>11</v>
          </cell>
          <cell r="G77">
            <v>16</v>
          </cell>
          <cell r="H77">
            <v>0.9</v>
          </cell>
          <cell r="I77">
            <v>5.0000000000000001E-3</v>
          </cell>
          <cell r="J77">
            <v>0</v>
          </cell>
          <cell r="K77">
            <v>0.03</v>
          </cell>
          <cell r="L77">
            <v>0.93500000000000005</v>
          </cell>
          <cell r="M77">
            <v>3.5000000000000031E-2</v>
          </cell>
        </row>
        <row r="78">
          <cell r="A78" t="str">
            <v>PMSR 2022 - Kombi A+B</v>
          </cell>
          <cell r="B78" t="str">
            <v>SK</v>
          </cell>
          <cell r="C78">
            <v>2022</v>
          </cell>
          <cell r="D78" t="str">
            <v>Martin</v>
          </cell>
          <cell r="E78" t="str">
            <v>12.6.-26.6.22</v>
          </cell>
          <cell r="F78">
            <v>10</v>
          </cell>
          <cell r="G78">
            <v>24</v>
          </cell>
          <cell r="H78">
            <v>0.9</v>
          </cell>
          <cell r="I78">
            <v>5.0000000000000001E-3</v>
          </cell>
          <cell r="J78">
            <v>0</v>
          </cell>
          <cell r="K78">
            <v>0.03</v>
          </cell>
          <cell r="L78">
            <v>0.93500000000000005</v>
          </cell>
          <cell r="M78">
            <v>3.5000000000000031E-2</v>
          </cell>
        </row>
        <row r="79">
          <cell r="A79" t="str">
            <v>Oldtimer Pribina Star 2022 - Klub</v>
          </cell>
          <cell r="B79" t="str">
            <v>SK</v>
          </cell>
          <cell r="C79">
            <v>2022</v>
          </cell>
          <cell r="D79" t="str">
            <v>Nitra</v>
          </cell>
          <cell r="E79" t="str">
            <v>6.8.-13.8.22</v>
          </cell>
          <cell r="F79">
            <v>4</v>
          </cell>
          <cell r="G79">
            <v>16</v>
          </cell>
          <cell r="H79">
            <v>0.75</v>
          </cell>
          <cell r="I79">
            <v>0</v>
          </cell>
          <cell r="J79">
            <v>0</v>
          </cell>
          <cell r="K79">
            <v>0</v>
          </cell>
          <cell r="L79">
            <v>0.75</v>
          </cell>
          <cell r="M79">
            <v>0</v>
          </cell>
        </row>
        <row r="80">
          <cell r="A80" t="str">
            <v>Top Gun 2022 - Kombi</v>
          </cell>
          <cell r="B80" t="str">
            <v>SK</v>
          </cell>
          <cell r="C80">
            <v>2022</v>
          </cell>
          <cell r="D80" t="str">
            <v>Prievidza</v>
          </cell>
          <cell r="E80" t="str">
            <v>6.8.-13.8.22</v>
          </cell>
          <cell r="F80">
            <v>5</v>
          </cell>
          <cell r="G80">
            <v>8</v>
          </cell>
          <cell r="H80">
            <v>0.75</v>
          </cell>
          <cell r="I80">
            <v>0</v>
          </cell>
          <cell r="J80">
            <v>0</v>
          </cell>
          <cell r="K80">
            <v>5.0000000000000001E-3</v>
          </cell>
          <cell r="L80">
            <v>0</v>
          </cell>
          <cell r="M80">
            <v>-0.75</v>
          </cell>
        </row>
        <row r="81">
          <cell r="A81" t="str">
            <v>Fatraglide 2022 - Klub</v>
          </cell>
          <cell r="B81" t="str">
            <v>SK</v>
          </cell>
          <cell r="C81">
            <v>2022</v>
          </cell>
          <cell r="D81" t="str">
            <v>Martin</v>
          </cell>
          <cell r="E81" t="str">
            <v>21.5.-28.5.22</v>
          </cell>
          <cell r="F81">
            <v>6</v>
          </cell>
          <cell r="G81">
            <v>16</v>
          </cell>
          <cell r="H81">
            <v>0.75</v>
          </cell>
          <cell r="I81">
            <v>0</v>
          </cell>
          <cell r="J81">
            <v>0</v>
          </cell>
          <cell r="K81">
            <v>0.01</v>
          </cell>
          <cell r="L81">
            <v>0.76</v>
          </cell>
          <cell r="M81">
            <v>1.0000000000000009E-2</v>
          </cell>
        </row>
        <row r="82">
          <cell r="A82" t="str">
            <v>Fatraglide 2022 - Kombi</v>
          </cell>
          <cell r="B82" t="str">
            <v>SK</v>
          </cell>
          <cell r="C82">
            <v>2022</v>
          </cell>
          <cell r="D82" t="str">
            <v>Martin</v>
          </cell>
          <cell r="E82" t="str">
            <v>21.5.-28.5.22</v>
          </cell>
          <cell r="F82">
            <v>6</v>
          </cell>
          <cell r="G82">
            <v>10</v>
          </cell>
          <cell r="H82">
            <v>0.75</v>
          </cell>
          <cell r="I82">
            <v>5.0000000000000001E-3</v>
          </cell>
          <cell r="J82">
            <v>0</v>
          </cell>
          <cell r="K82">
            <v>0.01</v>
          </cell>
          <cell r="L82">
            <v>0.76500000000000001</v>
          </cell>
          <cell r="M82">
            <v>1.5000000000000013E-2</v>
          </cell>
        </row>
        <row r="83">
          <cell r="A83" t="str">
            <v>FCC 2022 - Klub</v>
          </cell>
          <cell r="B83" t="str">
            <v>SK</v>
          </cell>
          <cell r="C83">
            <v>2022</v>
          </cell>
          <cell r="D83" t="str">
            <v>Prievidza</v>
          </cell>
          <cell r="E83" t="str">
            <v>24.4.-5.5.22</v>
          </cell>
          <cell r="F83">
            <v>7</v>
          </cell>
          <cell r="G83">
            <v>43</v>
          </cell>
          <cell r="H83">
            <v>0.9</v>
          </cell>
          <cell r="I83">
            <v>1.4999999999999999E-2</v>
          </cell>
          <cell r="J83">
            <v>0.01</v>
          </cell>
          <cell r="K83">
            <v>1.4999999999999999E-2</v>
          </cell>
          <cell r="L83">
            <v>0.94000000000000006</v>
          </cell>
          <cell r="M83">
            <v>4.0000000000000036E-2</v>
          </cell>
        </row>
        <row r="84">
          <cell r="A84" t="str">
            <v>FCC 2022 - Kombi 15m</v>
          </cell>
          <cell r="B84" t="str">
            <v>SK</v>
          </cell>
          <cell r="C84">
            <v>2022</v>
          </cell>
          <cell r="D84" t="str">
            <v>Prievidza</v>
          </cell>
          <cell r="E84" t="str">
            <v>24.4.-5.5.22</v>
          </cell>
          <cell r="F84">
            <v>7</v>
          </cell>
          <cell r="G84">
            <v>28</v>
          </cell>
          <cell r="H84">
            <v>0.9</v>
          </cell>
          <cell r="I84">
            <v>1.4999999999999999E-2</v>
          </cell>
          <cell r="J84">
            <v>0.03</v>
          </cell>
          <cell r="K84">
            <v>1.4999999999999999E-2</v>
          </cell>
          <cell r="L84">
            <v>0.96000000000000008</v>
          </cell>
          <cell r="M84">
            <v>6.0000000000000053E-2</v>
          </cell>
        </row>
        <row r="85">
          <cell r="A85" t="str">
            <v>FCC 2022 - Kombi Open</v>
          </cell>
          <cell r="B85" t="str">
            <v>SK</v>
          </cell>
          <cell r="C85">
            <v>2022</v>
          </cell>
          <cell r="D85" t="str">
            <v>Prievidza</v>
          </cell>
          <cell r="E85" t="str">
            <v>24.4.-5.5.22</v>
          </cell>
          <cell r="F85">
            <v>7</v>
          </cell>
          <cell r="G85">
            <v>45</v>
          </cell>
          <cell r="H85">
            <v>0.9</v>
          </cell>
          <cell r="I85">
            <v>0.03</v>
          </cell>
          <cell r="J85">
            <v>0.02</v>
          </cell>
          <cell r="K85">
            <v>1.4999999999999999E-2</v>
          </cell>
          <cell r="L85">
            <v>0.96500000000000008</v>
          </cell>
          <cell r="M85">
            <v>6.5000000000000058E-2</v>
          </cell>
        </row>
        <row r="86">
          <cell r="A86" t="str">
            <v>Pribina Cup 2022 - Klub</v>
          </cell>
          <cell r="B86" t="str">
            <v>SK</v>
          </cell>
          <cell r="C86">
            <v>2022</v>
          </cell>
          <cell r="D86" t="str">
            <v>Nitra</v>
          </cell>
          <cell r="E86" t="str">
            <v>15.4.-23.4.22</v>
          </cell>
          <cell r="F86">
            <v>5</v>
          </cell>
          <cell r="G86">
            <v>28</v>
          </cell>
          <cell r="H86">
            <v>0.9</v>
          </cell>
          <cell r="I86">
            <v>2.5000000000000001E-2</v>
          </cell>
          <cell r="J86">
            <v>0.01</v>
          </cell>
          <cell r="K86">
            <v>5.0000000000000001E-3</v>
          </cell>
          <cell r="L86">
            <v>0.94000000000000006</v>
          </cell>
          <cell r="M86">
            <v>4.0000000000000036E-2</v>
          </cell>
        </row>
        <row r="87">
          <cell r="A87" t="str">
            <v>Pribina Cup 2022 - Kombi 15m</v>
          </cell>
          <cell r="B87" t="str">
            <v>SK</v>
          </cell>
          <cell r="C87">
            <v>2022</v>
          </cell>
          <cell r="D87" t="str">
            <v>Nitra</v>
          </cell>
          <cell r="E87" t="str">
            <v>15.4.-23.4.22</v>
          </cell>
          <cell r="F87">
            <v>5</v>
          </cell>
          <cell r="G87">
            <v>26</v>
          </cell>
          <cell r="H87">
            <v>0.9</v>
          </cell>
          <cell r="I87">
            <v>1.4999999999999999E-2</v>
          </cell>
          <cell r="J87">
            <v>0.01</v>
          </cell>
          <cell r="K87">
            <v>5.0000000000000001E-3</v>
          </cell>
          <cell r="L87">
            <v>0.93</v>
          </cell>
          <cell r="M87">
            <v>3.0000000000000027E-2</v>
          </cell>
        </row>
        <row r="88">
          <cell r="A88" t="str">
            <v>Pribina Cup 2022 - Kombi Open</v>
          </cell>
          <cell r="B88" t="str">
            <v>SK</v>
          </cell>
          <cell r="C88">
            <v>2022</v>
          </cell>
          <cell r="D88" t="str">
            <v>Nitra</v>
          </cell>
          <cell r="E88" t="str">
            <v>15.4.-23.4.22</v>
          </cell>
          <cell r="F88">
            <v>5</v>
          </cell>
          <cell r="G88">
            <v>46</v>
          </cell>
          <cell r="H88">
            <v>0.9</v>
          </cell>
          <cell r="I88">
            <v>4.4999999999999998E-2</v>
          </cell>
          <cell r="J88">
            <v>0</v>
          </cell>
          <cell r="K88">
            <v>5.0000000000000001E-3</v>
          </cell>
          <cell r="L88">
            <v>0.95000000000000007</v>
          </cell>
          <cell r="M88">
            <v>5.0000000000000044E-2</v>
          </cell>
        </row>
        <row r="89">
          <cell r="A89" t="str">
            <v>Flatland Cup 2022 - Klub</v>
          </cell>
          <cell r="B89" t="str">
            <v>SK</v>
          </cell>
          <cell r="C89">
            <v>2022</v>
          </cell>
          <cell r="D89" t="str">
            <v>Szeged</v>
          </cell>
          <cell r="E89" t="str">
            <v>1.7.-9.7.22</v>
          </cell>
          <cell r="F89">
            <v>6</v>
          </cell>
          <cell r="G89">
            <v>33</v>
          </cell>
          <cell r="H89">
            <v>0.9</v>
          </cell>
          <cell r="I89">
            <v>0.03</v>
          </cell>
          <cell r="J89">
            <v>0</v>
          </cell>
          <cell r="K89">
            <v>0.01</v>
          </cell>
          <cell r="L89">
            <v>0.94000000000000006</v>
          </cell>
          <cell r="M89">
            <v>4.0000000000000036E-2</v>
          </cell>
        </row>
        <row r="90">
          <cell r="A90" t="str">
            <v>Flatland Cup 2022 - Kombi Open</v>
          </cell>
          <cell r="B90" t="str">
            <v>SK</v>
          </cell>
          <cell r="C90">
            <v>2022</v>
          </cell>
          <cell r="D90" t="str">
            <v>Szeged</v>
          </cell>
          <cell r="E90" t="str">
            <v>1.7.-9.7.22</v>
          </cell>
          <cell r="F90">
            <v>7</v>
          </cell>
          <cell r="G90">
            <v>22</v>
          </cell>
          <cell r="H90">
            <v>0.9</v>
          </cell>
          <cell r="I90">
            <v>0.03</v>
          </cell>
          <cell r="J90">
            <v>0</v>
          </cell>
          <cell r="K90">
            <v>1.4999999999999999E-2</v>
          </cell>
          <cell r="L90">
            <v>0.94500000000000006</v>
          </cell>
          <cell r="M90">
            <v>4.500000000000004E-2</v>
          </cell>
        </row>
        <row r="91">
          <cell r="A91" t="str">
            <v>SGP Sweden 2022 - 18m GP</v>
          </cell>
          <cell r="B91" t="str">
            <v>SE</v>
          </cell>
          <cell r="C91">
            <v>2022</v>
          </cell>
          <cell r="D91" t="str">
            <v>Boras</v>
          </cell>
          <cell r="E91" t="str">
            <v>8.5.-14.5.22</v>
          </cell>
          <cell r="F91">
            <v>3</v>
          </cell>
          <cell r="G91">
            <v>15</v>
          </cell>
          <cell r="H91">
            <v>0.9</v>
          </cell>
          <cell r="I91">
            <v>5.0000000000000001E-3</v>
          </cell>
          <cell r="J91">
            <v>0</v>
          </cell>
          <cell r="K91">
            <v>-0.02</v>
          </cell>
          <cell r="L91">
            <v>0.88500000000000001</v>
          </cell>
          <cell r="M91">
            <v>-1.5000000000000013E-2</v>
          </cell>
        </row>
        <row r="92">
          <cell r="A92" t="str">
            <v>Zařazené soutěže 2023:</v>
          </cell>
        </row>
        <row r="93">
          <cell r="A93" t="str">
            <v>SGP Final 2023</v>
          </cell>
          <cell r="B93" t="str">
            <v>IT</v>
          </cell>
          <cell r="C93">
            <v>2023</v>
          </cell>
          <cell r="D93" t="str">
            <v>Pavullo</v>
          </cell>
          <cell r="E93" t="str">
            <v>16.4.-27.4.23</v>
          </cell>
          <cell r="F93">
            <v>4</v>
          </cell>
          <cell r="G93">
            <v>19</v>
          </cell>
          <cell r="H93">
            <v>1</v>
          </cell>
          <cell r="I93">
            <v>3.5000000000000003E-2</v>
          </cell>
          <cell r="J93">
            <v>0.03</v>
          </cell>
          <cell r="K93">
            <v>0</v>
          </cell>
          <cell r="L93">
            <v>1.0649999999999999</v>
          </cell>
          <cell r="M93">
            <v>6.4999999999999947E-2</v>
          </cell>
        </row>
        <row r="94">
          <cell r="A94" t="str">
            <v>FCC Gliding 2023 - Klub</v>
          </cell>
          <cell r="B94" t="str">
            <v>SK</v>
          </cell>
          <cell r="C94">
            <v>2023</v>
          </cell>
          <cell r="D94" t="str">
            <v>Prievidza</v>
          </cell>
          <cell r="E94" t="str">
            <v>16.4.-27.4.23</v>
          </cell>
          <cell r="F94">
            <v>7</v>
          </cell>
          <cell r="G94">
            <v>21</v>
          </cell>
          <cell r="H94">
            <v>0.9</v>
          </cell>
          <cell r="I94">
            <v>0.01</v>
          </cell>
          <cell r="J94">
            <v>0.01</v>
          </cell>
          <cell r="K94">
            <v>1.4999999999999999E-2</v>
          </cell>
          <cell r="L94">
            <v>0.93500000000000005</v>
          </cell>
          <cell r="M94">
            <v>3.5000000000000031E-2</v>
          </cell>
        </row>
        <row r="95">
          <cell r="A95" t="str">
            <v>FCC Gliding 2023 - Kombi 15m</v>
          </cell>
          <cell r="B95" t="str">
            <v>SK</v>
          </cell>
          <cell r="C95">
            <v>2023</v>
          </cell>
          <cell r="D95" t="str">
            <v>Prievidza</v>
          </cell>
          <cell r="E95" t="str">
            <v>16.4.-27.4.23</v>
          </cell>
          <cell r="F95">
            <v>7</v>
          </cell>
          <cell r="G95">
            <v>31</v>
          </cell>
          <cell r="H95">
            <v>0.9</v>
          </cell>
          <cell r="I95">
            <v>0.05</v>
          </cell>
          <cell r="J95">
            <v>0.02</v>
          </cell>
          <cell r="K95">
            <v>1.4999999999999999E-2</v>
          </cell>
          <cell r="L95">
            <v>0.9850000000000001</v>
          </cell>
          <cell r="M95">
            <v>8.5000000000000075E-2</v>
          </cell>
        </row>
        <row r="96">
          <cell r="A96" t="str">
            <v>FCC Gliding 2023 - Kombi Open</v>
          </cell>
          <cell r="B96" t="str">
            <v>SK</v>
          </cell>
          <cell r="C96">
            <v>2023</v>
          </cell>
          <cell r="D96" t="str">
            <v>Prievidza</v>
          </cell>
          <cell r="E96" t="str">
            <v>16.4.-27.4.23</v>
          </cell>
          <cell r="F96">
            <v>7</v>
          </cell>
          <cell r="G96">
            <v>39</v>
          </cell>
          <cell r="H96">
            <v>0.9</v>
          </cell>
          <cell r="I96">
            <v>0.02</v>
          </cell>
          <cell r="J96">
            <v>0.02</v>
          </cell>
          <cell r="K96">
            <v>1.4999999999999999E-2</v>
          </cell>
          <cell r="L96">
            <v>0.95500000000000007</v>
          </cell>
          <cell r="M96">
            <v>5.5000000000000049E-2</v>
          </cell>
        </row>
        <row r="97">
          <cell r="A97" t="str">
            <v>Fatraglide 2023 - Klub</v>
          </cell>
          <cell r="B97" t="str">
            <v>SK</v>
          </cell>
          <cell r="C97">
            <v>2023</v>
          </cell>
          <cell r="D97" t="str">
            <v>Martin</v>
          </cell>
          <cell r="E97" t="str">
            <v>29.4.-6.5.23</v>
          </cell>
          <cell r="F97">
            <v>4</v>
          </cell>
          <cell r="G97">
            <v>19</v>
          </cell>
          <cell r="H97">
            <v>0.75</v>
          </cell>
          <cell r="I97">
            <v>5.0000000000000001E-3</v>
          </cell>
          <cell r="J97">
            <v>0</v>
          </cell>
          <cell r="K97">
            <v>0</v>
          </cell>
          <cell r="L97">
            <v>0.755</v>
          </cell>
          <cell r="M97">
            <v>5.0000000000000044E-3</v>
          </cell>
        </row>
        <row r="98">
          <cell r="A98" t="str">
            <v>Fatraglide 2023 - Kombi</v>
          </cell>
          <cell r="B98" t="str">
            <v>SK</v>
          </cell>
          <cell r="C98">
            <v>2023</v>
          </cell>
          <cell r="D98" t="str">
            <v>Martin</v>
          </cell>
          <cell r="E98" t="str">
            <v>29.4.-6.5.23</v>
          </cell>
          <cell r="F98">
            <v>4</v>
          </cell>
          <cell r="G98">
            <v>15</v>
          </cell>
          <cell r="H98">
            <v>0.75</v>
          </cell>
          <cell r="I98">
            <v>5.0000000000000001E-3</v>
          </cell>
          <cell r="J98">
            <v>0</v>
          </cell>
          <cell r="K98">
            <v>0</v>
          </cell>
          <cell r="L98">
            <v>0.755</v>
          </cell>
          <cell r="M98">
            <v>5.0000000000000044E-3</v>
          </cell>
        </row>
        <row r="99">
          <cell r="A99" t="str">
            <v>AZ Cup 2023 - Klub</v>
          </cell>
          <cell r="B99" t="str">
            <v>CZ</v>
          </cell>
          <cell r="C99">
            <v>2023</v>
          </cell>
          <cell r="D99" t="str">
            <v>Zbraslavice</v>
          </cell>
          <cell r="E99" t="str">
            <v>25.5.-3.6.23</v>
          </cell>
          <cell r="F99">
            <v>9</v>
          </cell>
          <cell r="G99">
            <v>27</v>
          </cell>
          <cell r="H99">
            <v>0.9</v>
          </cell>
          <cell r="I99">
            <v>0.02</v>
          </cell>
          <cell r="J99">
            <v>0.01</v>
          </cell>
          <cell r="K99">
            <v>2.5000000000000001E-2</v>
          </cell>
          <cell r="L99">
            <v>0.95500000000000007</v>
          </cell>
          <cell r="M99">
            <v>5.5000000000000049E-2</v>
          </cell>
        </row>
        <row r="100">
          <cell r="A100" t="str">
            <v xml:space="preserve">AZ Cup 2023 - Kombi </v>
          </cell>
          <cell r="B100" t="str">
            <v>CZ</v>
          </cell>
          <cell r="C100">
            <v>2023</v>
          </cell>
          <cell r="D100" t="str">
            <v>Zbraslavice</v>
          </cell>
          <cell r="E100" t="str">
            <v>25.5.-3.6.23</v>
          </cell>
          <cell r="F100">
            <v>9</v>
          </cell>
          <cell r="G100">
            <v>32</v>
          </cell>
          <cell r="H100">
            <v>0.9</v>
          </cell>
          <cell r="I100">
            <v>4.4999999999999998E-2</v>
          </cell>
          <cell r="J100">
            <v>0.03</v>
          </cell>
          <cell r="K100">
            <v>2.5000000000000001E-2</v>
          </cell>
          <cell r="L100">
            <v>1</v>
          </cell>
          <cell r="M100">
            <v>9.9999999999999978E-2</v>
          </cell>
        </row>
        <row r="101">
          <cell r="A101" t="str">
            <v>FL 2023 - Kombi</v>
          </cell>
          <cell r="B101" t="str">
            <v>CZ</v>
          </cell>
          <cell r="C101">
            <v>2023</v>
          </cell>
          <cell r="D101" t="str">
            <v>Frýdlant n/Ostr.</v>
          </cell>
          <cell r="E101" t="str">
            <v>30.6.-9.7.23</v>
          </cell>
          <cell r="F101">
            <v>7</v>
          </cell>
          <cell r="G101">
            <v>11</v>
          </cell>
          <cell r="H101">
            <v>0.9</v>
          </cell>
          <cell r="I101">
            <v>0</v>
          </cell>
          <cell r="J101">
            <v>0</v>
          </cell>
          <cell r="K101">
            <v>1.4999999999999999E-2</v>
          </cell>
          <cell r="L101">
            <v>0.91500000000000004</v>
          </cell>
          <cell r="M101">
            <v>1.5000000000000013E-2</v>
          </cell>
        </row>
        <row r="102">
          <cell r="A102" t="str">
            <v>FL 2023 - Klub</v>
          </cell>
          <cell r="B102" t="str">
            <v>CZ</v>
          </cell>
          <cell r="C102">
            <v>2023</v>
          </cell>
          <cell r="D102" t="str">
            <v>Frýdlant n/Ostr.</v>
          </cell>
          <cell r="E102" t="str">
            <v>30.6.-9.7.23</v>
          </cell>
          <cell r="F102">
            <v>7</v>
          </cell>
          <cell r="G102">
            <v>9</v>
          </cell>
          <cell r="H102">
            <v>0</v>
          </cell>
          <cell r="I102">
            <v>0</v>
          </cell>
          <cell r="J102">
            <v>0</v>
          </cell>
          <cell r="K102">
            <v>1.4999999999999999E-2</v>
          </cell>
          <cell r="L102">
            <v>0</v>
          </cell>
          <cell r="M102">
            <v>0</v>
          </cell>
        </row>
        <row r="103">
          <cell r="A103" t="str">
            <v>JPJ 2023 - Klub</v>
          </cell>
          <cell r="B103" t="str">
            <v>CZ</v>
          </cell>
          <cell r="C103">
            <v>2023</v>
          </cell>
          <cell r="D103" t="str">
            <v>Šumperk</v>
          </cell>
          <cell r="E103" t="str">
            <v>6.5.-13.5.23</v>
          </cell>
          <cell r="F103">
            <v>4</v>
          </cell>
          <cell r="G103">
            <v>40</v>
          </cell>
          <cell r="H103">
            <v>0.9</v>
          </cell>
          <cell r="I103">
            <v>5.0000000000000001E-3</v>
          </cell>
          <cell r="J103">
            <v>0</v>
          </cell>
          <cell r="K103">
            <v>0</v>
          </cell>
          <cell r="L103">
            <v>0.90500000000000003</v>
          </cell>
          <cell r="M103">
            <v>5.0000000000000044E-3</v>
          </cell>
        </row>
        <row r="104">
          <cell r="A104" t="str">
            <v>JPJ 2023 - Kombi</v>
          </cell>
          <cell r="B104" t="str">
            <v>CZ</v>
          </cell>
          <cell r="C104">
            <v>2023</v>
          </cell>
          <cell r="D104" t="str">
            <v>Šumperk</v>
          </cell>
          <cell r="E104" t="str">
            <v>6.5.-13.5.23</v>
          </cell>
          <cell r="F104">
            <v>4</v>
          </cell>
          <cell r="G104">
            <v>19</v>
          </cell>
          <cell r="H104">
            <v>0.9</v>
          </cell>
          <cell r="I104">
            <v>5.0000000000000001E-3</v>
          </cell>
          <cell r="J104">
            <v>0.01</v>
          </cell>
          <cell r="K104">
            <v>0</v>
          </cell>
          <cell r="L104">
            <v>0.91500000000000004</v>
          </cell>
          <cell r="M104">
            <v>1.5000000000000013E-2</v>
          </cell>
        </row>
        <row r="105">
          <cell r="A105" t="str">
            <v>PMRg 2023 - Klub</v>
          </cell>
          <cell r="B105" t="str">
            <v>CZ</v>
          </cell>
          <cell r="C105">
            <v>2023</v>
          </cell>
          <cell r="D105" t="str">
            <v>Hosín</v>
          </cell>
          <cell r="E105" t="str">
            <v>1.7.-15.7.23</v>
          </cell>
          <cell r="F105">
            <v>10</v>
          </cell>
          <cell r="G105">
            <v>13</v>
          </cell>
          <cell r="H105">
            <v>0.9</v>
          </cell>
          <cell r="I105">
            <v>0</v>
          </cell>
          <cell r="J105">
            <v>0</v>
          </cell>
          <cell r="K105">
            <v>0.03</v>
          </cell>
          <cell r="L105">
            <v>0.93</v>
          </cell>
          <cell r="M105">
            <v>3.0000000000000027E-2</v>
          </cell>
        </row>
        <row r="106">
          <cell r="A106" t="str">
            <v>PMRg, PMČRj 2023 - Kombi</v>
          </cell>
          <cell r="B106" t="str">
            <v>CZ</v>
          </cell>
          <cell r="C106">
            <v>2023</v>
          </cell>
          <cell r="D106" t="str">
            <v>Hosín</v>
          </cell>
          <cell r="E106" t="str">
            <v>1.7.-15.7.23</v>
          </cell>
          <cell r="F106">
            <v>10</v>
          </cell>
          <cell r="G106">
            <v>11</v>
          </cell>
          <cell r="H106">
            <v>0.9</v>
          </cell>
          <cell r="I106">
            <v>0.02</v>
          </cell>
          <cell r="J106">
            <v>0</v>
          </cell>
          <cell r="K106">
            <v>0.03</v>
          </cell>
          <cell r="L106">
            <v>0.95000000000000007</v>
          </cell>
          <cell r="M106">
            <v>5.0000000000000044E-2</v>
          </cell>
        </row>
        <row r="107">
          <cell r="A107" t="str">
            <v>PMČRj 2023 - Klub</v>
          </cell>
          <cell r="B107" t="str">
            <v>CZ</v>
          </cell>
          <cell r="C107">
            <v>2023</v>
          </cell>
          <cell r="D107" t="str">
            <v>Hosín</v>
          </cell>
          <cell r="E107" t="str">
            <v>1.7.-15.7.23</v>
          </cell>
          <cell r="F107">
            <v>10</v>
          </cell>
          <cell r="G107">
            <v>25</v>
          </cell>
          <cell r="H107">
            <v>0.9</v>
          </cell>
          <cell r="I107">
            <v>0.01</v>
          </cell>
          <cell r="J107">
            <v>0</v>
          </cell>
          <cell r="K107">
            <v>0.03</v>
          </cell>
          <cell r="L107">
            <v>0.94000000000000006</v>
          </cell>
          <cell r="M107">
            <v>4.0000000000000036E-2</v>
          </cell>
        </row>
        <row r="108">
          <cell r="A108" t="str">
            <v>WWGC 2023 - Klub</v>
          </cell>
          <cell r="B108" t="str">
            <v>SP</v>
          </cell>
          <cell r="C108">
            <v>2023</v>
          </cell>
          <cell r="D108" t="str">
            <v>Garray</v>
          </cell>
          <cell r="E108" t="str">
            <v>2.7.-14.7.23</v>
          </cell>
          <cell r="F108">
            <v>8</v>
          </cell>
          <cell r="G108">
            <v>19</v>
          </cell>
          <cell r="H108">
            <v>1</v>
          </cell>
          <cell r="I108">
            <v>1.4999999999999999E-2</v>
          </cell>
          <cell r="J108">
            <v>0.01</v>
          </cell>
          <cell r="K108">
            <v>0.02</v>
          </cell>
          <cell r="L108">
            <v>1.0449999999999999</v>
          </cell>
          <cell r="M108">
            <v>4.4999999999999929E-2</v>
          </cell>
        </row>
        <row r="109">
          <cell r="A109" t="str">
            <v>WWGC 2023 - Std</v>
          </cell>
          <cell r="B109" t="str">
            <v>SP</v>
          </cell>
          <cell r="C109">
            <v>2023</v>
          </cell>
          <cell r="D109" t="str">
            <v>Garray</v>
          </cell>
          <cell r="E109" t="str">
            <v>2.7.-14.7.23</v>
          </cell>
          <cell r="F109">
            <v>10</v>
          </cell>
          <cell r="G109">
            <v>16</v>
          </cell>
          <cell r="H109">
            <v>1</v>
          </cell>
          <cell r="I109">
            <v>1.4999999999999999E-2</v>
          </cell>
          <cell r="J109">
            <v>0.01</v>
          </cell>
          <cell r="K109">
            <v>0.03</v>
          </cell>
          <cell r="L109">
            <v>1.0549999999999999</v>
          </cell>
          <cell r="M109">
            <v>5.4999999999999938E-2</v>
          </cell>
        </row>
        <row r="110">
          <cell r="A110" t="str">
            <v>WWGC 2023 - 18m</v>
          </cell>
          <cell r="B110" t="str">
            <v>SP</v>
          </cell>
          <cell r="C110">
            <v>2023</v>
          </cell>
          <cell r="D110" t="str">
            <v>Garray</v>
          </cell>
          <cell r="E110" t="str">
            <v>2.7.-14.7.23</v>
          </cell>
          <cell r="F110">
            <v>10</v>
          </cell>
          <cell r="G110">
            <v>12</v>
          </cell>
          <cell r="H110">
            <v>1</v>
          </cell>
          <cell r="I110">
            <v>0.01</v>
          </cell>
          <cell r="J110" t="str">
            <v>0, 03</v>
          </cell>
          <cell r="K110">
            <v>0.03</v>
          </cell>
          <cell r="L110">
            <v>1.04</v>
          </cell>
          <cell r="M110">
            <v>4.0000000000000036E-2</v>
          </cell>
        </row>
        <row r="111">
          <cell r="A111" t="str">
            <v>Safari Cup 2023 - Klub</v>
          </cell>
          <cell r="B111" t="str">
            <v>CZ</v>
          </cell>
          <cell r="C111">
            <v>2023</v>
          </cell>
          <cell r="D111" t="str">
            <v>Dvůr Králové</v>
          </cell>
          <cell r="E111" t="str">
            <v>2.7.-15.7.23</v>
          </cell>
          <cell r="F111">
            <v>9</v>
          </cell>
          <cell r="G111">
            <v>25</v>
          </cell>
          <cell r="H111">
            <v>0.75</v>
          </cell>
          <cell r="I111">
            <v>0</v>
          </cell>
          <cell r="J111">
            <v>0</v>
          </cell>
          <cell r="K111">
            <v>2.5000000000000001E-2</v>
          </cell>
          <cell r="L111">
            <v>0.77500000000000002</v>
          </cell>
          <cell r="M111">
            <v>2.5000000000000022E-2</v>
          </cell>
        </row>
        <row r="112">
          <cell r="A112" t="str">
            <v>Safari Cup 2023 - Kombi</v>
          </cell>
          <cell r="B112" t="str">
            <v>CZ</v>
          </cell>
          <cell r="C112">
            <v>2023</v>
          </cell>
          <cell r="D112" t="str">
            <v>Dvůr Králové</v>
          </cell>
          <cell r="E112" t="str">
            <v>2.7.-15.7.23</v>
          </cell>
          <cell r="F112">
            <v>9</v>
          </cell>
          <cell r="G112">
            <v>10</v>
          </cell>
          <cell r="H112">
            <v>0.75</v>
          </cell>
          <cell r="I112">
            <v>0</v>
          </cell>
          <cell r="J112">
            <v>0</v>
          </cell>
          <cell r="K112">
            <v>2.5000000000000001E-2</v>
          </cell>
          <cell r="L112">
            <v>0.77500000000000002</v>
          </cell>
          <cell r="M112">
            <v>2.5000000000000022E-2</v>
          </cell>
        </row>
        <row r="113">
          <cell r="A113" t="str">
            <v>Toužim Cup 2023 - Klub</v>
          </cell>
          <cell r="B113" t="str">
            <v>CZ</v>
          </cell>
          <cell r="C113">
            <v>2023</v>
          </cell>
          <cell r="D113" t="str">
            <v>Toužim</v>
          </cell>
          <cell r="E113" t="str">
            <v>8.7.-16.7.23</v>
          </cell>
          <cell r="F113">
            <v>6</v>
          </cell>
          <cell r="G113">
            <v>18</v>
          </cell>
          <cell r="H113">
            <v>0.9</v>
          </cell>
          <cell r="I113">
            <v>5.0000000000000001E-3</v>
          </cell>
          <cell r="J113">
            <v>0</v>
          </cell>
          <cell r="K113">
            <v>0.01</v>
          </cell>
          <cell r="L113">
            <v>0.91500000000000004</v>
          </cell>
          <cell r="M113">
            <v>1.5000000000000013E-2</v>
          </cell>
        </row>
        <row r="114">
          <cell r="A114" t="str">
            <v>Toužim Cup 2023 - Kombi</v>
          </cell>
          <cell r="B114" t="str">
            <v>CZ</v>
          </cell>
          <cell r="C114">
            <v>2023</v>
          </cell>
          <cell r="D114" t="str">
            <v>Toužim</v>
          </cell>
          <cell r="E114" t="str">
            <v>8.7.-16.7.23</v>
          </cell>
          <cell r="F114">
            <v>6</v>
          </cell>
          <cell r="G114">
            <v>26</v>
          </cell>
          <cell r="H114">
            <v>0.9</v>
          </cell>
          <cell r="I114">
            <v>1.4999999999999999E-2</v>
          </cell>
          <cell r="J114">
            <v>0</v>
          </cell>
          <cell r="K114">
            <v>0.01</v>
          </cell>
          <cell r="L114">
            <v>0.92500000000000004</v>
          </cell>
          <cell r="M114">
            <v>2.5000000000000022E-2</v>
          </cell>
        </row>
        <row r="115">
          <cell r="A115" t="str">
            <v>PMSR 2023 - Kombi Open</v>
          </cell>
          <cell r="B115" t="str">
            <v>SK</v>
          </cell>
          <cell r="C115">
            <v>2023</v>
          </cell>
          <cell r="D115" t="str">
            <v>Prievidza</v>
          </cell>
          <cell r="E115" t="str">
            <v>9.7.-22.7.23</v>
          </cell>
          <cell r="F115">
            <v>10</v>
          </cell>
          <cell r="G115">
            <v>14</v>
          </cell>
          <cell r="H115">
            <v>0.9</v>
          </cell>
          <cell r="I115">
            <v>0.02</v>
          </cell>
          <cell r="J115">
            <v>0</v>
          </cell>
          <cell r="K115">
            <v>0.03</v>
          </cell>
          <cell r="L115">
            <v>0.95000000000000007</v>
          </cell>
          <cell r="M115">
            <v>5.0000000000000044E-2</v>
          </cell>
        </row>
        <row r="116">
          <cell r="A116" t="str">
            <v>Cirrus GP 2023 - Klub</v>
          </cell>
          <cell r="B116" t="str">
            <v>CZ</v>
          </cell>
          <cell r="C116">
            <v>2023</v>
          </cell>
          <cell r="D116" t="str">
            <v>Křižanov</v>
          </cell>
          <cell r="E116" t="str">
            <v>15.7.-22.7.23</v>
          </cell>
          <cell r="F116">
            <v>5</v>
          </cell>
          <cell r="G116">
            <v>12</v>
          </cell>
          <cell r="H116">
            <v>0.75</v>
          </cell>
          <cell r="I116">
            <v>0</v>
          </cell>
          <cell r="J116">
            <v>0</v>
          </cell>
          <cell r="K116">
            <v>5.0000000000000001E-3</v>
          </cell>
          <cell r="L116">
            <v>0.755</v>
          </cell>
          <cell r="M116">
            <v>5.0000000000000044E-3</v>
          </cell>
        </row>
        <row r="117">
          <cell r="A117" t="str">
            <v>Cirrus GP 2023 - Kombi 15m</v>
          </cell>
          <cell r="B117" t="str">
            <v>CZ</v>
          </cell>
          <cell r="C117">
            <v>2023</v>
          </cell>
          <cell r="D117" t="str">
            <v>Křižanov</v>
          </cell>
          <cell r="E117" t="str">
            <v>15.7.-22.7.23</v>
          </cell>
          <cell r="F117">
            <v>4</v>
          </cell>
          <cell r="G117">
            <v>9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 t="str">
            <v>PPV 2023 - Klub</v>
          </cell>
          <cell r="B118" t="str">
            <v>CZ</v>
          </cell>
          <cell r="C118">
            <v>2023</v>
          </cell>
          <cell r="D118" t="str">
            <v>Havlíčkův Brod</v>
          </cell>
          <cell r="E118" t="str">
            <v>22.7-30.7.23</v>
          </cell>
          <cell r="F118">
            <v>4</v>
          </cell>
          <cell r="G118">
            <v>42</v>
          </cell>
          <cell r="H118">
            <v>0.9</v>
          </cell>
          <cell r="I118">
            <v>0</v>
          </cell>
          <cell r="J118">
            <v>0</v>
          </cell>
          <cell r="K118">
            <v>0</v>
          </cell>
          <cell r="L118">
            <v>0.9</v>
          </cell>
          <cell r="M118">
            <v>0</v>
          </cell>
        </row>
        <row r="119">
          <cell r="A119" t="str">
            <v>PPV 2023 - Kombi</v>
          </cell>
          <cell r="B119" t="str">
            <v>CZ</v>
          </cell>
          <cell r="C119">
            <v>2023</v>
          </cell>
          <cell r="D119" t="str">
            <v>Havlíčkův Brod</v>
          </cell>
          <cell r="E119" t="str">
            <v>22.7-30.7.23</v>
          </cell>
          <cell r="F119">
            <v>4</v>
          </cell>
          <cell r="G119">
            <v>19</v>
          </cell>
          <cell r="H119">
            <v>0.9</v>
          </cell>
          <cell r="I119">
            <v>0.02</v>
          </cell>
          <cell r="J119">
            <v>0</v>
          </cell>
          <cell r="K119">
            <v>0</v>
          </cell>
          <cell r="L119">
            <v>0.92</v>
          </cell>
          <cell r="M119">
            <v>2.0000000000000018E-2</v>
          </cell>
        </row>
        <row r="120">
          <cell r="A120" t="str">
            <v>EGC 2023 - 18m</v>
          </cell>
          <cell r="B120" t="str">
            <v>PL</v>
          </cell>
          <cell r="C120">
            <v>2023</v>
          </cell>
          <cell r="D120" t="str">
            <v>Leszno</v>
          </cell>
          <cell r="E120" t="str">
            <v>26.7.-11.8.23</v>
          </cell>
          <cell r="F120">
            <v>7</v>
          </cell>
          <cell r="G120">
            <v>36</v>
          </cell>
          <cell r="H120">
            <v>1</v>
          </cell>
          <cell r="I120">
            <v>0.06</v>
          </cell>
          <cell r="J120">
            <v>0.02</v>
          </cell>
          <cell r="K120">
            <v>1.4999999999999999E-2</v>
          </cell>
          <cell r="L120">
            <v>1.095</v>
          </cell>
          <cell r="M120">
            <v>9.4999999999999973E-2</v>
          </cell>
        </row>
        <row r="121">
          <cell r="A121" t="str">
            <v>EGC 2023 - Open</v>
          </cell>
          <cell r="B121" t="str">
            <v>PL</v>
          </cell>
          <cell r="C121">
            <v>2023</v>
          </cell>
          <cell r="D121" t="str">
            <v>Leszno</v>
          </cell>
          <cell r="E121" t="str">
            <v>26.7.-11.8.23</v>
          </cell>
          <cell r="F121">
            <v>8</v>
          </cell>
          <cell r="G121">
            <v>15</v>
          </cell>
          <cell r="H121">
            <v>1</v>
          </cell>
          <cell r="I121">
            <v>0.03</v>
          </cell>
          <cell r="J121">
            <v>0.01</v>
          </cell>
          <cell r="K121">
            <v>0.02</v>
          </cell>
          <cell r="L121">
            <v>1.06</v>
          </cell>
          <cell r="M121">
            <v>6.0000000000000053E-2</v>
          </cell>
        </row>
        <row r="122">
          <cell r="A122" t="str">
            <v>EGC 2023 - Duo 20m</v>
          </cell>
          <cell r="B122" t="str">
            <v>PL</v>
          </cell>
          <cell r="C122">
            <v>2023</v>
          </cell>
          <cell r="D122" t="str">
            <v>Leszno</v>
          </cell>
          <cell r="E122" t="str">
            <v>26.7.-11.8.23</v>
          </cell>
          <cell r="F122">
            <v>8</v>
          </cell>
          <cell r="G122">
            <v>22</v>
          </cell>
          <cell r="H122">
            <v>1</v>
          </cell>
          <cell r="I122">
            <v>3.5000000000000003E-2</v>
          </cell>
          <cell r="J122">
            <v>0.03</v>
          </cell>
          <cell r="K122">
            <v>0.02</v>
          </cell>
          <cell r="L122">
            <v>1.085</v>
          </cell>
          <cell r="M122">
            <v>8.4999999999999964E-2</v>
          </cell>
        </row>
        <row r="123">
          <cell r="A123" t="str">
            <v>JEGC 2023 - Klub</v>
          </cell>
          <cell r="B123" t="str">
            <v>DK</v>
          </cell>
          <cell r="C123">
            <v>2023</v>
          </cell>
          <cell r="D123" t="str">
            <v>Arnborg</v>
          </cell>
          <cell r="E123" t="str">
            <v>29.7.-12.8.23</v>
          </cell>
          <cell r="F123">
            <v>4</v>
          </cell>
          <cell r="G123">
            <v>36</v>
          </cell>
          <cell r="H123">
            <v>1</v>
          </cell>
          <cell r="I123">
            <v>0.01</v>
          </cell>
          <cell r="J123">
            <v>0.01</v>
          </cell>
          <cell r="K123">
            <v>0</v>
          </cell>
          <cell r="L123">
            <v>1.02</v>
          </cell>
          <cell r="M123">
            <v>2.0000000000000018E-2</v>
          </cell>
        </row>
        <row r="124">
          <cell r="A124" t="str">
            <v>JEGC 2023 - Std</v>
          </cell>
          <cell r="B124" t="str">
            <v>DK</v>
          </cell>
          <cell r="C124">
            <v>2023</v>
          </cell>
          <cell r="D124" t="str">
            <v>Arnborg</v>
          </cell>
          <cell r="E124" t="str">
            <v>29.7.-12.8.23</v>
          </cell>
          <cell r="F124">
            <v>4</v>
          </cell>
          <cell r="G124">
            <v>20</v>
          </cell>
          <cell r="H124">
            <v>1</v>
          </cell>
          <cell r="I124">
            <v>0</v>
          </cell>
          <cell r="J124">
            <v>0.02</v>
          </cell>
          <cell r="K124">
            <v>0</v>
          </cell>
          <cell r="L124">
            <v>1.02</v>
          </cell>
          <cell r="M124">
            <v>2.0000000000000018E-2</v>
          </cell>
        </row>
        <row r="125">
          <cell r="A125" t="str">
            <v>PMČR 2023 - Klub</v>
          </cell>
          <cell r="B125" t="str">
            <v>CZ</v>
          </cell>
          <cell r="C125">
            <v>2023</v>
          </cell>
          <cell r="D125" t="str">
            <v>Moravská Třebová</v>
          </cell>
          <cell r="E125" t="str">
            <v>14.8.-25.8.23</v>
          </cell>
          <cell r="F125">
            <v>9</v>
          </cell>
          <cell r="G125">
            <v>16</v>
          </cell>
          <cell r="H125">
            <v>1</v>
          </cell>
          <cell r="I125">
            <v>1.4999999999999999E-2</v>
          </cell>
          <cell r="J125">
            <v>0.01</v>
          </cell>
          <cell r="K125">
            <v>2.5000000000000001E-2</v>
          </cell>
          <cell r="L125">
            <v>1.0499999999999998</v>
          </cell>
          <cell r="M125">
            <v>4.9999999999999822E-2</v>
          </cell>
        </row>
        <row r="126">
          <cell r="A126" t="str">
            <v>PMČR 2023 - Kombi 15m</v>
          </cell>
          <cell r="B126" t="str">
            <v>CZ</v>
          </cell>
          <cell r="C126">
            <v>2023</v>
          </cell>
          <cell r="D126" t="str">
            <v>Moravská Třebová</v>
          </cell>
          <cell r="E126" t="str">
            <v>14.8.-25.8.23</v>
          </cell>
          <cell r="F126">
            <v>9</v>
          </cell>
          <cell r="G126">
            <v>10</v>
          </cell>
          <cell r="H126">
            <v>1</v>
          </cell>
          <cell r="I126">
            <v>0.02</v>
          </cell>
          <cell r="J126">
            <v>0</v>
          </cell>
          <cell r="K126">
            <v>2.5000000000000001E-2</v>
          </cell>
          <cell r="L126">
            <v>1.0449999999999999</v>
          </cell>
          <cell r="M126">
            <v>4.4999999999999929E-2</v>
          </cell>
        </row>
        <row r="127">
          <cell r="A127" t="str">
            <v>PMČR 2023 - Kombi Open</v>
          </cell>
          <cell r="B127" t="str">
            <v>CZ</v>
          </cell>
          <cell r="C127">
            <v>2023</v>
          </cell>
          <cell r="D127" t="str">
            <v>Moravská Třebová</v>
          </cell>
          <cell r="E127" t="str">
            <v>14.8.-25.8.23</v>
          </cell>
          <cell r="F127">
            <v>9</v>
          </cell>
          <cell r="G127">
            <v>11</v>
          </cell>
          <cell r="H127">
            <v>1</v>
          </cell>
          <cell r="I127">
            <v>2.5000000000000001E-2</v>
          </cell>
          <cell r="J127">
            <v>0.01</v>
          </cell>
          <cell r="K127">
            <v>2.5000000000000001E-2</v>
          </cell>
          <cell r="L127">
            <v>1.0599999999999998</v>
          </cell>
          <cell r="M127">
            <v>5.9999999999999831E-2</v>
          </cell>
        </row>
        <row r="128">
          <cell r="A128" t="str">
            <v>WGC 2023 - Klub</v>
          </cell>
          <cell r="B128" t="str">
            <v>AU</v>
          </cell>
          <cell r="C128">
            <v>2023</v>
          </cell>
          <cell r="D128" t="str">
            <v>Narromine</v>
          </cell>
          <cell r="E128" t="str">
            <v>2.12.-17.12.23</v>
          </cell>
          <cell r="F128">
            <v>10</v>
          </cell>
          <cell r="G128">
            <v>30</v>
          </cell>
          <cell r="H128">
            <v>1</v>
          </cell>
          <cell r="I128">
            <v>0.05</v>
          </cell>
          <cell r="J128">
            <v>0.03</v>
          </cell>
          <cell r="K128">
            <v>0.03</v>
          </cell>
          <cell r="L128">
            <v>1.1100000000000001</v>
          </cell>
          <cell r="M128">
            <v>0.1100000000000001</v>
          </cell>
        </row>
        <row r="129">
          <cell r="A129" t="str">
            <v>WGC 2023 - Std</v>
          </cell>
          <cell r="B129" t="str">
            <v>AU</v>
          </cell>
          <cell r="C129">
            <v>2023</v>
          </cell>
          <cell r="D129" t="str">
            <v>Narromine</v>
          </cell>
          <cell r="E129" t="str">
            <v>2.12.-17.12.23</v>
          </cell>
          <cell r="F129">
            <v>10</v>
          </cell>
          <cell r="G129">
            <v>21</v>
          </cell>
          <cell r="H129">
            <v>1</v>
          </cell>
          <cell r="I129">
            <v>4.4999999999999998E-2</v>
          </cell>
          <cell r="J129">
            <v>0.03</v>
          </cell>
          <cell r="K129">
            <v>0.03</v>
          </cell>
          <cell r="L129">
            <v>1.105</v>
          </cell>
          <cell r="M129">
            <v>0.10499999999999998</v>
          </cell>
        </row>
        <row r="130">
          <cell r="A130" t="str">
            <v>WGC 2023 - 15m</v>
          </cell>
          <cell r="B130" t="str">
            <v>AU</v>
          </cell>
          <cell r="C130">
            <v>2023</v>
          </cell>
          <cell r="D130" t="str">
            <v>Narromine</v>
          </cell>
          <cell r="E130" t="str">
            <v>2.12.-17.12.23</v>
          </cell>
          <cell r="F130">
            <v>10</v>
          </cell>
          <cell r="G130">
            <v>27</v>
          </cell>
          <cell r="H130">
            <v>1</v>
          </cell>
          <cell r="I130">
            <v>6.5000000000000002E-2</v>
          </cell>
          <cell r="J130">
            <v>0.03</v>
          </cell>
          <cell r="K130">
            <v>0.03</v>
          </cell>
          <cell r="L130">
            <v>1.125</v>
          </cell>
          <cell r="M130">
            <v>0.125</v>
          </cell>
        </row>
        <row r="131">
          <cell r="A131" t="str">
            <v>Alpe Adria Cup 2023 - 113</v>
          </cell>
          <cell r="B131" t="str">
            <v>AT</v>
          </cell>
          <cell r="C131">
            <v>2023</v>
          </cell>
          <cell r="D131" t="str">
            <v>Feldkirchen</v>
          </cell>
          <cell r="E131" t="str">
            <v>10.6.-17.6.23</v>
          </cell>
          <cell r="F131">
            <v>5</v>
          </cell>
          <cell r="G131">
            <v>17</v>
          </cell>
          <cell r="H131">
            <v>0.75</v>
          </cell>
          <cell r="I131">
            <v>0</v>
          </cell>
          <cell r="J131">
            <v>0</v>
          </cell>
          <cell r="K131">
            <v>5.0000000000000001E-3</v>
          </cell>
          <cell r="L131">
            <v>0.755</v>
          </cell>
          <cell r="M131">
            <v>5.0000000000000044E-3</v>
          </cell>
        </row>
        <row r="132">
          <cell r="A132" t="str">
            <v>Alpe Adria Cup 2023 - Kombi Open</v>
          </cell>
          <cell r="B132" t="str">
            <v>AT</v>
          </cell>
          <cell r="C132">
            <v>2023</v>
          </cell>
          <cell r="D132" t="str">
            <v>Feldkirchen</v>
          </cell>
          <cell r="E132" t="str">
            <v>10.6.-17.6.23</v>
          </cell>
          <cell r="F132">
            <v>5</v>
          </cell>
          <cell r="G132">
            <v>24</v>
          </cell>
          <cell r="H132">
            <v>0.75</v>
          </cell>
          <cell r="I132">
            <v>0</v>
          </cell>
          <cell r="J132">
            <v>0</v>
          </cell>
          <cell r="K132">
            <v>5.0000000000000001E-3</v>
          </cell>
          <cell r="L132">
            <v>0.755</v>
          </cell>
          <cell r="M132">
            <v>5.0000000000000044E-3</v>
          </cell>
        </row>
      </sheetData>
      <sheetData sheetId="2" refreshError="1"/>
      <sheetData sheetId="3">
        <row r="1">
          <cell r="A1" t="str">
            <v>Jmeno</v>
          </cell>
          <cell r="B1" t="str">
            <v>Rok nar.</v>
          </cell>
          <cell r="C1" t="str">
            <v>Aeroklub</v>
          </cell>
          <cell r="D1" t="str">
            <v>Region</v>
          </cell>
          <cell r="E1" t="str">
            <v>M/F</v>
          </cell>
          <cell r="F1" t="str">
            <v>Junior v roce</v>
          </cell>
        </row>
        <row r="2">
          <cell r="A2" t="str">
            <v>-</v>
          </cell>
          <cell r="B2" t="str">
            <v xml:space="preserve"> </v>
          </cell>
          <cell r="C2" t="str">
            <v xml:space="preserve"> </v>
          </cell>
          <cell r="D2" t="str">
            <v>Region</v>
          </cell>
          <cell r="E2" t="str">
            <v xml:space="preserve"> </v>
          </cell>
          <cell r="F2" t="str">
            <v xml:space="preserve"> </v>
          </cell>
        </row>
        <row r="3">
          <cell r="A3" t="str">
            <v>Adam Hepal</v>
          </cell>
          <cell r="B3">
            <v>2004</v>
          </cell>
          <cell r="C3" t="str">
            <v>Moravská Třebová</v>
          </cell>
          <cell r="D3" t="str">
            <v>CZ/M</v>
          </cell>
          <cell r="E3" t="str">
            <v>M</v>
          </cell>
          <cell r="F3" t="str">
            <v>Junior v roce 2024</v>
          </cell>
        </row>
        <row r="4">
          <cell r="A4" t="str">
            <v>Adam Jandora</v>
          </cell>
          <cell r="B4">
            <v>1992</v>
          </cell>
          <cell r="C4" t="str">
            <v>Medlánky</v>
          </cell>
          <cell r="D4" t="str">
            <v>CZ/M</v>
          </cell>
          <cell r="E4" t="str">
            <v>M</v>
          </cell>
          <cell r="F4" t="str">
            <v/>
          </cell>
        </row>
        <row r="5">
          <cell r="A5" t="str">
            <v>Adam Olejar</v>
          </cell>
          <cell r="B5">
            <v>1991</v>
          </cell>
          <cell r="C5" t="str">
            <v>Medlánky</v>
          </cell>
          <cell r="D5" t="str">
            <v>CZ/M</v>
          </cell>
          <cell r="E5" t="str">
            <v>M</v>
          </cell>
          <cell r="F5" t="str">
            <v/>
          </cell>
        </row>
        <row r="6">
          <cell r="A6" t="str">
            <v>Adam Pergner</v>
          </cell>
          <cell r="B6">
            <v>2002</v>
          </cell>
          <cell r="C6" t="str">
            <v>Rakovník</v>
          </cell>
          <cell r="D6" t="str">
            <v>CZ/C1</v>
          </cell>
          <cell r="E6" t="str">
            <v>M</v>
          </cell>
          <cell r="F6" t="str">
            <v>Junior v roce 2024</v>
          </cell>
        </row>
        <row r="7">
          <cell r="A7" t="str">
            <v>Adam Sostaric</v>
          </cell>
          <cell r="B7">
            <v>1991</v>
          </cell>
          <cell r="C7" t="str">
            <v>Chrudim</v>
          </cell>
          <cell r="D7" t="str">
            <v>CZ/C2</v>
          </cell>
          <cell r="E7" t="str">
            <v>M</v>
          </cell>
          <cell r="F7" t="str">
            <v/>
          </cell>
        </row>
        <row r="8">
          <cell r="A8" t="str">
            <v>Adam Sugl</v>
          </cell>
          <cell r="B8">
            <v>1987</v>
          </cell>
          <cell r="C8" t="str">
            <v>Vyškov</v>
          </cell>
          <cell r="D8" t="str">
            <v>CZ/M</v>
          </cell>
          <cell r="E8" t="str">
            <v>M</v>
          </cell>
          <cell r="F8" t="str">
            <v/>
          </cell>
        </row>
        <row r="9">
          <cell r="A9" t="str">
            <v>Albert Schneider</v>
          </cell>
          <cell r="B9">
            <v>1967</v>
          </cell>
          <cell r="C9" t="str">
            <v>Hranice</v>
          </cell>
          <cell r="D9" t="str">
            <v>CZ/M</v>
          </cell>
          <cell r="E9" t="str">
            <v>M</v>
          </cell>
          <cell r="F9" t="str">
            <v/>
          </cell>
        </row>
        <row r="10">
          <cell r="A10" t="str">
            <v>Albrecht Beat</v>
          </cell>
          <cell r="B10">
            <v>1953</v>
          </cell>
          <cell r="C10" t="str">
            <v>Šumperk</v>
          </cell>
          <cell r="D10" t="str">
            <v>CZ/M</v>
          </cell>
          <cell r="E10" t="str">
            <v>M</v>
          </cell>
          <cell r="F10" t="str">
            <v/>
          </cell>
        </row>
        <row r="11">
          <cell r="A11" t="str">
            <v>Alena Netusilova</v>
          </cell>
          <cell r="B11">
            <v>1970</v>
          </cell>
          <cell r="C11" t="str">
            <v>Zbraslavice</v>
          </cell>
          <cell r="D11" t="str">
            <v>CZ/C1</v>
          </cell>
          <cell r="E11" t="str">
            <v>F</v>
          </cell>
          <cell r="F11" t="str">
            <v/>
          </cell>
        </row>
        <row r="12">
          <cell r="A12" t="str">
            <v>Ales Cervenka</v>
          </cell>
          <cell r="B12">
            <v>1981</v>
          </cell>
          <cell r="C12" t="str">
            <v>Soběslav</v>
          </cell>
          <cell r="D12" t="str">
            <v>CZ/C1</v>
          </cell>
          <cell r="E12" t="str">
            <v>M</v>
          </cell>
          <cell r="F12" t="str">
            <v/>
          </cell>
        </row>
        <row r="13">
          <cell r="A13" t="str">
            <v>Ales Hajek</v>
          </cell>
          <cell r="B13">
            <v>1958</v>
          </cell>
          <cell r="C13" t="str">
            <v>Mladá Boleslav</v>
          </cell>
          <cell r="D13" t="str">
            <v>CZ/C1</v>
          </cell>
          <cell r="E13" t="str">
            <v>M</v>
          </cell>
          <cell r="F13" t="str">
            <v/>
          </cell>
        </row>
        <row r="14">
          <cell r="A14" t="str">
            <v>Ales Hala</v>
          </cell>
          <cell r="B14">
            <v>1994</v>
          </cell>
          <cell r="C14" t="str">
            <v>Tábor</v>
          </cell>
          <cell r="D14" t="str">
            <v>CZ/C1</v>
          </cell>
          <cell r="E14" t="str">
            <v>M</v>
          </cell>
          <cell r="F14" t="str">
            <v/>
          </cell>
        </row>
        <row r="15">
          <cell r="A15" t="str">
            <v>Ales Holoubek</v>
          </cell>
          <cell r="B15">
            <v>1966</v>
          </cell>
          <cell r="C15" t="str">
            <v>Jičín</v>
          </cell>
          <cell r="D15" t="str">
            <v>CZ/C2</v>
          </cell>
          <cell r="E15" t="str">
            <v>M</v>
          </cell>
          <cell r="F15" t="str">
            <v/>
          </cell>
        </row>
        <row r="16">
          <cell r="A16" t="str">
            <v>Ales Tresl</v>
          </cell>
          <cell r="B16">
            <v>1958</v>
          </cell>
          <cell r="C16" t="str">
            <v>Raná</v>
          </cell>
          <cell r="D16" t="str">
            <v>CZ/C2</v>
          </cell>
          <cell r="E16" t="str">
            <v>M</v>
          </cell>
          <cell r="F16" t="str">
            <v/>
          </cell>
        </row>
        <row r="17">
          <cell r="A17" t="str">
            <v>Ales Vorac</v>
          </cell>
          <cell r="B17">
            <v>1985</v>
          </cell>
          <cell r="C17" t="str">
            <v>Křižanov</v>
          </cell>
          <cell r="D17" t="str">
            <v>CZ/M</v>
          </cell>
          <cell r="E17" t="str">
            <v>M</v>
          </cell>
          <cell r="F17" t="str">
            <v/>
          </cell>
        </row>
        <row r="18">
          <cell r="A18" t="str">
            <v>Ales Vyhnal</v>
          </cell>
          <cell r="B18">
            <v>1989</v>
          </cell>
          <cell r="C18" t="str">
            <v>Kralupy</v>
          </cell>
          <cell r="D18" t="str">
            <v>CZ/C1</v>
          </cell>
          <cell r="E18" t="str">
            <v>M</v>
          </cell>
          <cell r="F18" t="str">
            <v/>
          </cell>
        </row>
        <row r="19">
          <cell r="A19" t="str">
            <v>Alex Gulich</v>
          </cell>
          <cell r="B19">
            <v>2005</v>
          </cell>
          <cell r="C19" t="str">
            <v>Slaný</v>
          </cell>
          <cell r="D19" t="str">
            <v>CZ/C1</v>
          </cell>
          <cell r="E19" t="str">
            <v>M</v>
          </cell>
          <cell r="F19" t="str">
            <v>Junior v roce 2024</v>
          </cell>
        </row>
        <row r="20">
          <cell r="A20" t="str">
            <v>Alexander Nerandzic</v>
          </cell>
          <cell r="B20">
            <v>1966</v>
          </cell>
          <cell r="C20" t="str">
            <v>Raná</v>
          </cell>
          <cell r="D20" t="str">
            <v>CZ/C2</v>
          </cell>
          <cell r="E20" t="str">
            <v>M</v>
          </cell>
          <cell r="F20" t="str">
            <v/>
          </cell>
        </row>
        <row r="21">
          <cell r="A21" t="str">
            <v>Alois Cmajdalka</v>
          </cell>
          <cell r="B21">
            <v>1963</v>
          </cell>
          <cell r="C21" t="str">
            <v>Kunovice</v>
          </cell>
          <cell r="D21" t="str">
            <v>CZ/M</v>
          </cell>
          <cell r="E21" t="str">
            <v>M</v>
          </cell>
          <cell r="F21" t="str">
            <v/>
          </cell>
        </row>
        <row r="22">
          <cell r="A22" t="str">
            <v>Alois Sohr</v>
          </cell>
          <cell r="B22">
            <v>1939</v>
          </cell>
          <cell r="C22" t="str">
            <v>Hranice</v>
          </cell>
          <cell r="D22" t="str">
            <v>CZ/M</v>
          </cell>
          <cell r="E22" t="str">
            <v>M</v>
          </cell>
          <cell r="F22" t="str">
            <v/>
          </cell>
        </row>
        <row r="23">
          <cell r="A23" t="str">
            <v>Andrea Bensova</v>
          </cell>
          <cell r="B23">
            <v>1978</v>
          </cell>
          <cell r="C23" t="str">
            <v>Zbraslavice</v>
          </cell>
          <cell r="D23" t="str">
            <v>CZ/C1</v>
          </cell>
          <cell r="E23" t="str">
            <v>F</v>
          </cell>
          <cell r="F23" t="str">
            <v/>
          </cell>
        </row>
        <row r="24">
          <cell r="A24" t="str">
            <v>Aneta Prachtova</v>
          </cell>
          <cell r="B24">
            <v>1991</v>
          </cell>
          <cell r="C24" t="str">
            <v>Kralupy</v>
          </cell>
          <cell r="D24" t="str">
            <v>CZ/C1</v>
          </cell>
          <cell r="E24" t="str">
            <v>F</v>
          </cell>
          <cell r="F24" t="str">
            <v/>
          </cell>
        </row>
        <row r="25">
          <cell r="A25" t="str">
            <v>Anna Bordovska</v>
          </cell>
          <cell r="B25">
            <v>1989</v>
          </cell>
          <cell r="C25" t="str">
            <v>Mladá Boleslav</v>
          </cell>
          <cell r="D25" t="str">
            <v>CZ/C1</v>
          </cell>
          <cell r="E25" t="str">
            <v>F</v>
          </cell>
          <cell r="F25" t="str">
            <v/>
          </cell>
        </row>
        <row r="26">
          <cell r="A26" t="str">
            <v>Antonin Bordovsky</v>
          </cell>
          <cell r="B26">
            <v>1951</v>
          </cell>
          <cell r="C26" t="str">
            <v>Krnov</v>
          </cell>
          <cell r="D26" t="str">
            <v>CZ/M</v>
          </cell>
          <cell r="E26" t="str">
            <v>M</v>
          </cell>
          <cell r="F26" t="str">
            <v/>
          </cell>
        </row>
        <row r="27">
          <cell r="A27" t="str">
            <v>Antonin Bruna</v>
          </cell>
          <cell r="B27">
            <v>1945</v>
          </cell>
          <cell r="C27" t="str">
            <v>GAC Benešov</v>
          </cell>
          <cell r="D27" t="str">
            <v>CZ/C1</v>
          </cell>
          <cell r="E27" t="str">
            <v>M</v>
          </cell>
          <cell r="F27" t="str">
            <v/>
          </cell>
        </row>
        <row r="28">
          <cell r="A28" t="str">
            <v>Antonin Burger</v>
          </cell>
          <cell r="B28">
            <v>1943</v>
          </cell>
          <cell r="C28" t="str">
            <v>Panenský Týnec</v>
          </cell>
          <cell r="D28" t="str">
            <v>CZ/C1</v>
          </cell>
          <cell r="E28" t="str">
            <v>M</v>
          </cell>
          <cell r="F28" t="str">
            <v/>
          </cell>
        </row>
        <row r="29">
          <cell r="A29" t="str">
            <v>Antonin Konicek</v>
          </cell>
          <cell r="B29">
            <v>1973</v>
          </cell>
          <cell r="C29" t="str">
            <v>Kunovice</v>
          </cell>
          <cell r="D29" t="str">
            <v>CZ/M</v>
          </cell>
          <cell r="E29" t="str">
            <v>M</v>
          </cell>
          <cell r="F29" t="str">
            <v/>
          </cell>
        </row>
        <row r="30">
          <cell r="A30" t="str">
            <v>Antonin Kutalek</v>
          </cell>
          <cell r="B30">
            <v>1943</v>
          </cell>
          <cell r="C30" t="str">
            <v>Zábřeh</v>
          </cell>
          <cell r="D30" t="str">
            <v>CZ/M</v>
          </cell>
          <cell r="E30" t="str">
            <v>M</v>
          </cell>
          <cell r="F30" t="str">
            <v/>
          </cell>
        </row>
        <row r="31">
          <cell r="A31" t="str">
            <v>Antonin Novotny</v>
          </cell>
          <cell r="B31">
            <v>1972</v>
          </cell>
          <cell r="C31" t="str">
            <v>Luhačovice</v>
          </cell>
          <cell r="D31" t="str">
            <v>CZ/M</v>
          </cell>
          <cell r="E31" t="str">
            <v>M</v>
          </cell>
          <cell r="F31" t="str">
            <v/>
          </cell>
        </row>
        <row r="32">
          <cell r="A32" t="str">
            <v>Antonin Otrusina</v>
          </cell>
          <cell r="B32">
            <v>1948</v>
          </cell>
          <cell r="C32" t="str">
            <v>Křižanov</v>
          </cell>
          <cell r="D32" t="str">
            <v>CZ/M</v>
          </cell>
          <cell r="E32" t="str">
            <v>M</v>
          </cell>
          <cell r="F32" t="str">
            <v/>
          </cell>
        </row>
        <row r="33">
          <cell r="A33" t="str">
            <v>Antonin Pilat</v>
          </cell>
          <cell r="B33">
            <v>1971</v>
          </cell>
          <cell r="C33" t="str">
            <v>Vyškov</v>
          </cell>
          <cell r="D33" t="str">
            <v>CZ/M</v>
          </cell>
          <cell r="E33" t="str">
            <v>M</v>
          </cell>
          <cell r="F33" t="str">
            <v/>
          </cell>
        </row>
        <row r="34">
          <cell r="A34" t="str">
            <v>Antonin Teichmann</v>
          </cell>
          <cell r="B34">
            <v>1965</v>
          </cell>
          <cell r="C34" t="str">
            <v>Hronov</v>
          </cell>
          <cell r="D34" t="str">
            <v>CZ/C2</v>
          </cell>
          <cell r="E34" t="str">
            <v>M</v>
          </cell>
          <cell r="F34" t="str">
            <v/>
          </cell>
        </row>
        <row r="35">
          <cell r="A35" t="str">
            <v>Barbora Kubickova</v>
          </cell>
          <cell r="B35">
            <v>1993</v>
          </cell>
          <cell r="C35" t="str">
            <v>Medlánky</v>
          </cell>
          <cell r="D35" t="str">
            <v>CZ/M</v>
          </cell>
          <cell r="E35" t="str">
            <v>F</v>
          </cell>
          <cell r="F35" t="str">
            <v/>
          </cell>
        </row>
        <row r="36">
          <cell r="A36" t="str">
            <v>Barbora Moravcova</v>
          </cell>
          <cell r="B36">
            <v>1994</v>
          </cell>
          <cell r="C36" t="str">
            <v>Zbraslavice</v>
          </cell>
          <cell r="D36" t="str">
            <v>CZ/C1</v>
          </cell>
          <cell r="E36" t="str">
            <v>F</v>
          </cell>
          <cell r="F36" t="str">
            <v/>
          </cell>
        </row>
        <row r="37">
          <cell r="A37" t="str">
            <v>Barbora Nahodilova</v>
          </cell>
          <cell r="B37">
            <v>1989</v>
          </cell>
          <cell r="C37" t="str">
            <v>Hosín</v>
          </cell>
          <cell r="D37" t="str">
            <v>CZ/C1</v>
          </cell>
          <cell r="E37" t="str">
            <v>F</v>
          </cell>
          <cell r="F37" t="str">
            <v/>
          </cell>
        </row>
        <row r="38">
          <cell r="A38" t="str">
            <v>Bedrich Honzicek</v>
          </cell>
          <cell r="B38">
            <v>1972</v>
          </cell>
          <cell r="C38" t="str">
            <v>Letňany</v>
          </cell>
          <cell r="D38" t="str">
            <v>CZ/C1</v>
          </cell>
          <cell r="E38" t="str">
            <v>M</v>
          </cell>
          <cell r="F38" t="str">
            <v/>
          </cell>
        </row>
        <row r="39">
          <cell r="A39" t="str">
            <v>Bedrich Prochazka</v>
          </cell>
          <cell r="B39">
            <v>1957</v>
          </cell>
          <cell r="C39" t="str">
            <v>Rakovník</v>
          </cell>
          <cell r="D39" t="str">
            <v>CZ/C1</v>
          </cell>
          <cell r="E39" t="str">
            <v>M</v>
          </cell>
          <cell r="F39" t="str">
            <v/>
          </cell>
        </row>
        <row r="40">
          <cell r="A40" t="str">
            <v>Bohdan Sebestik</v>
          </cell>
          <cell r="B40">
            <v>1957</v>
          </cell>
          <cell r="C40" t="str">
            <v>Kroměříž</v>
          </cell>
          <cell r="D40" t="str">
            <v>CZ/M</v>
          </cell>
          <cell r="E40" t="str">
            <v>M</v>
          </cell>
          <cell r="F40" t="str">
            <v/>
          </cell>
        </row>
        <row r="41">
          <cell r="A41" t="str">
            <v>Bohumil Kunc</v>
          </cell>
          <cell r="B41">
            <v>1983</v>
          </cell>
          <cell r="C41" t="str">
            <v>Kunovice</v>
          </cell>
          <cell r="D41" t="str">
            <v>CZ/M</v>
          </cell>
          <cell r="E41" t="str">
            <v>M</v>
          </cell>
          <cell r="F41" t="str">
            <v/>
          </cell>
        </row>
        <row r="42">
          <cell r="A42" t="str">
            <v>Bohumil Rikal</v>
          </cell>
          <cell r="B42">
            <v>1946</v>
          </cell>
          <cell r="C42" t="str">
            <v>Hronov</v>
          </cell>
          <cell r="D42" t="str">
            <v>CZ/C2</v>
          </cell>
          <cell r="E42" t="str">
            <v>M</v>
          </cell>
          <cell r="F42" t="str">
            <v/>
          </cell>
        </row>
        <row r="43">
          <cell r="A43" t="str">
            <v>Bohumil Svec</v>
          </cell>
          <cell r="B43">
            <v>1985</v>
          </cell>
          <cell r="C43" t="str">
            <v>Roudnice</v>
          </cell>
          <cell r="D43" t="str">
            <v>CZ/C2</v>
          </cell>
          <cell r="E43" t="str">
            <v>M</v>
          </cell>
          <cell r="F43" t="str">
            <v/>
          </cell>
        </row>
        <row r="44">
          <cell r="A44" t="str">
            <v>Bohumir Zajdl</v>
          </cell>
          <cell r="B44">
            <v>1950</v>
          </cell>
          <cell r="C44" t="str">
            <v>Dvůr Králové</v>
          </cell>
          <cell r="D44" t="str">
            <v>CZ/C2</v>
          </cell>
          <cell r="E44" t="str">
            <v>M</v>
          </cell>
          <cell r="F44" t="str">
            <v/>
          </cell>
        </row>
        <row r="45">
          <cell r="A45" t="str">
            <v>Bohus Marcinik</v>
          </cell>
          <cell r="B45">
            <v>1947</v>
          </cell>
          <cell r="C45" t="str">
            <v>Příbram</v>
          </cell>
          <cell r="D45" t="str">
            <v>CZ/C1</v>
          </cell>
          <cell r="E45" t="str">
            <v>M</v>
          </cell>
          <cell r="F45" t="str">
            <v/>
          </cell>
        </row>
        <row r="46">
          <cell r="A46" t="str">
            <v>Boris Bachraty</v>
          </cell>
          <cell r="B46">
            <v>1974</v>
          </cell>
          <cell r="C46" t="str">
            <v>Kyjov</v>
          </cell>
          <cell r="D46" t="str">
            <v>CZ/M</v>
          </cell>
          <cell r="E46" t="str">
            <v>M</v>
          </cell>
          <cell r="F46" t="str">
            <v/>
          </cell>
        </row>
        <row r="47">
          <cell r="A47" t="str">
            <v>Bronislav Smatana</v>
          </cell>
          <cell r="B47">
            <v>1970</v>
          </cell>
          <cell r="C47" t="str">
            <v>Zbraslavice</v>
          </cell>
          <cell r="D47" t="str">
            <v>CZ/C1</v>
          </cell>
          <cell r="E47" t="str">
            <v>M</v>
          </cell>
          <cell r="F47" t="str">
            <v/>
          </cell>
        </row>
        <row r="48">
          <cell r="A48" t="str">
            <v>Carsten Tietz</v>
          </cell>
          <cell r="B48">
            <v>1966</v>
          </cell>
          <cell r="C48" t="str">
            <v>Hronov</v>
          </cell>
          <cell r="D48" t="str">
            <v>CZ/C2</v>
          </cell>
          <cell r="E48" t="str">
            <v>M</v>
          </cell>
          <cell r="F48" t="str">
            <v/>
          </cell>
        </row>
        <row r="49">
          <cell r="A49" t="str">
            <v>Christof Madoery</v>
          </cell>
          <cell r="B49">
            <v>1958</v>
          </cell>
          <cell r="C49" t="str">
            <v>Šumperk</v>
          </cell>
          <cell r="D49" t="str">
            <v>CZ/M</v>
          </cell>
          <cell r="E49" t="str">
            <v>M</v>
          </cell>
          <cell r="F49" t="str">
            <v/>
          </cell>
        </row>
        <row r="50">
          <cell r="A50" t="str">
            <v>Dalibor Daricek</v>
          </cell>
          <cell r="B50">
            <v>1993</v>
          </cell>
          <cell r="C50" t="str">
            <v>Kunovice</v>
          </cell>
          <cell r="D50" t="str">
            <v>CZ/M</v>
          </cell>
          <cell r="E50" t="str">
            <v>M</v>
          </cell>
          <cell r="F50" t="str">
            <v/>
          </cell>
        </row>
        <row r="51">
          <cell r="A51" t="str">
            <v>Dalibor Fencl</v>
          </cell>
          <cell r="B51">
            <v>1966</v>
          </cell>
          <cell r="C51" t="str">
            <v>Zbraslavice</v>
          </cell>
          <cell r="D51" t="str">
            <v>CZ/C1</v>
          </cell>
          <cell r="E51" t="str">
            <v>M</v>
          </cell>
          <cell r="F51" t="str">
            <v/>
          </cell>
        </row>
        <row r="52">
          <cell r="A52" t="str">
            <v>Dalibor Pek</v>
          </cell>
          <cell r="B52">
            <v>1968</v>
          </cell>
          <cell r="C52" t="str">
            <v>Raná</v>
          </cell>
          <cell r="D52" t="str">
            <v>CZ/C2</v>
          </cell>
          <cell r="E52" t="str">
            <v>M</v>
          </cell>
          <cell r="F52" t="str">
            <v/>
          </cell>
        </row>
        <row r="53">
          <cell r="A53" t="str">
            <v>Dana Novakova</v>
          </cell>
          <cell r="B53">
            <v>1965</v>
          </cell>
          <cell r="C53" t="str">
            <v>Mladá Boleslav</v>
          </cell>
          <cell r="D53" t="str">
            <v>CZ/C1</v>
          </cell>
          <cell r="E53" t="str">
            <v>F</v>
          </cell>
          <cell r="F53" t="str">
            <v/>
          </cell>
        </row>
        <row r="54">
          <cell r="A54" t="str">
            <v>Danes Grula</v>
          </cell>
          <cell r="B54">
            <v>1961</v>
          </cell>
          <cell r="C54" t="str">
            <v>Medlánky</v>
          </cell>
          <cell r="D54" t="str">
            <v>CZ/M</v>
          </cell>
          <cell r="E54" t="str">
            <v>M</v>
          </cell>
          <cell r="F54" t="str">
            <v/>
          </cell>
        </row>
        <row r="55">
          <cell r="A55" t="str">
            <v>Daniel Adamec</v>
          </cell>
          <cell r="B55">
            <v>1977</v>
          </cell>
          <cell r="C55" t="str">
            <v>Hranice</v>
          </cell>
          <cell r="D55" t="str">
            <v>CZ/M</v>
          </cell>
          <cell r="E55" t="str">
            <v>M</v>
          </cell>
          <cell r="F55" t="str">
            <v/>
          </cell>
        </row>
        <row r="56">
          <cell r="A56" t="str">
            <v>Daniel Brichta</v>
          </cell>
          <cell r="B56">
            <v>1962</v>
          </cell>
          <cell r="C56" t="str">
            <v>GAC Benešov</v>
          </cell>
          <cell r="D56" t="str">
            <v>CZ/C1</v>
          </cell>
          <cell r="E56" t="str">
            <v>M</v>
          </cell>
          <cell r="F56" t="str">
            <v/>
          </cell>
        </row>
        <row r="57">
          <cell r="A57" t="str">
            <v>Daniel Devecka</v>
          </cell>
          <cell r="B57">
            <v>1981</v>
          </cell>
          <cell r="C57" t="str">
            <v>Vlašim</v>
          </cell>
          <cell r="D57" t="str">
            <v>CZ/C1</v>
          </cell>
          <cell r="E57" t="str">
            <v>M</v>
          </cell>
          <cell r="F57" t="str">
            <v/>
          </cell>
        </row>
        <row r="58">
          <cell r="A58" t="str">
            <v>Daniel Dvorak</v>
          </cell>
          <cell r="B58">
            <v>1980</v>
          </cell>
          <cell r="C58" t="str">
            <v>Letkov</v>
          </cell>
          <cell r="D58" t="str">
            <v>CZ/C1</v>
          </cell>
          <cell r="E58" t="str">
            <v>M</v>
          </cell>
          <cell r="F58" t="str">
            <v/>
          </cell>
        </row>
        <row r="59">
          <cell r="A59" t="str">
            <v>Daniel Krasnicky</v>
          </cell>
          <cell r="B59">
            <v>1984</v>
          </cell>
          <cell r="C59" t="str">
            <v>Příbram</v>
          </cell>
          <cell r="D59" t="str">
            <v>CZ/C1</v>
          </cell>
          <cell r="E59" t="str">
            <v>M</v>
          </cell>
          <cell r="F59" t="str">
            <v/>
          </cell>
        </row>
        <row r="60">
          <cell r="A60" t="str">
            <v>Daniel Marek</v>
          </cell>
          <cell r="B60">
            <v>1983</v>
          </cell>
          <cell r="C60" t="str">
            <v>Hosín</v>
          </cell>
          <cell r="D60" t="str">
            <v>CZ/C1</v>
          </cell>
          <cell r="E60" t="str">
            <v>M</v>
          </cell>
          <cell r="F60" t="str">
            <v/>
          </cell>
        </row>
        <row r="61">
          <cell r="A61" t="str">
            <v>Daniel Moravek</v>
          </cell>
          <cell r="B61">
            <v>1973</v>
          </cell>
          <cell r="C61" t="str">
            <v>Hodkovice</v>
          </cell>
          <cell r="D61" t="str">
            <v>CZ/C2</v>
          </cell>
          <cell r="E61" t="str">
            <v>M</v>
          </cell>
          <cell r="F61" t="str">
            <v/>
          </cell>
        </row>
        <row r="62">
          <cell r="A62" t="str">
            <v>Daniel Novak</v>
          </cell>
          <cell r="B62">
            <v>1971</v>
          </cell>
          <cell r="C62" t="str">
            <v>Letkov</v>
          </cell>
          <cell r="D62" t="str">
            <v>CZ/C1</v>
          </cell>
          <cell r="E62" t="str">
            <v>M</v>
          </cell>
          <cell r="F62" t="str">
            <v/>
          </cell>
        </row>
        <row r="63">
          <cell r="A63" t="str">
            <v>Daniel Ryba</v>
          </cell>
          <cell r="B63">
            <v>1994</v>
          </cell>
          <cell r="C63" t="str">
            <v>Dvůr Králové</v>
          </cell>
          <cell r="D63" t="str">
            <v>CZ/C2</v>
          </cell>
          <cell r="E63" t="str">
            <v>M</v>
          </cell>
          <cell r="F63" t="str">
            <v/>
          </cell>
        </row>
        <row r="64">
          <cell r="A64" t="str">
            <v>Daniel Suchy</v>
          </cell>
          <cell r="B64">
            <v>1995</v>
          </cell>
          <cell r="C64" t="str">
            <v>Hranice</v>
          </cell>
          <cell r="D64" t="str">
            <v>CZ/M</v>
          </cell>
          <cell r="E64" t="str">
            <v>M</v>
          </cell>
          <cell r="F64" t="str">
            <v/>
          </cell>
        </row>
        <row r="65">
          <cell r="A65" t="str">
            <v>Daniela Frankova</v>
          </cell>
          <cell r="B65">
            <v>1997</v>
          </cell>
          <cell r="C65" t="str">
            <v>Jaroměř</v>
          </cell>
          <cell r="D65" t="str">
            <v>CZ/C2</v>
          </cell>
          <cell r="E65" t="str">
            <v>M</v>
          </cell>
          <cell r="F65" t="str">
            <v/>
          </cell>
        </row>
        <row r="66">
          <cell r="A66" t="str">
            <v>Daniela Stepankova</v>
          </cell>
          <cell r="B66">
            <v>1988</v>
          </cell>
          <cell r="C66" t="str">
            <v>Hosín</v>
          </cell>
          <cell r="D66" t="str">
            <v>CZ/C1</v>
          </cell>
          <cell r="E66" t="str">
            <v>F</v>
          </cell>
          <cell r="F66" t="str">
            <v/>
          </cell>
        </row>
        <row r="67">
          <cell r="A67" t="str">
            <v>David Benda</v>
          </cell>
          <cell r="B67">
            <v>1974</v>
          </cell>
          <cell r="C67" t="str">
            <v>Letňany</v>
          </cell>
          <cell r="D67" t="str">
            <v>CZ/C1</v>
          </cell>
          <cell r="E67" t="str">
            <v>M</v>
          </cell>
          <cell r="F67" t="str">
            <v/>
          </cell>
        </row>
        <row r="68">
          <cell r="A68" t="str">
            <v>David Cisar</v>
          </cell>
          <cell r="B68">
            <v>1987</v>
          </cell>
          <cell r="C68" t="str">
            <v>Křižanov</v>
          </cell>
          <cell r="D68" t="str">
            <v>CZ/M</v>
          </cell>
          <cell r="E68" t="str">
            <v>M</v>
          </cell>
          <cell r="F68" t="str">
            <v/>
          </cell>
        </row>
        <row r="69">
          <cell r="A69" t="str">
            <v>David Darnady</v>
          </cell>
          <cell r="B69">
            <v>1987</v>
          </cell>
          <cell r="C69" t="str">
            <v>Zbraslavice</v>
          </cell>
          <cell r="D69" t="str">
            <v>CZ/C1</v>
          </cell>
          <cell r="E69" t="str">
            <v>M</v>
          </cell>
          <cell r="F69" t="str">
            <v/>
          </cell>
        </row>
        <row r="70">
          <cell r="A70" t="str">
            <v>David Kaspar</v>
          </cell>
          <cell r="B70">
            <v>1993</v>
          </cell>
          <cell r="C70" t="str">
            <v>Jaroměř</v>
          </cell>
          <cell r="D70" t="str">
            <v>CZ/C2</v>
          </cell>
          <cell r="E70" t="str">
            <v>M</v>
          </cell>
          <cell r="F70" t="str">
            <v/>
          </cell>
        </row>
        <row r="71">
          <cell r="A71" t="str">
            <v>David Krcil</v>
          </cell>
          <cell r="B71">
            <v>1976</v>
          </cell>
          <cell r="C71" t="str">
            <v>Raná</v>
          </cell>
          <cell r="D71" t="str">
            <v>CZ/C2</v>
          </cell>
          <cell r="E71" t="str">
            <v>M</v>
          </cell>
          <cell r="F71" t="str">
            <v/>
          </cell>
        </row>
        <row r="72">
          <cell r="A72" t="str">
            <v>David Londa</v>
          </cell>
          <cell r="B72">
            <v>1973</v>
          </cell>
          <cell r="C72" t="str">
            <v>Mladá Boleslav</v>
          </cell>
          <cell r="D72" t="str">
            <v>CZ/C1</v>
          </cell>
          <cell r="E72" t="str">
            <v>M</v>
          </cell>
          <cell r="F72" t="str">
            <v/>
          </cell>
        </row>
        <row r="73">
          <cell r="A73" t="str">
            <v>David Mach</v>
          </cell>
          <cell r="B73">
            <v>1994</v>
          </cell>
          <cell r="C73" t="str">
            <v>Hronov</v>
          </cell>
          <cell r="D73" t="str">
            <v>CZ/C2</v>
          </cell>
          <cell r="E73" t="str">
            <v>M</v>
          </cell>
          <cell r="F73" t="str">
            <v/>
          </cell>
        </row>
        <row r="74">
          <cell r="A74" t="str">
            <v>David Marek</v>
          </cell>
          <cell r="B74">
            <v>1991</v>
          </cell>
          <cell r="C74" t="str">
            <v>Křižanov</v>
          </cell>
          <cell r="D74" t="str">
            <v>CZ/M</v>
          </cell>
          <cell r="E74" t="str">
            <v>M</v>
          </cell>
          <cell r="F74" t="str">
            <v/>
          </cell>
        </row>
        <row r="75">
          <cell r="A75" t="str">
            <v>David Nenicka</v>
          </cell>
          <cell r="B75">
            <v>2005</v>
          </cell>
          <cell r="C75" t="str">
            <v>Hranice</v>
          </cell>
          <cell r="D75" t="str">
            <v>CZ/M</v>
          </cell>
          <cell r="E75" t="str">
            <v>M</v>
          </cell>
          <cell r="F75" t="str">
            <v>Junior v roce 2024</v>
          </cell>
        </row>
        <row r="76">
          <cell r="A76" t="str">
            <v>David Novotny</v>
          </cell>
          <cell r="B76">
            <v>1984</v>
          </cell>
          <cell r="C76" t="str">
            <v>Polička</v>
          </cell>
          <cell r="D76" t="str">
            <v>CZ/C2</v>
          </cell>
          <cell r="E76" t="str">
            <v>M</v>
          </cell>
          <cell r="F76" t="str">
            <v/>
          </cell>
        </row>
        <row r="77">
          <cell r="A77" t="str">
            <v>David Popovsky</v>
          </cell>
          <cell r="B77">
            <v>1976</v>
          </cell>
          <cell r="C77" t="str">
            <v>Rakovník</v>
          </cell>
          <cell r="D77" t="str">
            <v>CZ/C1</v>
          </cell>
          <cell r="E77" t="str">
            <v>M</v>
          </cell>
          <cell r="F77" t="str">
            <v/>
          </cell>
        </row>
        <row r="78">
          <cell r="A78" t="str">
            <v>David Prihoda</v>
          </cell>
          <cell r="B78">
            <v>1994</v>
          </cell>
          <cell r="C78" t="str">
            <v>Hranice</v>
          </cell>
          <cell r="D78" t="str">
            <v>CZ/M</v>
          </cell>
          <cell r="E78" t="str">
            <v>M</v>
          </cell>
          <cell r="F78" t="str">
            <v/>
          </cell>
        </row>
        <row r="79">
          <cell r="A79" t="str">
            <v>David Rozporka</v>
          </cell>
          <cell r="B79">
            <v>1994</v>
          </cell>
          <cell r="C79" t="str">
            <v>Hronov</v>
          </cell>
          <cell r="D79" t="str">
            <v>CZ/C2</v>
          </cell>
          <cell r="E79" t="str">
            <v>M</v>
          </cell>
          <cell r="F79" t="str">
            <v/>
          </cell>
        </row>
        <row r="80">
          <cell r="A80" t="str">
            <v>David Rytina</v>
          </cell>
          <cell r="B80">
            <v>1983</v>
          </cell>
          <cell r="C80" t="str">
            <v>Zbraslavice</v>
          </cell>
          <cell r="D80" t="str">
            <v>CZ/C1</v>
          </cell>
          <cell r="E80" t="str">
            <v>M</v>
          </cell>
          <cell r="F80" t="str">
            <v/>
          </cell>
        </row>
        <row r="81">
          <cell r="A81" t="str">
            <v>David Riha</v>
          </cell>
          <cell r="B81">
            <v>1983</v>
          </cell>
          <cell r="C81" t="str">
            <v>Vlašim</v>
          </cell>
          <cell r="D81" t="str">
            <v>CZ/C1</v>
          </cell>
          <cell r="E81" t="str">
            <v>M</v>
          </cell>
          <cell r="F81" t="str">
            <v/>
          </cell>
        </row>
        <row r="82">
          <cell r="A82" t="str">
            <v>David Sachl</v>
          </cell>
          <cell r="B82">
            <v>1978</v>
          </cell>
          <cell r="C82" t="str">
            <v>Kralupy</v>
          </cell>
          <cell r="D82" t="str">
            <v>CZ/C1</v>
          </cell>
          <cell r="E82" t="str">
            <v>M</v>
          </cell>
          <cell r="F82" t="str">
            <v/>
          </cell>
        </row>
        <row r="83">
          <cell r="A83" t="str">
            <v>David Tejnora</v>
          </cell>
          <cell r="B83">
            <v>1982</v>
          </cell>
          <cell r="C83" t="str">
            <v>Jaroměř</v>
          </cell>
          <cell r="D83" t="str">
            <v>CZ/C2</v>
          </cell>
          <cell r="E83" t="str">
            <v>M</v>
          </cell>
          <cell r="F83" t="str">
            <v/>
          </cell>
        </row>
        <row r="84">
          <cell r="A84" t="str">
            <v>David Trnecka</v>
          </cell>
          <cell r="B84">
            <v>1979</v>
          </cell>
          <cell r="C84" t="str">
            <v>Medlánky</v>
          </cell>
          <cell r="D84" t="str">
            <v>CZ/M</v>
          </cell>
          <cell r="E84" t="str">
            <v>M</v>
          </cell>
          <cell r="F84" t="str">
            <v/>
          </cell>
        </row>
        <row r="85">
          <cell r="A85" t="str">
            <v>David Vrchota</v>
          </cell>
          <cell r="B85">
            <v>1976</v>
          </cell>
          <cell r="C85" t="str">
            <v>Jaroměř</v>
          </cell>
          <cell r="D85" t="str">
            <v>CZ/C2</v>
          </cell>
          <cell r="E85" t="str">
            <v>M</v>
          </cell>
          <cell r="F85" t="str">
            <v/>
          </cell>
        </row>
        <row r="86">
          <cell r="A86" t="str">
            <v>David Zapletal</v>
          </cell>
          <cell r="B86">
            <v>1970</v>
          </cell>
          <cell r="C86" t="str">
            <v>Mladá Boleslav</v>
          </cell>
          <cell r="D86" t="str">
            <v>CZ/C1</v>
          </cell>
          <cell r="E86" t="str">
            <v>M</v>
          </cell>
          <cell r="F86" t="str">
            <v/>
          </cell>
        </row>
        <row r="87">
          <cell r="A87" t="str">
            <v>David Zatecka</v>
          </cell>
          <cell r="B87">
            <v>1993</v>
          </cell>
          <cell r="C87" t="str">
            <v>GAC Benešov</v>
          </cell>
          <cell r="D87" t="str">
            <v>CZ/C1</v>
          </cell>
          <cell r="E87" t="str">
            <v>M</v>
          </cell>
          <cell r="F87" t="str">
            <v/>
          </cell>
        </row>
        <row r="88">
          <cell r="A88" t="str">
            <v>Dusan Gadas</v>
          </cell>
          <cell r="B88">
            <v>1960</v>
          </cell>
          <cell r="C88" t="str">
            <v>Hranice</v>
          </cell>
          <cell r="D88" t="str">
            <v>CZ/M</v>
          </cell>
          <cell r="E88" t="str">
            <v>M</v>
          </cell>
          <cell r="F88" t="str">
            <v/>
          </cell>
        </row>
        <row r="89">
          <cell r="A89" t="str">
            <v>Dusan Kmet</v>
          </cell>
          <cell r="B89">
            <v>1972</v>
          </cell>
          <cell r="C89" t="str">
            <v>Křižanov</v>
          </cell>
          <cell r="D89" t="str">
            <v>CZ/M</v>
          </cell>
          <cell r="E89" t="str">
            <v>M</v>
          </cell>
          <cell r="F89" t="str">
            <v/>
          </cell>
        </row>
        <row r="90">
          <cell r="A90" t="str">
            <v>Dusan Patocka</v>
          </cell>
          <cell r="B90">
            <v>1972</v>
          </cell>
          <cell r="C90" t="str">
            <v>Vrchlabí</v>
          </cell>
          <cell r="D90" t="str">
            <v>CZ/C2</v>
          </cell>
          <cell r="E90" t="str">
            <v>M</v>
          </cell>
          <cell r="F90" t="str">
            <v/>
          </cell>
        </row>
        <row r="91">
          <cell r="A91" t="str">
            <v>Dusan Sys</v>
          </cell>
          <cell r="B91">
            <v>1977</v>
          </cell>
          <cell r="C91" t="str">
            <v>Šumperk</v>
          </cell>
          <cell r="D91" t="str">
            <v>CZ/M</v>
          </cell>
          <cell r="E91" t="str">
            <v>M</v>
          </cell>
          <cell r="F91" t="str">
            <v/>
          </cell>
        </row>
        <row r="92">
          <cell r="A92" t="str">
            <v>Dusan Zerzan</v>
          </cell>
          <cell r="B92">
            <v>1970</v>
          </cell>
          <cell r="C92" t="str">
            <v>Šumperk</v>
          </cell>
          <cell r="D92" t="str">
            <v>CZ/M</v>
          </cell>
          <cell r="E92" t="str">
            <v>M</v>
          </cell>
          <cell r="F92" t="str">
            <v/>
          </cell>
        </row>
        <row r="93">
          <cell r="A93" t="str">
            <v>Eduard Niko</v>
          </cell>
          <cell r="B93">
            <v>1988</v>
          </cell>
          <cell r="C93" t="str">
            <v>Zbraslavice</v>
          </cell>
          <cell r="D93" t="str">
            <v>CZ/C1</v>
          </cell>
          <cell r="E93" t="str">
            <v>M</v>
          </cell>
          <cell r="F93" t="str">
            <v/>
          </cell>
        </row>
        <row r="94">
          <cell r="A94" t="str">
            <v>Eduard Svoboda</v>
          </cell>
          <cell r="B94">
            <v>1957</v>
          </cell>
          <cell r="C94" t="str">
            <v>Raná</v>
          </cell>
          <cell r="D94" t="str">
            <v>CZ/C2</v>
          </cell>
          <cell r="E94" t="str">
            <v>M</v>
          </cell>
          <cell r="F94" t="str">
            <v/>
          </cell>
        </row>
        <row r="95">
          <cell r="A95" t="str">
            <v>Eliska Bohunovska</v>
          </cell>
          <cell r="B95">
            <v>2001</v>
          </cell>
          <cell r="C95" t="str">
            <v>Hranice</v>
          </cell>
          <cell r="D95" t="str">
            <v>CZ/M</v>
          </cell>
          <cell r="E95" t="str">
            <v>F</v>
          </cell>
          <cell r="F95" t="str">
            <v>Junior v roce 2024</v>
          </cell>
        </row>
        <row r="96">
          <cell r="A96" t="str">
            <v>Eliska Kudejova</v>
          </cell>
          <cell r="B96">
            <v>2006</v>
          </cell>
          <cell r="C96" t="str">
            <v>Strakonice</v>
          </cell>
          <cell r="D96" t="str">
            <v>CZ/C1</v>
          </cell>
          <cell r="E96" t="str">
            <v>F</v>
          </cell>
          <cell r="F96" t="str">
            <v>Junior v roce 2024</v>
          </cell>
        </row>
        <row r="97">
          <cell r="A97" t="str">
            <v>Eva Cerna</v>
          </cell>
          <cell r="B97">
            <v>1964</v>
          </cell>
          <cell r="C97" t="str">
            <v>Příbram</v>
          </cell>
          <cell r="D97" t="str">
            <v>CZ/C1</v>
          </cell>
          <cell r="E97" t="str">
            <v>F</v>
          </cell>
          <cell r="F97" t="str">
            <v/>
          </cell>
        </row>
        <row r="98">
          <cell r="A98" t="str">
            <v>Eva Klapkova</v>
          </cell>
          <cell r="B98">
            <v>1993</v>
          </cell>
          <cell r="C98" t="str">
            <v>Raná</v>
          </cell>
          <cell r="D98" t="str">
            <v>CZ/C2</v>
          </cell>
          <cell r="E98" t="str">
            <v>F</v>
          </cell>
          <cell r="F98" t="str">
            <v/>
          </cell>
        </row>
        <row r="99">
          <cell r="A99" t="str">
            <v>Evzen Skala</v>
          </cell>
          <cell r="B99">
            <v>1954</v>
          </cell>
          <cell r="C99" t="str">
            <v>Vrchlabí</v>
          </cell>
          <cell r="D99" t="str">
            <v>CZ/C2</v>
          </cell>
          <cell r="E99" t="str">
            <v>M</v>
          </cell>
          <cell r="F99" t="str">
            <v/>
          </cell>
        </row>
        <row r="100">
          <cell r="A100" t="str">
            <v>Fabian Curda</v>
          </cell>
          <cell r="B100">
            <v>2004</v>
          </cell>
          <cell r="C100" t="str">
            <v>Zábřeh</v>
          </cell>
          <cell r="D100" t="str">
            <v>CZ/M</v>
          </cell>
          <cell r="E100" t="str">
            <v>M</v>
          </cell>
          <cell r="F100" t="str">
            <v>Junior v roce 2024</v>
          </cell>
        </row>
        <row r="101">
          <cell r="A101" t="str">
            <v>Filip Borůvka</v>
          </cell>
          <cell r="B101">
            <v>2004</v>
          </cell>
          <cell r="C101" t="str">
            <v>Nové Město nad Metují</v>
          </cell>
          <cell r="D101" t="str">
            <v>CZ/C2</v>
          </cell>
          <cell r="E101" t="str">
            <v>M</v>
          </cell>
          <cell r="F101" t="str">
            <v>Junior v roce 2024</v>
          </cell>
        </row>
        <row r="102">
          <cell r="A102" t="str">
            <v>Filip Graf</v>
          </cell>
          <cell r="B102">
            <v>1981</v>
          </cell>
          <cell r="C102" t="str">
            <v>Křižanov</v>
          </cell>
          <cell r="D102" t="str">
            <v>CZ/M</v>
          </cell>
          <cell r="E102" t="str">
            <v>M</v>
          </cell>
          <cell r="F102" t="str">
            <v/>
          </cell>
        </row>
        <row r="103">
          <cell r="A103" t="str">
            <v>Filip Malik</v>
          </cell>
          <cell r="B103">
            <v>2001</v>
          </cell>
          <cell r="C103" t="str">
            <v>Letňany</v>
          </cell>
          <cell r="D103" t="str">
            <v>CZ/C1</v>
          </cell>
          <cell r="E103" t="str">
            <v>M</v>
          </cell>
          <cell r="F103" t="str">
            <v>Junior v roce 2024</v>
          </cell>
        </row>
        <row r="104">
          <cell r="A104" t="str">
            <v>Filip Mrstny</v>
          </cell>
          <cell r="B104">
            <v>2006</v>
          </cell>
          <cell r="C104" t="str">
            <v>Beroun</v>
          </cell>
          <cell r="D104" t="str">
            <v>CZ/C1</v>
          </cell>
          <cell r="E104" t="str">
            <v>M</v>
          </cell>
          <cell r="F104" t="str">
            <v>Junior v roce 2024</v>
          </cell>
        </row>
        <row r="105">
          <cell r="A105" t="str">
            <v>Filip Neumann</v>
          </cell>
          <cell r="B105">
            <v>1977</v>
          </cell>
          <cell r="C105" t="str">
            <v>GAC Benešov</v>
          </cell>
          <cell r="D105" t="str">
            <v>CZ/C1</v>
          </cell>
          <cell r="E105" t="str">
            <v>M</v>
          </cell>
          <cell r="F105" t="str">
            <v/>
          </cell>
        </row>
        <row r="106">
          <cell r="A106" t="str">
            <v>Filip Sklenar</v>
          </cell>
          <cell r="B106">
            <v>1990</v>
          </cell>
          <cell r="C106" t="str">
            <v>Žamberk</v>
          </cell>
          <cell r="D106" t="str">
            <v>CZ/C2</v>
          </cell>
          <cell r="E106" t="str">
            <v>M</v>
          </cell>
          <cell r="F106" t="str">
            <v/>
          </cell>
        </row>
        <row r="107">
          <cell r="A107" t="str">
            <v>Filip sirc</v>
          </cell>
          <cell r="B107">
            <v>1993</v>
          </cell>
          <cell r="C107" t="str">
            <v>Letňany</v>
          </cell>
          <cell r="D107" t="str">
            <v>CZ/C1</v>
          </cell>
          <cell r="E107" t="str">
            <v>M</v>
          </cell>
          <cell r="F107" t="str">
            <v/>
          </cell>
        </row>
        <row r="108">
          <cell r="A108" t="str">
            <v>Filip Vita</v>
          </cell>
          <cell r="B108">
            <v>2001</v>
          </cell>
          <cell r="C108" t="str">
            <v>Kroměříž</v>
          </cell>
          <cell r="D108" t="str">
            <v>CZ/M</v>
          </cell>
          <cell r="E108" t="str">
            <v>M</v>
          </cell>
          <cell r="F108" t="str">
            <v>Junior v roce 2024</v>
          </cell>
        </row>
        <row r="109">
          <cell r="A109" t="str">
            <v>Frantisek Brozman</v>
          </cell>
          <cell r="B109">
            <v>1960</v>
          </cell>
          <cell r="C109" t="str">
            <v>Tachov</v>
          </cell>
          <cell r="D109" t="str">
            <v>CZ/C1</v>
          </cell>
          <cell r="E109" t="str">
            <v>M</v>
          </cell>
          <cell r="F109" t="str">
            <v/>
          </cell>
        </row>
        <row r="110">
          <cell r="A110" t="str">
            <v>Frantisek Filandr</v>
          </cell>
          <cell r="B110">
            <v>1956</v>
          </cell>
          <cell r="C110" t="str">
            <v>Most</v>
          </cell>
          <cell r="D110" t="str">
            <v>CZ/C2</v>
          </cell>
          <cell r="E110" t="str">
            <v>M</v>
          </cell>
          <cell r="F110" t="str">
            <v/>
          </cell>
        </row>
        <row r="111">
          <cell r="A111" t="str">
            <v>Frantisek Hubacek</v>
          </cell>
          <cell r="B111">
            <v>1978</v>
          </cell>
          <cell r="C111" t="str">
            <v>Točná</v>
          </cell>
          <cell r="D111" t="str">
            <v>CZ/C1</v>
          </cell>
          <cell r="E111" t="str">
            <v>M</v>
          </cell>
          <cell r="F111" t="str">
            <v/>
          </cell>
        </row>
        <row r="112">
          <cell r="A112" t="str">
            <v>Frantisek Komarek</v>
          </cell>
          <cell r="B112">
            <v>1985</v>
          </cell>
          <cell r="C112" t="str">
            <v>Zbraslavice</v>
          </cell>
          <cell r="D112" t="str">
            <v>CZ/C1</v>
          </cell>
          <cell r="E112" t="str">
            <v>M</v>
          </cell>
          <cell r="F112" t="str">
            <v/>
          </cell>
        </row>
        <row r="113">
          <cell r="A113" t="str">
            <v>Frantisek Kriz</v>
          </cell>
          <cell r="B113">
            <v>1961</v>
          </cell>
          <cell r="C113" t="str">
            <v>Toužim</v>
          </cell>
          <cell r="D113" t="str">
            <v>CZ/C1</v>
          </cell>
          <cell r="E113" t="str">
            <v>M</v>
          </cell>
          <cell r="F113" t="str">
            <v/>
          </cell>
        </row>
        <row r="114">
          <cell r="A114" t="str">
            <v>Frantisek Marek</v>
          </cell>
          <cell r="B114">
            <v>1960</v>
          </cell>
          <cell r="C114" t="str">
            <v>Křižanov</v>
          </cell>
          <cell r="D114" t="str">
            <v>CZ/M</v>
          </cell>
          <cell r="E114" t="str">
            <v>M</v>
          </cell>
          <cell r="F114" t="str">
            <v/>
          </cell>
        </row>
        <row r="115">
          <cell r="A115" t="str">
            <v>Frantisek Matousek</v>
          </cell>
          <cell r="B115">
            <v>1937</v>
          </cell>
          <cell r="C115" t="str">
            <v>Nové Město nad Metují</v>
          </cell>
          <cell r="D115" t="str">
            <v>CZ/C2</v>
          </cell>
          <cell r="E115" t="str">
            <v>M</v>
          </cell>
          <cell r="F115" t="str">
            <v/>
          </cell>
        </row>
        <row r="116">
          <cell r="A116" t="str">
            <v>Frantisek Myska</v>
          </cell>
          <cell r="B116">
            <v>1968</v>
          </cell>
          <cell r="C116" t="str">
            <v>Most</v>
          </cell>
          <cell r="D116" t="str">
            <v>CZ/C2</v>
          </cell>
          <cell r="E116" t="str">
            <v>M</v>
          </cell>
          <cell r="F116" t="str">
            <v/>
          </cell>
        </row>
        <row r="117">
          <cell r="A117" t="str">
            <v>Frantisek Pycha</v>
          </cell>
          <cell r="B117">
            <v>1972</v>
          </cell>
          <cell r="C117" t="str">
            <v>Chrudim</v>
          </cell>
          <cell r="D117" t="str">
            <v>CZ/C2</v>
          </cell>
          <cell r="E117" t="str">
            <v>M</v>
          </cell>
          <cell r="F117" t="str">
            <v/>
          </cell>
        </row>
        <row r="118">
          <cell r="A118" t="str">
            <v>Frantisek Soucek</v>
          </cell>
          <cell r="B118">
            <v>1945</v>
          </cell>
          <cell r="C118" t="str">
            <v>Dvůr Králové</v>
          </cell>
          <cell r="D118" t="str">
            <v>CZ/C2</v>
          </cell>
          <cell r="E118" t="str">
            <v>M</v>
          </cell>
          <cell r="F118" t="str">
            <v/>
          </cell>
        </row>
        <row r="119">
          <cell r="A119" t="str">
            <v>Frantisek Sindelar</v>
          </cell>
          <cell r="B119">
            <v>1954</v>
          </cell>
          <cell r="C119" t="str">
            <v>Kralupy</v>
          </cell>
          <cell r="D119" t="str">
            <v>CZ/C1</v>
          </cell>
          <cell r="E119" t="str">
            <v>M</v>
          </cell>
          <cell r="F119" t="str">
            <v/>
          </cell>
        </row>
        <row r="120">
          <cell r="A120" t="str">
            <v>Frantisek Suna</v>
          </cell>
          <cell r="B120">
            <v>1983</v>
          </cell>
          <cell r="C120" t="str">
            <v>Hosín</v>
          </cell>
          <cell r="D120" t="str">
            <v>CZ/C1</v>
          </cell>
          <cell r="E120" t="str">
            <v>M</v>
          </cell>
          <cell r="F120" t="str">
            <v/>
          </cell>
        </row>
        <row r="121">
          <cell r="A121" t="str">
            <v>Frantisek Vancura</v>
          </cell>
          <cell r="B121">
            <v>1966</v>
          </cell>
          <cell r="C121" t="str">
            <v>Hranice</v>
          </cell>
          <cell r="D121" t="str">
            <v>CZ/M</v>
          </cell>
          <cell r="E121" t="str">
            <v>M</v>
          </cell>
          <cell r="F121" t="str">
            <v/>
          </cell>
        </row>
        <row r="122">
          <cell r="A122" t="str">
            <v>Gabriela Cervena</v>
          </cell>
          <cell r="B122">
            <v>1966</v>
          </cell>
          <cell r="C122" t="str">
            <v>Jaroměř</v>
          </cell>
          <cell r="D122" t="str">
            <v>CZ/C2</v>
          </cell>
          <cell r="E122" t="str">
            <v>F</v>
          </cell>
          <cell r="F122" t="str">
            <v/>
          </cell>
        </row>
        <row r="123">
          <cell r="A123" t="str">
            <v>Gustav Vrbacky</v>
          </cell>
          <cell r="B123">
            <v>1933</v>
          </cell>
          <cell r="C123" t="str">
            <v>Medlánky</v>
          </cell>
          <cell r="D123" t="str">
            <v>CZ/M</v>
          </cell>
          <cell r="E123" t="str">
            <v>M</v>
          </cell>
          <cell r="F123" t="str">
            <v/>
          </cell>
        </row>
        <row r="124">
          <cell r="A124" t="str">
            <v>Hana Treslova</v>
          </cell>
          <cell r="B124">
            <v>1991</v>
          </cell>
          <cell r="C124" t="str">
            <v>Raná</v>
          </cell>
          <cell r="D124" t="str">
            <v>CZ/C2</v>
          </cell>
          <cell r="E124" t="str">
            <v>F</v>
          </cell>
          <cell r="F124" t="str">
            <v/>
          </cell>
        </row>
        <row r="125">
          <cell r="A125" t="str">
            <v>Hana Vokrinkova</v>
          </cell>
          <cell r="B125">
            <v>1958</v>
          </cell>
          <cell r="C125" t="str">
            <v>Hodkovice</v>
          </cell>
          <cell r="D125" t="str">
            <v>CZ/C2</v>
          </cell>
          <cell r="E125" t="str">
            <v>F</v>
          </cell>
          <cell r="F125" t="str">
            <v/>
          </cell>
        </row>
        <row r="126">
          <cell r="A126" t="str">
            <v>Hynek Pokorny</v>
          </cell>
          <cell r="B126">
            <v>1991</v>
          </cell>
          <cell r="C126" t="str">
            <v>Letňany</v>
          </cell>
          <cell r="D126" t="str">
            <v>CZ/C1</v>
          </cell>
          <cell r="E126" t="str">
            <v>M</v>
          </cell>
          <cell r="F126" t="str">
            <v/>
          </cell>
        </row>
        <row r="127">
          <cell r="A127" t="str">
            <v>Christof Madory</v>
          </cell>
          <cell r="B127">
            <v>1958</v>
          </cell>
          <cell r="C127" t="str">
            <v>Šumperk</v>
          </cell>
          <cell r="D127" t="str">
            <v>CZ/M</v>
          </cell>
          <cell r="E127" t="str">
            <v>M</v>
          </cell>
          <cell r="F127" t="str">
            <v/>
          </cell>
        </row>
        <row r="128">
          <cell r="A128" t="str">
            <v>Ilja Kopacek</v>
          </cell>
          <cell r="B128">
            <v>1943</v>
          </cell>
          <cell r="C128" t="str">
            <v>Jičín</v>
          </cell>
          <cell r="D128" t="str">
            <v>CZ/C2</v>
          </cell>
          <cell r="E128" t="str">
            <v>M</v>
          </cell>
          <cell r="F128" t="str">
            <v/>
          </cell>
        </row>
        <row r="129">
          <cell r="A129" t="str">
            <v>Ivan Filakovsky</v>
          </cell>
          <cell r="B129">
            <v>1965</v>
          </cell>
          <cell r="C129" t="str">
            <v>Medlánky</v>
          </cell>
          <cell r="D129" t="str">
            <v>CZ/M</v>
          </cell>
          <cell r="E129" t="str">
            <v>M</v>
          </cell>
          <cell r="F129" t="str">
            <v/>
          </cell>
        </row>
        <row r="130">
          <cell r="A130" t="str">
            <v>Ivan Harasta 65</v>
          </cell>
          <cell r="B130">
            <v>1965</v>
          </cell>
          <cell r="C130" t="str">
            <v>Toužim</v>
          </cell>
          <cell r="D130" t="str">
            <v>CZ/C1</v>
          </cell>
          <cell r="E130" t="str">
            <v>M</v>
          </cell>
          <cell r="F130" t="str">
            <v/>
          </cell>
        </row>
        <row r="131">
          <cell r="A131" t="str">
            <v>Ivan Harasta 98</v>
          </cell>
          <cell r="B131">
            <v>1998</v>
          </cell>
          <cell r="C131" t="str">
            <v>Toužim</v>
          </cell>
          <cell r="D131" t="str">
            <v>CZ/C1</v>
          </cell>
          <cell r="E131" t="str">
            <v>M</v>
          </cell>
          <cell r="F131" t="str">
            <v/>
          </cell>
        </row>
        <row r="132">
          <cell r="A132" t="str">
            <v>Ivan Kuzelka</v>
          </cell>
          <cell r="B132">
            <v>1945</v>
          </cell>
          <cell r="C132" t="str">
            <v>Havlíčkův Brod</v>
          </cell>
          <cell r="D132" t="str">
            <v>CZ/C2</v>
          </cell>
          <cell r="E132" t="str">
            <v>M</v>
          </cell>
          <cell r="F132" t="str">
            <v/>
          </cell>
        </row>
        <row r="133">
          <cell r="A133" t="str">
            <v>Ivan Ladr</v>
          </cell>
          <cell r="B133">
            <v>1940</v>
          </cell>
          <cell r="C133" t="str">
            <v>Dvůr Králové</v>
          </cell>
          <cell r="D133" t="str">
            <v>CZ/C2</v>
          </cell>
          <cell r="E133" t="str">
            <v>M</v>
          </cell>
          <cell r="F133" t="str">
            <v/>
          </cell>
        </row>
        <row r="134">
          <cell r="A134" t="str">
            <v>Ivan Novak</v>
          </cell>
          <cell r="B134">
            <v>1962</v>
          </cell>
          <cell r="C134" t="str">
            <v>Mladá Boleslav</v>
          </cell>
          <cell r="D134" t="str">
            <v>CZ/C1</v>
          </cell>
          <cell r="E134" t="str">
            <v>M</v>
          </cell>
          <cell r="F134" t="str">
            <v/>
          </cell>
        </row>
        <row r="135">
          <cell r="A135" t="str">
            <v>Ivan Tvrdik</v>
          </cell>
          <cell r="B135">
            <v>1997</v>
          </cell>
          <cell r="C135" t="str">
            <v>Letňany</v>
          </cell>
          <cell r="D135" t="str">
            <v>CZ/C1</v>
          </cell>
          <cell r="E135" t="str">
            <v>M</v>
          </cell>
          <cell r="F135" t="str">
            <v/>
          </cell>
        </row>
        <row r="136">
          <cell r="A136" t="str">
            <v>Ivo Burda</v>
          </cell>
          <cell r="B136">
            <v>1962</v>
          </cell>
          <cell r="C136" t="str">
            <v>Zbraslavice</v>
          </cell>
          <cell r="D136" t="str">
            <v>CZ/C1</v>
          </cell>
          <cell r="E136" t="str">
            <v>M</v>
          </cell>
          <cell r="F136" t="str">
            <v/>
          </cell>
        </row>
        <row r="137">
          <cell r="A137" t="str">
            <v>Ivo Nezval</v>
          </cell>
          <cell r="B137">
            <v>1964</v>
          </cell>
          <cell r="C137" t="str">
            <v>Šumperk</v>
          </cell>
          <cell r="D137" t="str">
            <v>CZ/M</v>
          </cell>
          <cell r="E137" t="str">
            <v>M</v>
          </cell>
          <cell r="F137" t="str">
            <v/>
          </cell>
        </row>
        <row r="138">
          <cell r="A138" t="str">
            <v>Ivo Vudarcik</v>
          </cell>
          <cell r="B138">
            <v>1994</v>
          </cell>
          <cell r="C138" t="str">
            <v>Rakovník</v>
          </cell>
          <cell r="D138" t="str">
            <v>CZ/C1</v>
          </cell>
          <cell r="E138" t="str">
            <v>M</v>
          </cell>
          <cell r="F138" t="str">
            <v/>
          </cell>
        </row>
        <row r="139">
          <cell r="A139" t="str">
            <v>Jacek Kerum</v>
          </cell>
          <cell r="B139">
            <v>1943</v>
          </cell>
          <cell r="C139" t="str">
            <v>Příbram</v>
          </cell>
          <cell r="D139" t="str">
            <v>CZ/C1</v>
          </cell>
          <cell r="E139" t="str">
            <v>M</v>
          </cell>
          <cell r="F139" t="str">
            <v/>
          </cell>
        </row>
        <row r="140">
          <cell r="A140" t="str">
            <v>Jakub Brotanek</v>
          </cell>
          <cell r="B140">
            <v>1985</v>
          </cell>
          <cell r="C140" t="str">
            <v>Roudnice</v>
          </cell>
          <cell r="D140" t="str">
            <v>CZ/C2</v>
          </cell>
          <cell r="E140" t="str">
            <v>M</v>
          </cell>
          <cell r="F140" t="str">
            <v/>
          </cell>
        </row>
        <row r="141">
          <cell r="A141" t="str">
            <v>Jakub Hlavacek</v>
          </cell>
          <cell r="B141">
            <v>1991</v>
          </cell>
          <cell r="C141" t="str">
            <v>Letkov</v>
          </cell>
          <cell r="D141" t="str">
            <v>CZ/C1</v>
          </cell>
          <cell r="E141" t="str">
            <v>M</v>
          </cell>
          <cell r="F141" t="str">
            <v/>
          </cell>
        </row>
        <row r="142">
          <cell r="A142" t="str">
            <v>Jakub Kmosek</v>
          </cell>
          <cell r="B142">
            <v>1978</v>
          </cell>
          <cell r="C142" t="str">
            <v>Zbraslavice</v>
          </cell>
          <cell r="D142" t="str">
            <v>CZ/C1</v>
          </cell>
          <cell r="E142" t="str">
            <v>M</v>
          </cell>
          <cell r="F142" t="str">
            <v/>
          </cell>
        </row>
        <row r="143">
          <cell r="A143" t="str">
            <v>Jakub Kohn</v>
          </cell>
          <cell r="B143">
            <v>1992</v>
          </cell>
          <cell r="C143" t="str">
            <v>Prostějov</v>
          </cell>
          <cell r="D143" t="str">
            <v>CZ/M</v>
          </cell>
          <cell r="E143" t="str">
            <v>M</v>
          </cell>
          <cell r="F143" t="str">
            <v/>
          </cell>
        </row>
        <row r="144">
          <cell r="A144" t="str">
            <v>Jakub Koudelka</v>
          </cell>
          <cell r="B144">
            <v>2000</v>
          </cell>
          <cell r="C144" t="str">
            <v>Křižanov</v>
          </cell>
          <cell r="D144" t="str">
            <v>CZ/M</v>
          </cell>
          <cell r="E144" t="str">
            <v>M</v>
          </cell>
          <cell r="F144" t="str">
            <v>Junior v roce 2024</v>
          </cell>
        </row>
        <row r="145">
          <cell r="A145" t="str">
            <v>Jakub Malik</v>
          </cell>
          <cell r="B145">
            <v>1999</v>
          </cell>
          <cell r="C145" t="str">
            <v>Letňany</v>
          </cell>
          <cell r="D145" t="str">
            <v>CZ/C1</v>
          </cell>
          <cell r="E145" t="str">
            <v>M</v>
          </cell>
          <cell r="F145" t="str">
            <v>Junior v roce 2024</v>
          </cell>
        </row>
        <row r="146">
          <cell r="A146" t="str">
            <v>Jakub Michalicka</v>
          </cell>
          <cell r="B146">
            <v>1993</v>
          </cell>
          <cell r="C146" t="str">
            <v>Rakovník</v>
          </cell>
          <cell r="D146" t="str">
            <v>CZ/C1</v>
          </cell>
          <cell r="E146" t="str">
            <v>M</v>
          </cell>
          <cell r="F146" t="str">
            <v/>
          </cell>
        </row>
        <row r="147">
          <cell r="A147" t="str">
            <v>Jakub Spanger</v>
          </cell>
          <cell r="B147">
            <v>2002</v>
          </cell>
          <cell r="C147" t="str">
            <v>Jeseník</v>
          </cell>
          <cell r="D147" t="str">
            <v>CZ/M</v>
          </cell>
          <cell r="E147" t="str">
            <v>M</v>
          </cell>
          <cell r="F147" t="str">
            <v>Junior v roce 2024</v>
          </cell>
        </row>
        <row r="148">
          <cell r="A148" t="str">
            <v>Jakub Tiller</v>
          </cell>
          <cell r="B148">
            <v>1987</v>
          </cell>
          <cell r="C148" t="str">
            <v>Broumov</v>
          </cell>
          <cell r="D148" t="str">
            <v>CZ/C2</v>
          </cell>
          <cell r="E148" t="str">
            <v>M</v>
          </cell>
          <cell r="F148" t="str">
            <v/>
          </cell>
        </row>
        <row r="149">
          <cell r="A149" t="str">
            <v>Jakub Vimr</v>
          </cell>
          <cell r="B149">
            <v>1975</v>
          </cell>
          <cell r="C149" t="str">
            <v>GAC Benešov</v>
          </cell>
          <cell r="D149" t="str">
            <v>CZ/C1</v>
          </cell>
          <cell r="E149" t="str">
            <v>M</v>
          </cell>
          <cell r="F149" t="str">
            <v/>
          </cell>
        </row>
        <row r="150">
          <cell r="A150" t="str">
            <v>Jan Adam</v>
          </cell>
          <cell r="B150">
            <v>2002</v>
          </cell>
          <cell r="C150" t="str">
            <v>Podhořany</v>
          </cell>
          <cell r="D150" t="str">
            <v>CZ/C2</v>
          </cell>
          <cell r="E150" t="str">
            <v>M</v>
          </cell>
          <cell r="F150" t="str">
            <v>Junior v roce 2024</v>
          </cell>
        </row>
        <row r="151">
          <cell r="A151" t="str">
            <v>Jan Bejdl</v>
          </cell>
          <cell r="B151">
            <v>1978</v>
          </cell>
          <cell r="C151" t="str">
            <v>Zbraslavice</v>
          </cell>
          <cell r="D151" t="str">
            <v>CZ/C1</v>
          </cell>
          <cell r="E151" t="str">
            <v>M</v>
          </cell>
          <cell r="F151" t="str">
            <v/>
          </cell>
        </row>
        <row r="152">
          <cell r="A152" t="str">
            <v>Jan Belina</v>
          </cell>
          <cell r="B152">
            <v>1979</v>
          </cell>
          <cell r="C152" t="str">
            <v>Hořice</v>
          </cell>
          <cell r="D152" t="str">
            <v>CZ/C2</v>
          </cell>
          <cell r="E152" t="str">
            <v>M</v>
          </cell>
          <cell r="F152" t="str">
            <v/>
          </cell>
        </row>
        <row r="153">
          <cell r="A153" t="str">
            <v>Jan Beran</v>
          </cell>
          <cell r="B153">
            <v>1999</v>
          </cell>
          <cell r="C153" t="str">
            <v>Kladno</v>
          </cell>
          <cell r="D153" t="str">
            <v>CZ/C1</v>
          </cell>
          <cell r="E153" t="str">
            <v>M</v>
          </cell>
          <cell r="F153" t="str">
            <v>Junior v roce 2024</v>
          </cell>
        </row>
        <row r="154">
          <cell r="A154" t="str">
            <v>Jan Beranek</v>
          </cell>
          <cell r="B154">
            <v>1976</v>
          </cell>
          <cell r="C154" t="str">
            <v>Jihlava</v>
          </cell>
          <cell r="D154" t="str">
            <v>CZ/M</v>
          </cell>
          <cell r="E154" t="str">
            <v>M</v>
          </cell>
          <cell r="F154" t="str">
            <v/>
          </cell>
        </row>
        <row r="155">
          <cell r="A155" t="str">
            <v>Jan Blaha</v>
          </cell>
          <cell r="B155">
            <v>1983</v>
          </cell>
          <cell r="C155" t="str">
            <v>Kyjov</v>
          </cell>
          <cell r="D155" t="str">
            <v>CZ/M</v>
          </cell>
          <cell r="E155" t="str">
            <v>M</v>
          </cell>
          <cell r="F155" t="str">
            <v/>
          </cell>
        </row>
        <row r="156">
          <cell r="A156" t="str">
            <v>Jan Boruvka</v>
          </cell>
          <cell r="B156">
            <v>1984</v>
          </cell>
          <cell r="C156" t="str">
            <v>Jičín</v>
          </cell>
          <cell r="D156" t="str">
            <v>CZ/C2</v>
          </cell>
          <cell r="E156" t="str">
            <v>M</v>
          </cell>
          <cell r="F156" t="str">
            <v/>
          </cell>
        </row>
        <row r="157">
          <cell r="A157" t="str">
            <v>Jan Camr</v>
          </cell>
          <cell r="B157">
            <v>2002</v>
          </cell>
          <cell r="C157" t="str">
            <v>Jaroměř</v>
          </cell>
          <cell r="D157" t="str">
            <v>CZ/C2</v>
          </cell>
          <cell r="E157" t="str">
            <v>M</v>
          </cell>
          <cell r="F157" t="str">
            <v>Junior v roce 2024</v>
          </cell>
        </row>
        <row r="158">
          <cell r="A158" t="str">
            <v>Jan Cerveny</v>
          </cell>
          <cell r="B158">
            <v>1984</v>
          </cell>
          <cell r="C158" t="str">
            <v>Jaroměř</v>
          </cell>
          <cell r="D158" t="str">
            <v>CZ/C2</v>
          </cell>
          <cell r="E158" t="str">
            <v>M</v>
          </cell>
          <cell r="F158" t="str">
            <v/>
          </cell>
        </row>
        <row r="159">
          <cell r="A159" t="str">
            <v>Jan Cibulka</v>
          </cell>
          <cell r="B159">
            <v>2002</v>
          </cell>
          <cell r="C159" t="str">
            <v>Letňany</v>
          </cell>
          <cell r="D159" t="str">
            <v>CZ/C1</v>
          </cell>
          <cell r="E159" t="str">
            <v>M</v>
          </cell>
          <cell r="F159" t="str">
            <v>Junior v roce 2024</v>
          </cell>
        </row>
        <row r="160">
          <cell r="A160" t="str">
            <v>Jan Dersak 69</v>
          </cell>
          <cell r="B160">
            <v>1969</v>
          </cell>
          <cell r="C160" t="str">
            <v>Kralupy</v>
          </cell>
          <cell r="D160" t="str">
            <v>CZ/C1</v>
          </cell>
          <cell r="E160" t="str">
            <v>M</v>
          </cell>
          <cell r="F160" t="str">
            <v/>
          </cell>
        </row>
        <row r="161">
          <cell r="A161" t="str">
            <v>Jan Dersak 92</v>
          </cell>
          <cell r="B161">
            <v>1992</v>
          </cell>
          <cell r="C161" t="str">
            <v>Kralupy</v>
          </cell>
          <cell r="D161" t="str">
            <v>CZ/C1</v>
          </cell>
          <cell r="E161" t="str">
            <v>M</v>
          </cell>
          <cell r="F161" t="str">
            <v/>
          </cell>
        </row>
        <row r="162">
          <cell r="A162" t="str">
            <v>Jan Drahota</v>
          </cell>
          <cell r="B162">
            <v>1988</v>
          </cell>
          <cell r="C162" t="str">
            <v>Rakovník</v>
          </cell>
          <cell r="D162" t="str">
            <v>CZ/C1</v>
          </cell>
          <cell r="E162" t="str">
            <v>M</v>
          </cell>
          <cell r="F162" t="str">
            <v/>
          </cell>
        </row>
        <row r="163">
          <cell r="A163" t="str">
            <v>Jan Drbohlav</v>
          </cell>
          <cell r="B163">
            <v>1999</v>
          </cell>
          <cell r="C163" t="str">
            <v>Hodkovice</v>
          </cell>
          <cell r="D163" t="str">
            <v>CZ/C2</v>
          </cell>
          <cell r="E163" t="str">
            <v>M</v>
          </cell>
          <cell r="F163" t="str">
            <v>Junior v roce 2024</v>
          </cell>
        </row>
        <row r="164">
          <cell r="A164" t="str">
            <v>Jan Florian</v>
          </cell>
          <cell r="B164">
            <v>1992</v>
          </cell>
          <cell r="C164" t="str">
            <v>Zbraslavice</v>
          </cell>
          <cell r="D164" t="str">
            <v>CZ/C1</v>
          </cell>
          <cell r="E164" t="str">
            <v>M</v>
          </cell>
          <cell r="F164" t="str">
            <v/>
          </cell>
        </row>
        <row r="165">
          <cell r="A165" t="str">
            <v>Jan Habermann</v>
          </cell>
          <cell r="B165">
            <v>1975</v>
          </cell>
          <cell r="C165" t="str">
            <v>Vlašim</v>
          </cell>
          <cell r="D165" t="str">
            <v>CZ/C1</v>
          </cell>
          <cell r="E165" t="str">
            <v>M</v>
          </cell>
          <cell r="F165" t="str">
            <v/>
          </cell>
        </row>
        <row r="166">
          <cell r="A166" t="str">
            <v>Jan Hejret</v>
          </cell>
          <cell r="B166">
            <v>1976</v>
          </cell>
          <cell r="C166" t="str">
            <v>Jaroměř</v>
          </cell>
          <cell r="D166" t="str">
            <v>CZ/C2</v>
          </cell>
          <cell r="E166" t="str">
            <v>M</v>
          </cell>
          <cell r="F166" t="str">
            <v/>
          </cell>
        </row>
        <row r="167">
          <cell r="A167" t="str">
            <v>Jan Heroudek</v>
          </cell>
          <cell r="B167">
            <v>1970</v>
          </cell>
          <cell r="C167" t="str">
            <v>Rakovník</v>
          </cell>
          <cell r="D167" t="str">
            <v>CZ/C1</v>
          </cell>
          <cell r="E167" t="str">
            <v>M</v>
          </cell>
          <cell r="F167" t="str">
            <v/>
          </cell>
        </row>
        <row r="168">
          <cell r="A168" t="str">
            <v>Jan Hlavacek</v>
          </cell>
          <cell r="B168">
            <v>1965</v>
          </cell>
          <cell r="C168" t="str">
            <v>Rakovník</v>
          </cell>
          <cell r="D168" t="str">
            <v>CZ/C1</v>
          </cell>
          <cell r="E168" t="str">
            <v>M</v>
          </cell>
          <cell r="F168" t="str">
            <v/>
          </cell>
        </row>
        <row r="169">
          <cell r="A169" t="str">
            <v>Jan Horak</v>
          </cell>
          <cell r="B169">
            <v>1971</v>
          </cell>
          <cell r="C169" t="str">
            <v>Zbraslavice</v>
          </cell>
          <cell r="D169" t="str">
            <v>CZ/C1</v>
          </cell>
          <cell r="E169" t="str">
            <v>M</v>
          </cell>
          <cell r="F169" t="str">
            <v/>
          </cell>
        </row>
        <row r="170">
          <cell r="A170" t="str">
            <v>Jan Horky</v>
          </cell>
          <cell r="B170">
            <v>1968</v>
          </cell>
          <cell r="C170" t="str">
            <v>Medlánky</v>
          </cell>
          <cell r="D170" t="str">
            <v>CZ/M</v>
          </cell>
          <cell r="E170" t="str">
            <v>M</v>
          </cell>
          <cell r="F170" t="str">
            <v/>
          </cell>
        </row>
        <row r="171">
          <cell r="A171" t="str">
            <v>Jan Hrbatsch</v>
          </cell>
          <cell r="B171">
            <v>1989</v>
          </cell>
          <cell r="C171" t="str">
            <v>Hodkovice</v>
          </cell>
          <cell r="D171" t="str">
            <v>CZ/C2</v>
          </cell>
          <cell r="E171" t="str">
            <v>M</v>
          </cell>
          <cell r="F171" t="str">
            <v/>
          </cell>
        </row>
        <row r="172">
          <cell r="A172" t="str">
            <v>Jan Hruska</v>
          </cell>
          <cell r="B172">
            <v>1988</v>
          </cell>
          <cell r="C172" t="str">
            <v>Tábor</v>
          </cell>
          <cell r="D172" t="str">
            <v>CZ/C1</v>
          </cell>
          <cell r="E172" t="str">
            <v>M</v>
          </cell>
          <cell r="F172" t="str">
            <v/>
          </cell>
        </row>
        <row r="173">
          <cell r="A173" t="str">
            <v>Jan Hybner</v>
          </cell>
          <cell r="B173">
            <v>1977</v>
          </cell>
          <cell r="C173" t="str">
            <v>Liberec</v>
          </cell>
          <cell r="D173" t="str">
            <v>CZ/C2</v>
          </cell>
          <cell r="E173" t="str">
            <v>M</v>
          </cell>
          <cell r="F173" t="str">
            <v/>
          </cell>
        </row>
        <row r="174">
          <cell r="A174" t="str">
            <v>Jan Jicha</v>
          </cell>
          <cell r="B174">
            <v>1984</v>
          </cell>
          <cell r="C174" t="str">
            <v>Podhořany</v>
          </cell>
          <cell r="D174" t="str">
            <v>CZ/C2</v>
          </cell>
          <cell r="E174" t="str">
            <v>M</v>
          </cell>
          <cell r="F174" t="str">
            <v/>
          </cell>
        </row>
        <row r="175">
          <cell r="A175" t="str">
            <v>Jan Jindra</v>
          </cell>
          <cell r="B175">
            <v>1981</v>
          </cell>
          <cell r="C175" t="str">
            <v>Roudnice</v>
          </cell>
          <cell r="D175" t="str">
            <v>CZ/C2</v>
          </cell>
          <cell r="E175" t="str">
            <v>M</v>
          </cell>
          <cell r="F175" t="str">
            <v/>
          </cell>
        </row>
        <row r="176">
          <cell r="A176" t="str">
            <v>Jan Kantor</v>
          </cell>
          <cell r="B176">
            <v>1983</v>
          </cell>
          <cell r="C176" t="str">
            <v>Letňany</v>
          </cell>
          <cell r="D176" t="str">
            <v>CZ/C1</v>
          </cell>
          <cell r="E176" t="str">
            <v>M</v>
          </cell>
          <cell r="F176" t="str">
            <v/>
          </cell>
        </row>
        <row r="177">
          <cell r="A177" t="str">
            <v>Jan Kapralek</v>
          </cell>
          <cell r="B177">
            <v>1991</v>
          </cell>
          <cell r="C177" t="str">
            <v>Kladno</v>
          </cell>
          <cell r="D177" t="str">
            <v>CZ/C1</v>
          </cell>
          <cell r="E177" t="str">
            <v>M</v>
          </cell>
          <cell r="F177" t="str">
            <v/>
          </cell>
        </row>
        <row r="178">
          <cell r="A178" t="str">
            <v>Jan Karabec</v>
          </cell>
          <cell r="B178">
            <v>2000</v>
          </cell>
          <cell r="C178" t="str">
            <v>Podhořany</v>
          </cell>
          <cell r="D178" t="str">
            <v>CZ/C2</v>
          </cell>
          <cell r="E178" t="str">
            <v>M</v>
          </cell>
          <cell r="F178" t="str">
            <v>Junior v roce 2024</v>
          </cell>
        </row>
        <row r="179">
          <cell r="A179" t="str">
            <v>Jan Karnik</v>
          </cell>
          <cell r="B179">
            <v>1976</v>
          </cell>
          <cell r="C179" t="str">
            <v>Letkov</v>
          </cell>
          <cell r="D179" t="str">
            <v>CZ/C1</v>
          </cell>
          <cell r="E179" t="str">
            <v>M</v>
          </cell>
          <cell r="F179" t="str">
            <v/>
          </cell>
        </row>
        <row r="180">
          <cell r="A180" t="str">
            <v>Jan Kaspar</v>
          </cell>
          <cell r="B180">
            <v>1994</v>
          </cell>
          <cell r="C180" t="str">
            <v>Letňany</v>
          </cell>
          <cell r="D180" t="str">
            <v>CZ/C1</v>
          </cell>
          <cell r="E180" t="str">
            <v>M</v>
          </cell>
          <cell r="F180" t="str">
            <v/>
          </cell>
        </row>
        <row r="181">
          <cell r="A181" t="str">
            <v>Jan Kohout</v>
          </cell>
          <cell r="B181">
            <v>1970</v>
          </cell>
          <cell r="C181" t="str">
            <v>Žamberk</v>
          </cell>
          <cell r="D181" t="str">
            <v>CZ/C2</v>
          </cell>
          <cell r="E181" t="str">
            <v>M</v>
          </cell>
          <cell r="F181" t="str">
            <v/>
          </cell>
        </row>
        <row r="182">
          <cell r="A182" t="str">
            <v>Jan Konecny</v>
          </cell>
          <cell r="B182">
            <v>1972</v>
          </cell>
          <cell r="C182" t="str">
            <v>Rakovník</v>
          </cell>
          <cell r="D182" t="str">
            <v>CZ/C1</v>
          </cell>
          <cell r="E182" t="str">
            <v>M</v>
          </cell>
          <cell r="F182" t="str">
            <v/>
          </cell>
        </row>
        <row r="183">
          <cell r="A183" t="str">
            <v>Jan Kostka</v>
          </cell>
          <cell r="B183">
            <v>1996</v>
          </cell>
          <cell r="C183" t="str">
            <v>Kladno</v>
          </cell>
          <cell r="D183" t="str">
            <v>CZ/C1</v>
          </cell>
          <cell r="E183" t="str">
            <v>M</v>
          </cell>
          <cell r="F183" t="str">
            <v/>
          </cell>
        </row>
        <row r="184">
          <cell r="A184" t="str">
            <v>Jan Kotan</v>
          </cell>
          <cell r="B184">
            <v>1982</v>
          </cell>
          <cell r="C184" t="str">
            <v>Letňany</v>
          </cell>
          <cell r="D184" t="str">
            <v>CZ/C1</v>
          </cell>
          <cell r="E184" t="str">
            <v>M</v>
          </cell>
          <cell r="F184" t="str">
            <v/>
          </cell>
        </row>
        <row r="185">
          <cell r="A185" t="str">
            <v>Jan Kralik</v>
          </cell>
          <cell r="B185">
            <v>1991</v>
          </cell>
          <cell r="C185" t="str">
            <v>Letkov</v>
          </cell>
          <cell r="D185" t="str">
            <v>CZ/C1</v>
          </cell>
          <cell r="E185" t="str">
            <v>M</v>
          </cell>
          <cell r="F185" t="str">
            <v/>
          </cell>
        </row>
        <row r="186">
          <cell r="A186" t="str">
            <v>Jan Kristof</v>
          </cell>
          <cell r="B186">
            <v>1962</v>
          </cell>
          <cell r="C186" t="str">
            <v>Frýdlant</v>
          </cell>
          <cell r="D186" t="str">
            <v>CZ/M</v>
          </cell>
          <cell r="E186" t="str">
            <v>M</v>
          </cell>
          <cell r="F186" t="str">
            <v/>
          </cell>
        </row>
        <row r="187">
          <cell r="A187" t="str">
            <v>Jan Kulistak</v>
          </cell>
          <cell r="B187">
            <v>1990</v>
          </cell>
          <cell r="C187" t="str">
            <v>Kunovice</v>
          </cell>
          <cell r="D187" t="str">
            <v>CZ/M</v>
          </cell>
          <cell r="E187" t="str">
            <v>M</v>
          </cell>
          <cell r="F187" t="str">
            <v/>
          </cell>
        </row>
        <row r="188">
          <cell r="A188" t="str">
            <v>Jan Lancdorf</v>
          </cell>
          <cell r="B188">
            <v>1988</v>
          </cell>
          <cell r="C188" t="str">
            <v>Panenský Týnec</v>
          </cell>
          <cell r="D188" t="str">
            <v>CZ/C1</v>
          </cell>
          <cell r="E188" t="str">
            <v>M</v>
          </cell>
          <cell r="F188" t="str">
            <v/>
          </cell>
        </row>
        <row r="189">
          <cell r="A189" t="str">
            <v>Jan Louda</v>
          </cell>
          <cell r="B189">
            <v>1986</v>
          </cell>
          <cell r="C189" t="str">
            <v>Mladá Boleslav</v>
          </cell>
          <cell r="D189" t="str">
            <v>CZ/C1</v>
          </cell>
          <cell r="E189" t="str">
            <v>M</v>
          </cell>
          <cell r="F189" t="str">
            <v/>
          </cell>
        </row>
        <row r="190">
          <cell r="A190" t="str">
            <v>Jan Mareth</v>
          </cell>
          <cell r="B190">
            <v>1979</v>
          </cell>
          <cell r="C190" t="str">
            <v>Frýdlant</v>
          </cell>
          <cell r="D190" t="str">
            <v>CZ/M</v>
          </cell>
          <cell r="E190" t="str">
            <v>M</v>
          </cell>
          <cell r="F190" t="str">
            <v/>
          </cell>
        </row>
        <row r="191">
          <cell r="A191" t="str">
            <v>Jan Masek</v>
          </cell>
          <cell r="B191">
            <v>1977</v>
          </cell>
          <cell r="C191" t="str">
            <v>Kladno</v>
          </cell>
          <cell r="D191" t="str">
            <v>CZ/C1</v>
          </cell>
          <cell r="E191" t="str">
            <v>M</v>
          </cell>
          <cell r="F191" t="str">
            <v/>
          </cell>
        </row>
        <row r="192">
          <cell r="A192" t="str">
            <v>Jan Matejovsky</v>
          </cell>
          <cell r="B192">
            <v>1972</v>
          </cell>
          <cell r="C192" t="str">
            <v>Hranice</v>
          </cell>
          <cell r="D192" t="str">
            <v>CZ/M</v>
          </cell>
          <cell r="E192" t="str">
            <v>M</v>
          </cell>
          <cell r="F192" t="str">
            <v/>
          </cell>
        </row>
        <row r="193">
          <cell r="A193" t="str">
            <v>Jan Merta</v>
          </cell>
          <cell r="B193">
            <v>1952</v>
          </cell>
          <cell r="C193" t="str">
            <v>Šumperk</v>
          </cell>
          <cell r="D193" t="str">
            <v>CZ/M</v>
          </cell>
          <cell r="E193" t="str">
            <v>M</v>
          </cell>
          <cell r="F193" t="str">
            <v/>
          </cell>
        </row>
        <row r="194">
          <cell r="A194" t="str">
            <v>Jan Mittner</v>
          </cell>
          <cell r="B194">
            <v>1986</v>
          </cell>
          <cell r="C194" t="str">
            <v>Zbraslavice</v>
          </cell>
          <cell r="D194" t="str">
            <v>CZ/C1</v>
          </cell>
          <cell r="E194" t="str">
            <v>M</v>
          </cell>
          <cell r="F194" t="str">
            <v/>
          </cell>
        </row>
        <row r="195">
          <cell r="A195" t="str">
            <v>Jan Moravec</v>
          </cell>
          <cell r="B195">
            <v>1979</v>
          </cell>
          <cell r="C195" t="str">
            <v>Zábřeh</v>
          </cell>
          <cell r="D195" t="str">
            <v>CZ/M</v>
          </cell>
          <cell r="E195" t="str">
            <v>M</v>
          </cell>
          <cell r="F195" t="str">
            <v/>
          </cell>
        </row>
        <row r="196">
          <cell r="A196" t="str">
            <v>Jan Mrozek</v>
          </cell>
          <cell r="B196">
            <v>1982</v>
          </cell>
          <cell r="C196" t="str">
            <v>Frýdlant</v>
          </cell>
          <cell r="D196" t="str">
            <v>CZ/M</v>
          </cell>
          <cell r="E196" t="str">
            <v>M</v>
          </cell>
          <cell r="F196" t="str">
            <v/>
          </cell>
        </row>
        <row r="197">
          <cell r="A197" t="str">
            <v>Jan Muknsnabl</v>
          </cell>
          <cell r="B197">
            <v>1992</v>
          </cell>
          <cell r="C197" t="str">
            <v>Letkov</v>
          </cell>
          <cell r="D197" t="str">
            <v>CZ/C1</v>
          </cell>
          <cell r="E197" t="str">
            <v>M</v>
          </cell>
          <cell r="F197" t="str">
            <v/>
          </cell>
        </row>
        <row r="198">
          <cell r="A198" t="str">
            <v>Jan Nyc</v>
          </cell>
          <cell r="B198">
            <v>1943</v>
          </cell>
          <cell r="C198" t="str">
            <v>Dvůr Králové</v>
          </cell>
          <cell r="D198" t="str">
            <v>CZ/C2</v>
          </cell>
          <cell r="E198" t="str">
            <v>M</v>
          </cell>
          <cell r="F198" t="str">
            <v/>
          </cell>
        </row>
        <row r="199">
          <cell r="A199" t="str">
            <v>Jan Obrucnik</v>
          </cell>
          <cell r="B199">
            <v>1991</v>
          </cell>
          <cell r="C199" t="str">
            <v>Kralupy</v>
          </cell>
          <cell r="D199" t="str">
            <v>CZ/C1</v>
          </cell>
          <cell r="E199" t="str">
            <v>M</v>
          </cell>
          <cell r="F199" t="str">
            <v/>
          </cell>
        </row>
        <row r="200">
          <cell r="A200" t="str">
            <v>Jan Oscatka</v>
          </cell>
          <cell r="B200">
            <v>1990</v>
          </cell>
          <cell r="C200" t="str">
            <v>Jaroměř</v>
          </cell>
          <cell r="D200" t="str">
            <v>CZ/C2</v>
          </cell>
          <cell r="E200" t="str">
            <v>M</v>
          </cell>
          <cell r="F200" t="str">
            <v/>
          </cell>
        </row>
        <row r="201">
          <cell r="A201" t="str">
            <v>Jan Otrusina</v>
          </cell>
          <cell r="B201">
            <v>1976</v>
          </cell>
          <cell r="C201" t="str">
            <v>Křižanov</v>
          </cell>
          <cell r="D201" t="str">
            <v>CZ/M</v>
          </cell>
          <cell r="E201" t="str">
            <v>M</v>
          </cell>
          <cell r="F201" t="str">
            <v/>
          </cell>
        </row>
        <row r="202">
          <cell r="A202" t="str">
            <v>Jan Ourada</v>
          </cell>
          <cell r="B202">
            <v>1978</v>
          </cell>
          <cell r="C202" t="str">
            <v>Točná</v>
          </cell>
          <cell r="D202" t="str">
            <v>CZ/C1</v>
          </cell>
          <cell r="E202" t="str">
            <v>M</v>
          </cell>
          <cell r="F202" t="str">
            <v/>
          </cell>
        </row>
        <row r="203">
          <cell r="A203" t="str">
            <v>Jan Pavlik</v>
          </cell>
          <cell r="B203">
            <v>1987</v>
          </cell>
          <cell r="C203" t="str">
            <v>Křižanov</v>
          </cell>
          <cell r="D203" t="str">
            <v>CZ/M</v>
          </cell>
          <cell r="E203" t="str">
            <v>M</v>
          </cell>
          <cell r="F203" t="str">
            <v/>
          </cell>
        </row>
        <row r="204">
          <cell r="A204" t="str">
            <v>Jan Pazour</v>
          </cell>
          <cell r="B204">
            <v>1979</v>
          </cell>
          <cell r="C204" t="str">
            <v>Dvůr Králové</v>
          </cell>
          <cell r="D204" t="str">
            <v>CZ/C2</v>
          </cell>
          <cell r="E204" t="str">
            <v>M</v>
          </cell>
          <cell r="F204" t="str">
            <v/>
          </cell>
        </row>
        <row r="205">
          <cell r="A205" t="str">
            <v>Jan Platenik</v>
          </cell>
          <cell r="B205">
            <v>1981</v>
          </cell>
          <cell r="C205" t="str">
            <v>Krnov</v>
          </cell>
          <cell r="D205" t="str">
            <v>CZ/M</v>
          </cell>
          <cell r="E205" t="str">
            <v>M</v>
          </cell>
          <cell r="F205" t="str">
            <v/>
          </cell>
        </row>
        <row r="206">
          <cell r="A206" t="str">
            <v>Jan Plechac</v>
          </cell>
          <cell r="B206">
            <v>1966</v>
          </cell>
          <cell r="C206" t="str">
            <v>Slaný</v>
          </cell>
          <cell r="D206" t="str">
            <v>CZ/C1</v>
          </cell>
          <cell r="E206" t="str">
            <v>M</v>
          </cell>
          <cell r="F206" t="str">
            <v/>
          </cell>
        </row>
        <row r="207">
          <cell r="A207" t="str">
            <v>Jan Podhrazsky</v>
          </cell>
          <cell r="B207">
            <v>1976</v>
          </cell>
          <cell r="C207" t="str">
            <v>Šumperk</v>
          </cell>
          <cell r="D207" t="str">
            <v>CZ/M</v>
          </cell>
          <cell r="E207" t="str">
            <v>M</v>
          </cell>
          <cell r="F207" t="str">
            <v/>
          </cell>
        </row>
        <row r="208">
          <cell r="A208" t="str">
            <v>Jan Pokluda</v>
          </cell>
          <cell r="B208">
            <v>1973</v>
          </cell>
          <cell r="C208" t="str">
            <v>Šumperk</v>
          </cell>
          <cell r="D208" t="str">
            <v>CZ/M</v>
          </cell>
          <cell r="E208" t="str">
            <v>M</v>
          </cell>
          <cell r="F208" t="str">
            <v/>
          </cell>
        </row>
        <row r="209">
          <cell r="A209" t="str">
            <v>Jan Pubec</v>
          </cell>
          <cell r="B209">
            <v>1979</v>
          </cell>
          <cell r="C209" t="str">
            <v>Plzeň Bory</v>
          </cell>
          <cell r="D209" t="str">
            <v>CZ/C1</v>
          </cell>
          <cell r="E209" t="str">
            <v>M</v>
          </cell>
          <cell r="F209" t="str">
            <v/>
          </cell>
        </row>
        <row r="210">
          <cell r="A210" t="str">
            <v>Jan Ratz</v>
          </cell>
          <cell r="B210">
            <v>1987</v>
          </cell>
          <cell r="C210" t="str">
            <v>Zbraslavice</v>
          </cell>
          <cell r="D210" t="str">
            <v>CZ/C1</v>
          </cell>
          <cell r="E210" t="str">
            <v>M</v>
          </cell>
          <cell r="F210" t="str">
            <v/>
          </cell>
        </row>
        <row r="211">
          <cell r="A211" t="str">
            <v>Jan Rensa</v>
          </cell>
          <cell r="B211">
            <v>1980</v>
          </cell>
          <cell r="C211" t="str">
            <v>Polička</v>
          </cell>
          <cell r="D211" t="str">
            <v>CZ/C2</v>
          </cell>
          <cell r="E211" t="str">
            <v>M</v>
          </cell>
          <cell r="F211" t="str">
            <v/>
          </cell>
        </row>
        <row r="212">
          <cell r="A212" t="str">
            <v>Jan Rolinek</v>
          </cell>
          <cell r="B212">
            <v>1973</v>
          </cell>
          <cell r="C212" t="str">
            <v>Luhačovice</v>
          </cell>
          <cell r="D212" t="str">
            <v>CZ/M</v>
          </cell>
          <cell r="E212" t="str">
            <v>M</v>
          </cell>
          <cell r="F212" t="str">
            <v/>
          </cell>
        </row>
        <row r="213">
          <cell r="A213" t="str">
            <v>Jan Rott</v>
          </cell>
          <cell r="B213">
            <v>1962</v>
          </cell>
          <cell r="C213" t="str">
            <v>Hronov</v>
          </cell>
          <cell r="D213" t="str">
            <v>CZ/C2</v>
          </cell>
          <cell r="E213" t="str">
            <v>M</v>
          </cell>
          <cell r="F213" t="str">
            <v/>
          </cell>
        </row>
        <row r="214">
          <cell r="A214" t="str">
            <v>Jan Repka</v>
          </cell>
          <cell r="B214">
            <v>1959</v>
          </cell>
          <cell r="C214" t="str">
            <v>Liberec</v>
          </cell>
          <cell r="D214" t="str">
            <v>CZ/C2</v>
          </cell>
          <cell r="E214" t="str">
            <v>M</v>
          </cell>
          <cell r="F214" t="str">
            <v/>
          </cell>
        </row>
        <row r="215">
          <cell r="A215" t="str">
            <v>Jan Seifert</v>
          </cell>
          <cell r="B215">
            <v>1948</v>
          </cell>
          <cell r="C215" t="str">
            <v>Raná</v>
          </cell>
          <cell r="D215" t="str">
            <v>CZ/C2</v>
          </cell>
          <cell r="E215" t="str">
            <v>M</v>
          </cell>
          <cell r="F215" t="str">
            <v/>
          </cell>
        </row>
        <row r="216">
          <cell r="A216" t="str">
            <v>Jan Simon</v>
          </cell>
          <cell r="B216">
            <v>1970</v>
          </cell>
          <cell r="C216" t="str">
            <v>Kralupy</v>
          </cell>
          <cell r="D216" t="str">
            <v>CZ/C1</v>
          </cell>
          <cell r="E216" t="str">
            <v>M</v>
          </cell>
          <cell r="F216" t="str">
            <v/>
          </cell>
        </row>
        <row r="217">
          <cell r="A217" t="str">
            <v>Jan Sindelar</v>
          </cell>
          <cell r="B217">
            <v>1946</v>
          </cell>
          <cell r="C217" t="str">
            <v>Kunovice</v>
          </cell>
          <cell r="D217" t="str">
            <v>CZ/M</v>
          </cell>
          <cell r="E217" t="str">
            <v>M</v>
          </cell>
          <cell r="F217" t="str">
            <v/>
          </cell>
        </row>
        <row r="218">
          <cell r="A218" t="str">
            <v>Jan Smaha</v>
          </cell>
          <cell r="B218">
            <v>1958</v>
          </cell>
          <cell r="C218" t="str">
            <v>Česká Lípa</v>
          </cell>
          <cell r="D218" t="str">
            <v>CZ/C2</v>
          </cell>
          <cell r="E218" t="str">
            <v>M</v>
          </cell>
          <cell r="F218" t="str">
            <v/>
          </cell>
        </row>
        <row r="219">
          <cell r="A219" t="str">
            <v>Jan Smekal</v>
          </cell>
          <cell r="B219">
            <v>1976</v>
          </cell>
          <cell r="C219" t="str">
            <v>Zbraslavice</v>
          </cell>
          <cell r="D219" t="str">
            <v>CZ/C1</v>
          </cell>
          <cell r="E219" t="str">
            <v>M</v>
          </cell>
          <cell r="F219" t="str">
            <v/>
          </cell>
        </row>
        <row r="220">
          <cell r="A220" t="str">
            <v>Jan Sobotka</v>
          </cell>
          <cell r="B220">
            <v>1973</v>
          </cell>
          <cell r="C220" t="str">
            <v>Vyškov</v>
          </cell>
          <cell r="D220" t="str">
            <v>CZ/M</v>
          </cell>
          <cell r="E220" t="str">
            <v>M</v>
          </cell>
          <cell r="F220" t="str">
            <v/>
          </cell>
        </row>
        <row r="221">
          <cell r="A221" t="str">
            <v>Jan Sponer</v>
          </cell>
          <cell r="B221">
            <v>1988</v>
          </cell>
          <cell r="C221" t="str">
            <v>Medlánky</v>
          </cell>
          <cell r="D221" t="str">
            <v>CZ/M</v>
          </cell>
          <cell r="E221" t="str">
            <v>M</v>
          </cell>
          <cell r="F221" t="str">
            <v/>
          </cell>
        </row>
        <row r="222">
          <cell r="A222" t="str">
            <v>Jan Stastny</v>
          </cell>
          <cell r="B222">
            <v>2003</v>
          </cell>
          <cell r="C222" t="str">
            <v>Medlánky</v>
          </cell>
          <cell r="D222" t="str">
            <v>CZ/M</v>
          </cell>
          <cell r="E222" t="str">
            <v>M</v>
          </cell>
          <cell r="F222" t="str">
            <v>Junior v roce 2024</v>
          </cell>
        </row>
        <row r="223">
          <cell r="A223" t="str">
            <v>Jan Stepan</v>
          </cell>
          <cell r="B223">
            <v>1991</v>
          </cell>
          <cell r="C223" t="str">
            <v>Hronov</v>
          </cell>
          <cell r="D223" t="str">
            <v>CZ/C2</v>
          </cell>
          <cell r="E223" t="str">
            <v>M</v>
          </cell>
          <cell r="F223" t="str">
            <v/>
          </cell>
        </row>
        <row r="224">
          <cell r="A224" t="str">
            <v>Jan Sustr 76</v>
          </cell>
          <cell r="B224">
            <v>1976</v>
          </cell>
          <cell r="C224" t="str">
            <v>Raná</v>
          </cell>
          <cell r="D224" t="str">
            <v>CZ/C2</v>
          </cell>
          <cell r="E224" t="str">
            <v>M</v>
          </cell>
          <cell r="F224" t="str">
            <v/>
          </cell>
        </row>
        <row r="225">
          <cell r="A225" t="str">
            <v>Jan Sustr 77</v>
          </cell>
          <cell r="B225">
            <v>1977</v>
          </cell>
          <cell r="C225" t="str">
            <v>Staňkov</v>
          </cell>
          <cell r="D225" t="str">
            <v>CZ/C1</v>
          </cell>
          <cell r="E225" t="str">
            <v>M</v>
          </cell>
          <cell r="F225" t="str">
            <v/>
          </cell>
        </row>
        <row r="226">
          <cell r="A226" t="str">
            <v>Jan Svarc</v>
          </cell>
          <cell r="B226">
            <v>1977</v>
          </cell>
          <cell r="C226" t="str">
            <v>Raná</v>
          </cell>
          <cell r="D226" t="str">
            <v>CZ/C2</v>
          </cell>
          <cell r="E226" t="str">
            <v>M</v>
          </cell>
          <cell r="F226" t="str">
            <v/>
          </cell>
        </row>
        <row r="227">
          <cell r="A227" t="str">
            <v>Jan Svestka</v>
          </cell>
          <cell r="B227">
            <v>2005</v>
          </cell>
          <cell r="C227" t="str">
            <v>Křižanov</v>
          </cell>
          <cell r="D227" t="str">
            <v>CZ/M</v>
          </cell>
          <cell r="E227" t="str">
            <v>M</v>
          </cell>
          <cell r="F227" t="str">
            <v>Junior v roce 2024</v>
          </cell>
        </row>
        <row r="228">
          <cell r="A228" t="str">
            <v>Jan Terrich</v>
          </cell>
          <cell r="B228">
            <v>1978</v>
          </cell>
          <cell r="C228" t="str">
            <v>Liberec</v>
          </cell>
          <cell r="D228" t="str">
            <v>CZ/C2</v>
          </cell>
          <cell r="E228" t="str">
            <v>M</v>
          </cell>
          <cell r="F228" t="str">
            <v/>
          </cell>
        </row>
        <row r="229">
          <cell r="A229" t="str">
            <v>Jan Tomasek</v>
          </cell>
          <cell r="B229">
            <v>1970</v>
          </cell>
          <cell r="C229" t="str">
            <v>Dvůr Králové</v>
          </cell>
          <cell r="D229" t="str">
            <v>CZ/C2</v>
          </cell>
          <cell r="E229" t="str">
            <v>M</v>
          </cell>
          <cell r="F229" t="str">
            <v/>
          </cell>
        </row>
        <row r="230">
          <cell r="A230" t="str">
            <v>Jan Turek</v>
          </cell>
          <cell r="B230">
            <v>1987</v>
          </cell>
          <cell r="C230" t="str">
            <v>Toužim</v>
          </cell>
          <cell r="D230" t="str">
            <v>CZ/C1</v>
          </cell>
          <cell r="E230" t="str">
            <v>M</v>
          </cell>
          <cell r="F230" t="str">
            <v/>
          </cell>
        </row>
        <row r="231">
          <cell r="A231" t="str">
            <v>Jan Vavrin</v>
          </cell>
          <cell r="B231">
            <v>1987</v>
          </cell>
          <cell r="C231" t="str">
            <v>Vysoké Mýto</v>
          </cell>
          <cell r="D231" t="str">
            <v>CZ/C2</v>
          </cell>
          <cell r="E231" t="str">
            <v>M</v>
          </cell>
          <cell r="F231" t="str">
            <v/>
          </cell>
        </row>
        <row r="232">
          <cell r="A232" t="str">
            <v>Jan Viskot</v>
          </cell>
          <cell r="B232">
            <v>1995</v>
          </cell>
          <cell r="C232" t="str">
            <v>Břeclav</v>
          </cell>
          <cell r="D232" t="str">
            <v>CZ/M</v>
          </cell>
          <cell r="E232" t="str">
            <v>M</v>
          </cell>
          <cell r="F232" t="str">
            <v/>
          </cell>
        </row>
        <row r="233">
          <cell r="A233" t="str">
            <v>Jan Vozeh</v>
          </cell>
          <cell r="B233">
            <v>1995</v>
          </cell>
          <cell r="C233" t="str">
            <v>Rakovník</v>
          </cell>
          <cell r="D233" t="str">
            <v>CZ/C1</v>
          </cell>
          <cell r="E233" t="str">
            <v>M</v>
          </cell>
          <cell r="F233" t="str">
            <v/>
          </cell>
        </row>
        <row r="234">
          <cell r="A234" t="str">
            <v>Jan Zahradka</v>
          </cell>
          <cell r="B234">
            <v>1981</v>
          </cell>
          <cell r="C234" t="str">
            <v>Hodkovice</v>
          </cell>
          <cell r="D234" t="str">
            <v>CZ/C2</v>
          </cell>
          <cell r="E234" t="str">
            <v>M</v>
          </cell>
          <cell r="F234" t="str">
            <v/>
          </cell>
        </row>
        <row r="235">
          <cell r="A235" t="str">
            <v>Jan Zapletal</v>
          </cell>
          <cell r="B235">
            <v>1997</v>
          </cell>
          <cell r="C235" t="str">
            <v>Břeclav</v>
          </cell>
          <cell r="D235" t="str">
            <v>CZ/M</v>
          </cell>
          <cell r="E235" t="str">
            <v>M</v>
          </cell>
          <cell r="F235" t="str">
            <v/>
          </cell>
        </row>
        <row r="236">
          <cell r="A236" t="str">
            <v>Jan Zdvorak</v>
          </cell>
          <cell r="B236">
            <v>1980</v>
          </cell>
          <cell r="C236" t="str">
            <v>Roudnice</v>
          </cell>
          <cell r="D236" t="str">
            <v>CZ/C2</v>
          </cell>
          <cell r="E236" t="str">
            <v>M</v>
          </cell>
          <cell r="F236" t="str">
            <v/>
          </cell>
        </row>
        <row r="237">
          <cell r="A237" t="str">
            <v>Jan Zezula</v>
          </cell>
          <cell r="B237">
            <v>1979</v>
          </cell>
          <cell r="C237" t="str">
            <v>Letňany</v>
          </cell>
          <cell r="D237" t="str">
            <v>CZ/C1</v>
          </cell>
          <cell r="E237" t="str">
            <v>M</v>
          </cell>
          <cell r="F237" t="str">
            <v/>
          </cell>
        </row>
        <row r="238">
          <cell r="A238" t="str">
            <v>Jan Zona</v>
          </cell>
          <cell r="B238">
            <v>1965</v>
          </cell>
          <cell r="C238" t="str">
            <v>Kroměříž</v>
          </cell>
          <cell r="D238" t="str">
            <v>CZ/M</v>
          </cell>
          <cell r="E238" t="str">
            <v>M</v>
          </cell>
          <cell r="F238" t="str">
            <v/>
          </cell>
        </row>
        <row r="239">
          <cell r="A239" t="str">
            <v>Jan Zanda</v>
          </cell>
          <cell r="B239">
            <v>1983</v>
          </cell>
          <cell r="C239" t="str">
            <v>Letkov</v>
          </cell>
          <cell r="D239" t="str">
            <v>CZ/C1</v>
          </cell>
          <cell r="E239" t="str">
            <v>M</v>
          </cell>
          <cell r="F239" t="str">
            <v/>
          </cell>
        </row>
        <row r="240">
          <cell r="A240" t="str">
            <v>Jana Dvorakova</v>
          </cell>
          <cell r="B240">
            <v>1953</v>
          </cell>
          <cell r="C240" t="str">
            <v>Raná</v>
          </cell>
          <cell r="D240" t="str">
            <v>CZ/C2</v>
          </cell>
          <cell r="E240" t="str">
            <v>F</v>
          </cell>
          <cell r="F240" t="str">
            <v/>
          </cell>
        </row>
        <row r="241">
          <cell r="A241" t="str">
            <v>Jana Kantorova</v>
          </cell>
          <cell r="B241">
            <v>1980</v>
          </cell>
          <cell r="C241" t="str">
            <v>Hosín</v>
          </cell>
          <cell r="D241" t="str">
            <v>CZ/C1</v>
          </cell>
          <cell r="E241" t="str">
            <v>F</v>
          </cell>
          <cell r="F241" t="str">
            <v/>
          </cell>
        </row>
        <row r="242">
          <cell r="A242" t="str">
            <v>Jana Krejcova</v>
          </cell>
          <cell r="B242">
            <v>1972</v>
          </cell>
          <cell r="C242" t="str">
            <v>Křižanov</v>
          </cell>
          <cell r="D242" t="str">
            <v>CZ/M</v>
          </cell>
          <cell r="E242" t="str">
            <v>F</v>
          </cell>
          <cell r="F242" t="str">
            <v/>
          </cell>
        </row>
        <row r="243">
          <cell r="A243" t="str">
            <v>Jana Mezerova</v>
          </cell>
          <cell r="B243">
            <v>1975</v>
          </cell>
          <cell r="C243" t="str">
            <v>Raná</v>
          </cell>
          <cell r="D243" t="str">
            <v>CZ/C2</v>
          </cell>
          <cell r="E243" t="str">
            <v>F</v>
          </cell>
          <cell r="F243" t="str">
            <v/>
          </cell>
        </row>
        <row r="244">
          <cell r="A244" t="str">
            <v>Jana Treslova</v>
          </cell>
          <cell r="B244">
            <v>1963</v>
          </cell>
          <cell r="C244" t="str">
            <v>Raná</v>
          </cell>
          <cell r="D244" t="str">
            <v>CZ/C2</v>
          </cell>
          <cell r="E244" t="str">
            <v>F</v>
          </cell>
          <cell r="F244" t="str">
            <v/>
          </cell>
        </row>
        <row r="245">
          <cell r="A245" t="str">
            <v>Jana Veprekova</v>
          </cell>
          <cell r="B245">
            <v>1961</v>
          </cell>
          <cell r="C245" t="str">
            <v>Dvůr Králové</v>
          </cell>
          <cell r="D245" t="str">
            <v>CZ/C2</v>
          </cell>
          <cell r="E245" t="str">
            <v>F</v>
          </cell>
          <cell r="F245" t="str">
            <v/>
          </cell>
        </row>
        <row r="246">
          <cell r="A246" t="str">
            <v>Jarmila Zatykova</v>
          </cell>
          <cell r="B246">
            <v>1959</v>
          </cell>
          <cell r="C246" t="str">
            <v>Kralupy</v>
          </cell>
          <cell r="D246" t="str">
            <v>CZ/C1</v>
          </cell>
          <cell r="E246" t="str">
            <v>F</v>
          </cell>
          <cell r="F246" t="str">
            <v/>
          </cell>
        </row>
        <row r="247">
          <cell r="A247" t="str">
            <v>Jaromir Hammer</v>
          </cell>
          <cell r="B247">
            <v>1965</v>
          </cell>
          <cell r="C247" t="str">
            <v>Křižanov</v>
          </cell>
          <cell r="D247" t="str">
            <v>CZ/M</v>
          </cell>
          <cell r="E247" t="str">
            <v>M</v>
          </cell>
          <cell r="F247" t="str">
            <v/>
          </cell>
        </row>
        <row r="248">
          <cell r="A248" t="str">
            <v>Jaromir Hendrych</v>
          </cell>
          <cell r="B248">
            <v>1954</v>
          </cell>
          <cell r="C248" t="str">
            <v>Raná</v>
          </cell>
          <cell r="D248" t="str">
            <v>CZ/C2</v>
          </cell>
          <cell r="E248" t="str">
            <v>M</v>
          </cell>
          <cell r="F248" t="str">
            <v/>
          </cell>
        </row>
        <row r="249">
          <cell r="A249" t="str">
            <v>Jaromir Jedlicka</v>
          </cell>
          <cell r="B249">
            <v>1972</v>
          </cell>
          <cell r="C249" t="str">
            <v>Letňany</v>
          </cell>
          <cell r="D249" t="str">
            <v>CZ/C1</v>
          </cell>
          <cell r="E249" t="str">
            <v>M</v>
          </cell>
          <cell r="F249" t="str">
            <v/>
          </cell>
        </row>
        <row r="250">
          <cell r="A250" t="str">
            <v>Jaromir Macoun</v>
          </cell>
          <cell r="B250">
            <v>1999</v>
          </cell>
          <cell r="C250" t="str">
            <v>Jičín</v>
          </cell>
          <cell r="D250" t="str">
            <v>CZ/C2</v>
          </cell>
          <cell r="E250" t="str">
            <v>M</v>
          </cell>
          <cell r="F250" t="str">
            <v>Junior v roce 2024</v>
          </cell>
        </row>
        <row r="251">
          <cell r="A251" t="str">
            <v>Jaromir Pauer</v>
          </cell>
          <cell r="B251">
            <v>1974</v>
          </cell>
          <cell r="C251" t="str">
            <v>Hosín</v>
          </cell>
          <cell r="D251" t="str">
            <v>CZ/C1</v>
          </cell>
          <cell r="E251" t="str">
            <v>M</v>
          </cell>
          <cell r="F251" t="str">
            <v/>
          </cell>
        </row>
        <row r="252">
          <cell r="A252" t="str">
            <v>Jaromir Prokes</v>
          </cell>
          <cell r="B252">
            <v>1984</v>
          </cell>
          <cell r="C252" t="str">
            <v>Tábor</v>
          </cell>
          <cell r="D252" t="str">
            <v>CZ/C1</v>
          </cell>
          <cell r="E252" t="str">
            <v>M</v>
          </cell>
          <cell r="F252" t="str">
            <v/>
          </cell>
        </row>
        <row r="253">
          <cell r="A253" t="str">
            <v>Jaromir Simunek</v>
          </cell>
          <cell r="B253">
            <v>1975</v>
          </cell>
          <cell r="C253" t="str">
            <v>Rakovník</v>
          </cell>
          <cell r="D253" t="str">
            <v>CZ/C1</v>
          </cell>
          <cell r="E253" t="str">
            <v>M</v>
          </cell>
          <cell r="F253" t="str">
            <v/>
          </cell>
        </row>
        <row r="254">
          <cell r="A254" t="str">
            <v>Jaromir Vlk</v>
          </cell>
          <cell r="B254">
            <v>1959</v>
          </cell>
          <cell r="C254" t="str">
            <v>Šumperk</v>
          </cell>
          <cell r="D254" t="str">
            <v>CZ/M</v>
          </cell>
          <cell r="E254" t="str">
            <v>M</v>
          </cell>
          <cell r="F254" t="str">
            <v/>
          </cell>
        </row>
        <row r="255">
          <cell r="A255" t="str">
            <v>Jaroslav Bocek</v>
          </cell>
          <cell r="B255">
            <v>1962</v>
          </cell>
          <cell r="C255" t="str">
            <v>Turnov</v>
          </cell>
          <cell r="D255" t="str">
            <v>CZ/C2</v>
          </cell>
          <cell r="E255" t="str">
            <v>M</v>
          </cell>
          <cell r="F255" t="str">
            <v/>
          </cell>
        </row>
        <row r="256">
          <cell r="A256" t="str">
            <v>Jaroslav Buryan</v>
          </cell>
          <cell r="B256">
            <v>1953</v>
          </cell>
          <cell r="C256" t="str">
            <v>Zábřeh</v>
          </cell>
          <cell r="D256" t="str">
            <v>CZ/M</v>
          </cell>
          <cell r="E256" t="str">
            <v>M</v>
          </cell>
          <cell r="F256" t="str">
            <v/>
          </cell>
        </row>
        <row r="257">
          <cell r="A257" t="str">
            <v>Jaroslav Cempirek 51</v>
          </cell>
          <cell r="B257">
            <v>1951</v>
          </cell>
          <cell r="C257" t="str">
            <v>Jindřichův Hradec</v>
          </cell>
          <cell r="D257" t="str">
            <v>CZ/C1</v>
          </cell>
          <cell r="E257" t="str">
            <v>M</v>
          </cell>
          <cell r="F257" t="str">
            <v/>
          </cell>
        </row>
        <row r="258">
          <cell r="A258" t="str">
            <v>Jaroslav Cempirek 77</v>
          </cell>
          <cell r="B258">
            <v>1977</v>
          </cell>
          <cell r="C258" t="str">
            <v>Jihlava</v>
          </cell>
          <cell r="D258" t="str">
            <v>CZ/M</v>
          </cell>
          <cell r="E258" t="str">
            <v>M</v>
          </cell>
          <cell r="F258" t="str">
            <v/>
          </cell>
        </row>
        <row r="259">
          <cell r="A259" t="str">
            <v>Jaroslav Cejka</v>
          </cell>
          <cell r="B259">
            <v>1952</v>
          </cell>
          <cell r="C259" t="str">
            <v>Letkov</v>
          </cell>
          <cell r="D259" t="str">
            <v>CZ/C1</v>
          </cell>
          <cell r="E259" t="str">
            <v>M</v>
          </cell>
          <cell r="F259" t="str">
            <v/>
          </cell>
        </row>
        <row r="260">
          <cell r="A260" t="str">
            <v>Jaroslav Deml</v>
          </cell>
          <cell r="B260">
            <v>1986</v>
          </cell>
          <cell r="C260" t="str">
            <v>Hořice</v>
          </cell>
          <cell r="D260" t="str">
            <v>CZ/C2</v>
          </cell>
          <cell r="E260" t="str">
            <v>M</v>
          </cell>
          <cell r="F260" t="str">
            <v/>
          </cell>
        </row>
        <row r="261">
          <cell r="A261" t="str">
            <v>Jaroslav Florian</v>
          </cell>
          <cell r="B261">
            <v>1977</v>
          </cell>
          <cell r="C261" t="str">
            <v>Medlánky</v>
          </cell>
          <cell r="D261" t="str">
            <v>CZ/M</v>
          </cell>
          <cell r="E261" t="str">
            <v>M</v>
          </cell>
          <cell r="F261" t="str">
            <v/>
          </cell>
        </row>
        <row r="262">
          <cell r="A262" t="str">
            <v>Jaroslav Hendrych</v>
          </cell>
          <cell r="B262">
            <v>1946</v>
          </cell>
          <cell r="C262" t="str">
            <v>Příbram</v>
          </cell>
          <cell r="D262" t="str">
            <v>CZ/C1</v>
          </cell>
          <cell r="E262" t="str">
            <v>M</v>
          </cell>
          <cell r="F262" t="str">
            <v/>
          </cell>
        </row>
        <row r="263">
          <cell r="A263" t="str">
            <v>Jaroslav Hot</v>
          </cell>
          <cell r="B263">
            <v>1965</v>
          </cell>
          <cell r="C263" t="str">
            <v>Toužim</v>
          </cell>
          <cell r="D263" t="str">
            <v>CZ/C1</v>
          </cell>
          <cell r="E263" t="str">
            <v>M</v>
          </cell>
          <cell r="F263" t="str">
            <v/>
          </cell>
        </row>
        <row r="264">
          <cell r="A264" t="str">
            <v>Jaroslav Juracka</v>
          </cell>
          <cell r="B264">
            <v>1971</v>
          </cell>
          <cell r="C264" t="str">
            <v>Křižanov</v>
          </cell>
          <cell r="D264" t="str">
            <v>CZ/M</v>
          </cell>
          <cell r="E264" t="str">
            <v>M</v>
          </cell>
          <cell r="F264" t="str">
            <v/>
          </cell>
        </row>
        <row r="265">
          <cell r="A265" t="str">
            <v>Jaroslav Kacer</v>
          </cell>
          <cell r="B265">
            <v>1978</v>
          </cell>
          <cell r="C265" t="str">
            <v>Raná</v>
          </cell>
          <cell r="D265" t="str">
            <v>CZ/C2</v>
          </cell>
          <cell r="E265" t="str">
            <v>M</v>
          </cell>
          <cell r="F265" t="str">
            <v/>
          </cell>
        </row>
        <row r="266">
          <cell r="A266" t="str">
            <v>Jaroslav Kares</v>
          </cell>
          <cell r="B266">
            <v>1962</v>
          </cell>
          <cell r="C266" t="str">
            <v>Olomouc</v>
          </cell>
          <cell r="D266" t="str">
            <v>CZ/M</v>
          </cell>
          <cell r="E266" t="str">
            <v>M</v>
          </cell>
          <cell r="F266" t="str">
            <v/>
          </cell>
        </row>
        <row r="267">
          <cell r="A267" t="str">
            <v>Jaroslav Kral</v>
          </cell>
          <cell r="B267">
            <v>1961</v>
          </cell>
          <cell r="C267" t="str">
            <v>Přibyslav</v>
          </cell>
          <cell r="D267" t="str">
            <v>CZ/C2</v>
          </cell>
          <cell r="E267" t="str">
            <v>M</v>
          </cell>
          <cell r="F267" t="str">
            <v/>
          </cell>
        </row>
        <row r="268">
          <cell r="A268" t="str">
            <v>Jaroslav Marek</v>
          </cell>
          <cell r="B268">
            <v>1938</v>
          </cell>
          <cell r="C268" t="str">
            <v>Luhačovice</v>
          </cell>
          <cell r="D268" t="str">
            <v>CZ/M</v>
          </cell>
          <cell r="E268" t="str">
            <v>M</v>
          </cell>
          <cell r="F268" t="str">
            <v/>
          </cell>
        </row>
        <row r="269">
          <cell r="A269" t="str">
            <v>Jaroslav Nedorost</v>
          </cell>
          <cell r="B269">
            <v>1986</v>
          </cell>
          <cell r="C269" t="str">
            <v>Letňany</v>
          </cell>
          <cell r="D269" t="str">
            <v>CZ/C1</v>
          </cell>
          <cell r="E269" t="str">
            <v>M</v>
          </cell>
          <cell r="F269" t="str">
            <v/>
          </cell>
        </row>
        <row r="270">
          <cell r="A270" t="str">
            <v>Jaroslav Palicka</v>
          </cell>
          <cell r="B270">
            <v>1992</v>
          </cell>
          <cell r="C270" t="str">
            <v>Frýdlant</v>
          </cell>
          <cell r="D270" t="str">
            <v>CZ/M</v>
          </cell>
          <cell r="E270" t="str">
            <v>M</v>
          </cell>
          <cell r="F270" t="str">
            <v/>
          </cell>
        </row>
        <row r="271">
          <cell r="A271" t="str">
            <v>Jaroslav Petrasek</v>
          </cell>
          <cell r="B271">
            <v>1976</v>
          </cell>
          <cell r="C271" t="str">
            <v>Jičín</v>
          </cell>
          <cell r="D271" t="str">
            <v>CZ/C2</v>
          </cell>
          <cell r="E271" t="str">
            <v>M</v>
          </cell>
          <cell r="F271" t="str">
            <v/>
          </cell>
        </row>
        <row r="272">
          <cell r="A272" t="str">
            <v>Jaroslav Potmesil</v>
          </cell>
          <cell r="B272">
            <v>1964</v>
          </cell>
          <cell r="C272" t="str">
            <v>Zbraslavice</v>
          </cell>
          <cell r="D272" t="str">
            <v>CZ/C1</v>
          </cell>
          <cell r="E272" t="str">
            <v>M</v>
          </cell>
          <cell r="F272" t="str">
            <v/>
          </cell>
        </row>
        <row r="273">
          <cell r="A273" t="str">
            <v>Jaroslav Rapac</v>
          </cell>
          <cell r="B273">
            <v>1977</v>
          </cell>
          <cell r="C273" t="str">
            <v>Dvůr Králové</v>
          </cell>
          <cell r="D273" t="str">
            <v>CZ/C2</v>
          </cell>
          <cell r="E273" t="str">
            <v>M</v>
          </cell>
          <cell r="F273" t="str">
            <v/>
          </cell>
        </row>
        <row r="274">
          <cell r="A274" t="str">
            <v>Jaroslav Sefc</v>
          </cell>
          <cell r="B274">
            <v>1971</v>
          </cell>
          <cell r="C274" t="str">
            <v>Broumov</v>
          </cell>
          <cell r="D274" t="str">
            <v>CZ/C2</v>
          </cell>
          <cell r="E274" t="str">
            <v>M</v>
          </cell>
          <cell r="F274" t="str">
            <v/>
          </cell>
        </row>
        <row r="275">
          <cell r="A275" t="str">
            <v>Jaroslav Sima</v>
          </cell>
          <cell r="B275">
            <v>1972</v>
          </cell>
          <cell r="C275" t="str">
            <v>Chomutov</v>
          </cell>
          <cell r="D275" t="str">
            <v>CZ/C2</v>
          </cell>
          <cell r="E275" t="str">
            <v>M</v>
          </cell>
          <cell r="F275" t="str">
            <v/>
          </cell>
        </row>
        <row r="276">
          <cell r="A276" t="str">
            <v>Jaroslav Simek</v>
          </cell>
          <cell r="B276">
            <v>1968</v>
          </cell>
          <cell r="C276" t="str">
            <v>Letkov</v>
          </cell>
          <cell r="D276" t="str">
            <v>CZ/C1</v>
          </cell>
          <cell r="E276" t="str">
            <v>M</v>
          </cell>
          <cell r="F276" t="str">
            <v/>
          </cell>
        </row>
        <row r="277">
          <cell r="A277" t="str">
            <v>Jaroslav Szakal</v>
          </cell>
          <cell r="B277">
            <v>1955</v>
          </cell>
          <cell r="C277" t="str">
            <v>Jaroměř</v>
          </cell>
          <cell r="D277" t="str">
            <v>CZ/C2</v>
          </cell>
          <cell r="E277" t="str">
            <v>M</v>
          </cell>
          <cell r="F277" t="str">
            <v/>
          </cell>
        </row>
        <row r="278">
          <cell r="A278" t="str">
            <v>Jaroslav Tomana</v>
          </cell>
          <cell r="B278">
            <v>1975</v>
          </cell>
          <cell r="C278" t="str">
            <v>Zbraslavice</v>
          </cell>
          <cell r="D278" t="str">
            <v>CZ/C1</v>
          </cell>
          <cell r="E278" t="str">
            <v>M</v>
          </cell>
          <cell r="F278" t="str">
            <v/>
          </cell>
        </row>
        <row r="279">
          <cell r="A279" t="str">
            <v>Jaroslav Tyls</v>
          </cell>
          <cell r="B279">
            <v>1941</v>
          </cell>
          <cell r="C279" t="str">
            <v>Hronov</v>
          </cell>
          <cell r="D279" t="str">
            <v>CZ/C2</v>
          </cell>
          <cell r="E279" t="str">
            <v>M</v>
          </cell>
          <cell r="F279" t="str">
            <v/>
          </cell>
        </row>
        <row r="280">
          <cell r="A280" t="str">
            <v>Jaroslav Vancata</v>
          </cell>
          <cell r="B280">
            <v>1985</v>
          </cell>
          <cell r="C280" t="str">
            <v>Raná</v>
          </cell>
          <cell r="D280" t="str">
            <v>CZ/C2</v>
          </cell>
          <cell r="E280" t="str">
            <v>M</v>
          </cell>
          <cell r="F280" t="str">
            <v/>
          </cell>
        </row>
        <row r="281">
          <cell r="A281" t="str">
            <v>Jaroslav Zavrel</v>
          </cell>
          <cell r="B281">
            <v>1971</v>
          </cell>
          <cell r="C281" t="str">
            <v>Medlánky</v>
          </cell>
          <cell r="D281" t="str">
            <v>CZ/M</v>
          </cell>
          <cell r="E281" t="str">
            <v>M</v>
          </cell>
          <cell r="F281" t="str">
            <v/>
          </cell>
        </row>
        <row r="282">
          <cell r="A282" t="str">
            <v>Jindrich Hala</v>
          </cell>
          <cell r="B282">
            <v>1989</v>
          </cell>
          <cell r="C282" t="str">
            <v>Rakovník</v>
          </cell>
          <cell r="D282" t="str">
            <v>CZ/C1</v>
          </cell>
          <cell r="E282" t="str">
            <v>M</v>
          </cell>
          <cell r="F282" t="str">
            <v/>
          </cell>
        </row>
        <row r="283">
          <cell r="A283" t="str">
            <v>Jindrich Hruska</v>
          </cell>
          <cell r="B283">
            <v>1986</v>
          </cell>
          <cell r="C283" t="str">
            <v>Soběslav</v>
          </cell>
          <cell r="D283" t="str">
            <v>CZ/C1</v>
          </cell>
          <cell r="E283" t="str">
            <v>M</v>
          </cell>
          <cell r="F283" t="str">
            <v/>
          </cell>
        </row>
        <row r="284">
          <cell r="A284" t="str">
            <v>Jindrich Svorc</v>
          </cell>
          <cell r="B284">
            <v>1978</v>
          </cell>
          <cell r="C284" t="str">
            <v>Letňany</v>
          </cell>
          <cell r="D284" t="str">
            <v>CZ/C1</v>
          </cell>
          <cell r="E284" t="str">
            <v>M</v>
          </cell>
          <cell r="F284" t="str">
            <v/>
          </cell>
        </row>
        <row r="285">
          <cell r="A285" t="str">
            <v>Jindriska Sloukova</v>
          </cell>
          <cell r="B285">
            <v>1973</v>
          </cell>
          <cell r="C285" t="str">
            <v>Medlánky</v>
          </cell>
          <cell r="D285" t="str">
            <v>CZ/M</v>
          </cell>
          <cell r="E285" t="str">
            <v>F</v>
          </cell>
          <cell r="F285" t="str">
            <v/>
          </cell>
        </row>
        <row r="286">
          <cell r="A286" t="str">
            <v>Jirka Rybar</v>
          </cell>
          <cell r="B286">
            <v>1958</v>
          </cell>
          <cell r="C286" t="str">
            <v>Hodkovice</v>
          </cell>
          <cell r="D286" t="str">
            <v>CZ/C2</v>
          </cell>
          <cell r="E286" t="str">
            <v>M</v>
          </cell>
          <cell r="F286" t="str">
            <v/>
          </cell>
        </row>
        <row r="287">
          <cell r="A287" t="str">
            <v>Jiri Balak</v>
          </cell>
          <cell r="B287">
            <v>1978</v>
          </cell>
          <cell r="C287" t="str">
            <v>Zbraslavice</v>
          </cell>
          <cell r="D287" t="str">
            <v>CZ/C1</v>
          </cell>
          <cell r="E287" t="str">
            <v>M</v>
          </cell>
          <cell r="F287" t="str">
            <v/>
          </cell>
        </row>
        <row r="288">
          <cell r="A288" t="str">
            <v>Jiri Bartak</v>
          </cell>
          <cell r="B288">
            <v>1978</v>
          </cell>
          <cell r="C288" t="str">
            <v>Letkov</v>
          </cell>
          <cell r="D288" t="str">
            <v>CZ/C1</v>
          </cell>
          <cell r="E288" t="str">
            <v>M</v>
          </cell>
          <cell r="F288" t="str">
            <v/>
          </cell>
        </row>
        <row r="289">
          <cell r="A289" t="str">
            <v>Jiri Bastl</v>
          </cell>
          <cell r="B289">
            <v>1944</v>
          </cell>
          <cell r="C289" t="str">
            <v>Turnov</v>
          </cell>
          <cell r="D289" t="str">
            <v>CZ/C2</v>
          </cell>
          <cell r="E289" t="str">
            <v>M</v>
          </cell>
          <cell r="F289" t="str">
            <v/>
          </cell>
        </row>
        <row r="290">
          <cell r="A290" t="str">
            <v>Jiri Bojko</v>
          </cell>
          <cell r="B290">
            <v>1959</v>
          </cell>
          <cell r="C290" t="str">
            <v>Krnov</v>
          </cell>
          <cell r="D290" t="str">
            <v>CZ/M</v>
          </cell>
          <cell r="E290" t="str">
            <v>M</v>
          </cell>
          <cell r="F290" t="str">
            <v/>
          </cell>
        </row>
        <row r="291">
          <cell r="A291" t="str">
            <v>Jiri Bulanek</v>
          </cell>
          <cell r="B291">
            <v>1983</v>
          </cell>
          <cell r="C291" t="str">
            <v>Rakovník</v>
          </cell>
          <cell r="D291" t="str">
            <v>CZ/C1</v>
          </cell>
          <cell r="E291" t="str">
            <v>M</v>
          </cell>
          <cell r="F291" t="str">
            <v/>
          </cell>
        </row>
        <row r="292">
          <cell r="A292" t="str">
            <v>Jiri Cincera</v>
          </cell>
          <cell r="B292">
            <v>1966</v>
          </cell>
          <cell r="C292" t="str">
            <v>Toužim</v>
          </cell>
          <cell r="D292" t="str">
            <v>CZ/C1</v>
          </cell>
          <cell r="E292" t="str">
            <v>M</v>
          </cell>
          <cell r="F292" t="str">
            <v/>
          </cell>
        </row>
        <row r="293">
          <cell r="A293" t="str">
            <v>Jiri Dockal</v>
          </cell>
          <cell r="B293">
            <v>1982</v>
          </cell>
          <cell r="C293" t="str">
            <v>Letňany</v>
          </cell>
          <cell r="D293" t="str">
            <v>CZ/C1</v>
          </cell>
          <cell r="E293" t="str">
            <v>M</v>
          </cell>
          <cell r="F293" t="str">
            <v/>
          </cell>
        </row>
        <row r="294">
          <cell r="A294" t="str">
            <v>Jiri Donat</v>
          </cell>
          <cell r="B294">
            <v>1983</v>
          </cell>
          <cell r="C294" t="str">
            <v>Letňany</v>
          </cell>
          <cell r="D294" t="str">
            <v>CZ/C1</v>
          </cell>
          <cell r="E294" t="str">
            <v>M</v>
          </cell>
          <cell r="F294" t="str">
            <v/>
          </cell>
        </row>
        <row r="295">
          <cell r="A295" t="str">
            <v>Jiri Fousek</v>
          </cell>
          <cell r="B295">
            <v>1990</v>
          </cell>
          <cell r="C295" t="str">
            <v>Raná</v>
          </cell>
          <cell r="D295" t="str">
            <v>CZ/C2</v>
          </cell>
          <cell r="E295" t="str">
            <v>M</v>
          </cell>
          <cell r="F295" t="str">
            <v/>
          </cell>
        </row>
        <row r="296">
          <cell r="A296" t="str">
            <v>Jiri Hendrych</v>
          </cell>
          <cell r="B296">
            <v>1943</v>
          </cell>
          <cell r="C296" t="str">
            <v>Točná</v>
          </cell>
          <cell r="D296" t="str">
            <v>CZ/C1</v>
          </cell>
          <cell r="E296" t="str">
            <v>M</v>
          </cell>
          <cell r="F296" t="str">
            <v/>
          </cell>
        </row>
        <row r="297">
          <cell r="A297" t="str">
            <v>Jiri Hodan</v>
          </cell>
          <cell r="B297">
            <v>1959</v>
          </cell>
          <cell r="C297" t="str">
            <v>Zbraslavice</v>
          </cell>
          <cell r="D297" t="str">
            <v>CZ/C1</v>
          </cell>
          <cell r="E297" t="str">
            <v>M</v>
          </cell>
          <cell r="F297" t="str">
            <v/>
          </cell>
        </row>
        <row r="298">
          <cell r="A298" t="str">
            <v>Jiri Holcman</v>
          </cell>
          <cell r="B298">
            <v>1976</v>
          </cell>
          <cell r="C298" t="str">
            <v>Hosín</v>
          </cell>
          <cell r="D298" t="str">
            <v>CZ/C1</v>
          </cell>
          <cell r="E298" t="str">
            <v>M</v>
          </cell>
          <cell r="F298" t="str">
            <v/>
          </cell>
        </row>
        <row r="299">
          <cell r="A299" t="str">
            <v>Jiri Horak</v>
          </cell>
          <cell r="B299">
            <v>1971</v>
          </cell>
          <cell r="C299" t="str">
            <v>Kladno</v>
          </cell>
          <cell r="D299" t="str">
            <v>CZ/C1</v>
          </cell>
          <cell r="E299" t="str">
            <v>M</v>
          </cell>
          <cell r="F299" t="str">
            <v/>
          </cell>
        </row>
        <row r="300">
          <cell r="A300" t="str">
            <v>Jiri Hula</v>
          </cell>
          <cell r="B300">
            <v>1973</v>
          </cell>
          <cell r="C300" t="str">
            <v>Slaný</v>
          </cell>
          <cell r="D300" t="str">
            <v>CZ/C1</v>
          </cell>
          <cell r="E300" t="str">
            <v>M</v>
          </cell>
          <cell r="F300" t="str">
            <v/>
          </cell>
        </row>
        <row r="301">
          <cell r="A301" t="str">
            <v>Jiri Janda</v>
          </cell>
          <cell r="B301">
            <v>1966</v>
          </cell>
          <cell r="C301" t="str">
            <v>Letňany</v>
          </cell>
          <cell r="D301" t="str">
            <v>CZ/C1</v>
          </cell>
          <cell r="E301" t="str">
            <v>M</v>
          </cell>
          <cell r="F301" t="str">
            <v/>
          </cell>
        </row>
        <row r="302">
          <cell r="A302" t="str">
            <v>Jiri Jirmus</v>
          </cell>
          <cell r="B302">
            <v>2003</v>
          </cell>
          <cell r="C302" t="str">
            <v>Tábor</v>
          </cell>
          <cell r="D302" t="str">
            <v>CZ/C1</v>
          </cell>
          <cell r="E302" t="str">
            <v>M</v>
          </cell>
          <cell r="F302" t="str">
            <v>Junior v roce 2024</v>
          </cell>
        </row>
        <row r="303">
          <cell r="A303" t="str">
            <v>Jiri Klicnar</v>
          </cell>
          <cell r="B303">
            <v>1965</v>
          </cell>
          <cell r="C303" t="str">
            <v>Medlánky</v>
          </cell>
          <cell r="D303" t="str">
            <v>CZ/M</v>
          </cell>
          <cell r="E303" t="str">
            <v>M</v>
          </cell>
          <cell r="F303" t="str">
            <v/>
          </cell>
        </row>
        <row r="304">
          <cell r="A304" t="str">
            <v>Jiri Kobik</v>
          </cell>
          <cell r="B304">
            <v>1952</v>
          </cell>
          <cell r="C304" t="str">
            <v>Hořice</v>
          </cell>
          <cell r="D304" t="str">
            <v>CZ/C2</v>
          </cell>
          <cell r="E304" t="str">
            <v>M</v>
          </cell>
          <cell r="F304" t="str">
            <v/>
          </cell>
        </row>
        <row r="305">
          <cell r="A305" t="str">
            <v>Jiri Kohoutek</v>
          </cell>
          <cell r="B305">
            <v>1983</v>
          </cell>
          <cell r="C305" t="str">
            <v>Olomouc</v>
          </cell>
          <cell r="D305" t="str">
            <v>CZ/M</v>
          </cell>
          <cell r="E305" t="str">
            <v>M</v>
          </cell>
          <cell r="F305" t="str">
            <v/>
          </cell>
        </row>
        <row r="306">
          <cell r="A306" t="str">
            <v>Jiri Kokrment</v>
          </cell>
          <cell r="B306">
            <v>1950</v>
          </cell>
          <cell r="C306" t="str">
            <v>Frýdlant</v>
          </cell>
          <cell r="D306" t="str">
            <v>CZ/M</v>
          </cell>
          <cell r="E306" t="str">
            <v>M</v>
          </cell>
          <cell r="F306" t="str">
            <v/>
          </cell>
        </row>
        <row r="307">
          <cell r="A307" t="str">
            <v>Jiri Koudela</v>
          </cell>
          <cell r="B307">
            <v>1974</v>
          </cell>
          <cell r="C307" t="str">
            <v>Vyškov</v>
          </cell>
          <cell r="D307" t="str">
            <v>CZ/M</v>
          </cell>
          <cell r="E307" t="str">
            <v>M</v>
          </cell>
          <cell r="F307" t="str">
            <v/>
          </cell>
        </row>
        <row r="308">
          <cell r="A308" t="str">
            <v>Jiri Kratochvil</v>
          </cell>
          <cell r="B308">
            <v>2003</v>
          </cell>
          <cell r="C308" t="str">
            <v>Podhořany</v>
          </cell>
          <cell r="D308" t="str">
            <v>CZ/C2</v>
          </cell>
          <cell r="E308" t="str">
            <v>M</v>
          </cell>
          <cell r="F308" t="str">
            <v>Junior v roce 2024</v>
          </cell>
        </row>
        <row r="309">
          <cell r="A309" t="str">
            <v>Jiri Krofta</v>
          </cell>
          <cell r="B309">
            <v>1988</v>
          </cell>
          <cell r="C309" t="str">
            <v>Hosín</v>
          </cell>
          <cell r="D309" t="str">
            <v>CZ/C1</v>
          </cell>
          <cell r="E309" t="str">
            <v>M</v>
          </cell>
          <cell r="F309" t="str">
            <v/>
          </cell>
        </row>
        <row r="310">
          <cell r="A310" t="str">
            <v>Jiri Krticka</v>
          </cell>
          <cell r="B310">
            <v>1965</v>
          </cell>
          <cell r="C310" t="str">
            <v>Jaroměř</v>
          </cell>
          <cell r="D310" t="str">
            <v>CZ/C2</v>
          </cell>
          <cell r="E310" t="str">
            <v>M</v>
          </cell>
          <cell r="F310" t="str">
            <v/>
          </cell>
        </row>
        <row r="311">
          <cell r="A311" t="str">
            <v>Jiri Krzanowski</v>
          </cell>
          <cell r="B311">
            <v>1944</v>
          </cell>
          <cell r="C311" t="str">
            <v>Letkov</v>
          </cell>
          <cell r="D311" t="str">
            <v>CZ/C1</v>
          </cell>
          <cell r="E311" t="str">
            <v>M</v>
          </cell>
          <cell r="F311" t="str">
            <v/>
          </cell>
        </row>
        <row r="312">
          <cell r="A312" t="str">
            <v>Jiri Kupec</v>
          </cell>
          <cell r="B312">
            <v>1960</v>
          </cell>
          <cell r="C312" t="str">
            <v>Medlánky</v>
          </cell>
          <cell r="D312" t="str">
            <v>CZ/M</v>
          </cell>
          <cell r="E312" t="str">
            <v>M</v>
          </cell>
          <cell r="F312" t="str">
            <v/>
          </cell>
        </row>
        <row r="313">
          <cell r="A313" t="str">
            <v>Jiri Kusbach</v>
          </cell>
          <cell r="B313">
            <v>1959</v>
          </cell>
          <cell r="C313" t="str">
            <v>Luhačovice</v>
          </cell>
          <cell r="D313" t="str">
            <v>CZ/M</v>
          </cell>
          <cell r="E313" t="str">
            <v>M</v>
          </cell>
          <cell r="F313" t="str">
            <v/>
          </cell>
        </row>
        <row r="314">
          <cell r="A314" t="str">
            <v>Jiri Kyslik</v>
          </cell>
          <cell r="B314">
            <v>1968</v>
          </cell>
          <cell r="C314" t="str">
            <v>Česká Lípa</v>
          </cell>
          <cell r="D314" t="str">
            <v>CZ/C2</v>
          </cell>
          <cell r="E314" t="str">
            <v>M</v>
          </cell>
          <cell r="F314" t="str">
            <v/>
          </cell>
        </row>
        <row r="315">
          <cell r="A315" t="str">
            <v>Jiri Lenik</v>
          </cell>
          <cell r="B315">
            <v>1947</v>
          </cell>
          <cell r="C315" t="str">
            <v>Raná</v>
          </cell>
          <cell r="D315" t="str">
            <v>CZ/C2</v>
          </cell>
          <cell r="E315" t="str">
            <v>M</v>
          </cell>
          <cell r="F315" t="str">
            <v/>
          </cell>
        </row>
        <row r="316">
          <cell r="A316" t="str">
            <v>Jiri Maier 66</v>
          </cell>
          <cell r="B316">
            <v>1966</v>
          </cell>
          <cell r="C316" t="str">
            <v>Raná</v>
          </cell>
          <cell r="D316" t="str">
            <v>CZ/C2</v>
          </cell>
          <cell r="E316" t="str">
            <v>M</v>
          </cell>
          <cell r="F316" t="str">
            <v/>
          </cell>
        </row>
        <row r="317">
          <cell r="A317" t="str">
            <v>Jiri Maier 99</v>
          </cell>
          <cell r="B317">
            <v>1999</v>
          </cell>
          <cell r="C317" t="str">
            <v>Raná</v>
          </cell>
          <cell r="D317" t="str">
            <v>CZ/C2</v>
          </cell>
          <cell r="E317" t="str">
            <v>M</v>
          </cell>
          <cell r="F317" t="str">
            <v>Junior v roce 2024</v>
          </cell>
        </row>
        <row r="318">
          <cell r="A318" t="str">
            <v>Jiri Mlejnek</v>
          </cell>
          <cell r="B318">
            <v>1984</v>
          </cell>
          <cell r="C318" t="str">
            <v>Mladá Boleslav</v>
          </cell>
          <cell r="D318" t="str">
            <v>CZ/C1</v>
          </cell>
          <cell r="E318" t="str">
            <v>M</v>
          </cell>
          <cell r="F318" t="str">
            <v/>
          </cell>
        </row>
        <row r="319">
          <cell r="A319" t="str">
            <v>Jiri Obst</v>
          </cell>
          <cell r="B319">
            <v>1964</v>
          </cell>
          <cell r="C319" t="str">
            <v>Vrchlabí</v>
          </cell>
          <cell r="D319" t="str">
            <v>CZ/C2</v>
          </cell>
          <cell r="E319" t="str">
            <v>M</v>
          </cell>
          <cell r="F319" t="str">
            <v/>
          </cell>
        </row>
        <row r="320">
          <cell r="A320" t="str">
            <v>Jiri Pajer</v>
          </cell>
          <cell r="B320">
            <v>1977</v>
          </cell>
          <cell r="C320" t="str">
            <v>Zbraslavice</v>
          </cell>
          <cell r="D320" t="str">
            <v>CZ/C1</v>
          </cell>
          <cell r="E320" t="str">
            <v>M</v>
          </cell>
          <cell r="F320" t="str">
            <v/>
          </cell>
        </row>
        <row r="321">
          <cell r="A321" t="str">
            <v>Jiri Pelucha</v>
          </cell>
          <cell r="B321">
            <v>1984</v>
          </cell>
          <cell r="C321" t="str">
            <v>Frýdlant</v>
          </cell>
          <cell r="D321" t="str">
            <v>CZ/M</v>
          </cell>
          <cell r="E321" t="str">
            <v>M</v>
          </cell>
          <cell r="F321" t="str">
            <v/>
          </cell>
        </row>
        <row r="322">
          <cell r="A322" t="str">
            <v>Jiri Pesta</v>
          </cell>
          <cell r="B322">
            <v>1973</v>
          </cell>
          <cell r="C322" t="str">
            <v>Dvůr Králové</v>
          </cell>
          <cell r="D322" t="str">
            <v>CZ/C2</v>
          </cell>
          <cell r="E322" t="str">
            <v>M</v>
          </cell>
          <cell r="F322" t="str">
            <v/>
          </cell>
        </row>
        <row r="323">
          <cell r="A323" t="str">
            <v>Jiri Peterka</v>
          </cell>
          <cell r="B323">
            <v>1951</v>
          </cell>
          <cell r="C323" t="str">
            <v>Křižanov</v>
          </cell>
          <cell r="D323" t="str">
            <v>CZ/M</v>
          </cell>
          <cell r="E323" t="str">
            <v>M</v>
          </cell>
          <cell r="F323" t="str">
            <v/>
          </cell>
        </row>
        <row r="324">
          <cell r="A324" t="str">
            <v>Jiri Piskaty</v>
          </cell>
          <cell r="B324">
            <v>1962</v>
          </cell>
          <cell r="C324" t="str">
            <v>Kunovice</v>
          </cell>
          <cell r="D324" t="str">
            <v>CZ/M</v>
          </cell>
          <cell r="E324" t="str">
            <v>M</v>
          </cell>
          <cell r="F324" t="str">
            <v/>
          </cell>
        </row>
        <row r="325">
          <cell r="A325" t="str">
            <v>Jiri Pixa</v>
          </cell>
          <cell r="B325">
            <v>1968</v>
          </cell>
          <cell r="C325" t="str">
            <v>Slaný</v>
          </cell>
          <cell r="D325" t="str">
            <v>CZ/C1</v>
          </cell>
          <cell r="E325" t="str">
            <v>M</v>
          </cell>
          <cell r="F325" t="str">
            <v/>
          </cell>
        </row>
        <row r="326">
          <cell r="A326" t="str">
            <v>Jiri Prochazka</v>
          </cell>
          <cell r="B326">
            <v>1971</v>
          </cell>
          <cell r="C326" t="str">
            <v>Toužim</v>
          </cell>
          <cell r="D326" t="str">
            <v>CZ/C1</v>
          </cell>
          <cell r="E326" t="str">
            <v>M</v>
          </cell>
          <cell r="F326" t="str">
            <v/>
          </cell>
        </row>
        <row r="327">
          <cell r="A327" t="str">
            <v>Jiri Prucha</v>
          </cell>
          <cell r="B327">
            <v>1963</v>
          </cell>
          <cell r="C327" t="str">
            <v>Chomutov</v>
          </cell>
          <cell r="D327" t="str">
            <v>CZ/C2</v>
          </cell>
          <cell r="E327" t="str">
            <v>M</v>
          </cell>
          <cell r="F327" t="str">
            <v/>
          </cell>
        </row>
        <row r="328">
          <cell r="A328" t="str">
            <v>Jiri Skarka</v>
          </cell>
          <cell r="B328">
            <v>1965</v>
          </cell>
          <cell r="C328" t="str">
            <v>Chomutov</v>
          </cell>
          <cell r="D328" t="str">
            <v>CZ/C2</v>
          </cell>
          <cell r="E328" t="str">
            <v>M</v>
          </cell>
          <cell r="F328" t="str">
            <v/>
          </cell>
        </row>
        <row r="329">
          <cell r="A329" t="str">
            <v>Jiri Slouka</v>
          </cell>
          <cell r="B329">
            <v>1967</v>
          </cell>
          <cell r="C329" t="str">
            <v>Medlánky</v>
          </cell>
          <cell r="D329" t="str">
            <v>CZ/M</v>
          </cell>
          <cell r="E329" t="str">
            <v>M</v>
          </cell>
          <cell r="F329" t="str">
            <v/>
          </cell>
        </row>
        <row r="330">
          <cell r="A330" t="str">
            <v>Jiri Sohr</v>
          </cell>
          <cell r="B330">
            <v>1960</v>
          </cell>
          <cell r="C330" t="str">
            <v>Šumperk</v>
          </cell>
          <cell r="D330" t="str">
            <v>CZ/M</v>
          </cell>
          <cell r="E330" t="str">
            <v>M</v>
          </cell>
          <cell r="F330" t="str">
            <v/>
          </cell>
        </row>
        <row r="331">
          <cell r="A331" t="str">
            <v>Jiri Steiger</v>
          </cell>
          <cell r="B331">
            <v>1969</v>
          </cell>
          <cell r="C331" t="str">
            <v>Olomouc</v>
          </cell>
          <cell r="D331" t="str">
            <v>CZ/M</v>
          </cell>
          <cell r="E331" t="str">
            <v>M</v>
          </cell>
          <cell r="F331" t="str">
            <v/>
          </cell>
        </row>
        <row r="332">
          <cell r="A332" t="str">
            <v>Jiri Suchomel</v>
          </cell>
          <cell r="B332">
            <v>1950</v>
          </cell>
          <cell r="C332" t="str">
            <v>Broumov</v>
          </cell>
          <cell r="D332" t="str">
            <v>CZ/C2</v>
          </cell>
          <cell r="E332" t="str">
            <v>M</v>
          </cell>
          <cell r="F332" t="str">
            <v/>
          </cell>
        </row>
        <row r="333">
          <cell r="A333" t="str">
            <v>Jiri Slemr</v>
          </cell>
          <cell r="B333">
            <v>1979</v>
          </cell>
          <cell r="C333" t="str">
            <v>Vysoké Mýto</v>
          </cell>
          <cell r="D333" t="str">
            <v>CZ/C2</v>
          </cell>
          <cell r="E333" t="str">
            <v>M</v>
          </cell>
          <cell r="F333" t="str">
            <v/>
          </cell>
        </row>
        <row r="334">
          <cell r="A334" t="str">
            <v>Jiri Stepanek</v>
          </cell>
          <cell r="B334">
            <v>1956</v>
          </cell>
          <cell r="C334" t="str">
            <v>Moravská Třebová</v>
          </cell>
          <cell r="D334" t="str">
            <v>CZ/M</v>
          </cell>
          <cell r="E334" t="str">
            <v>M</v>
          </cell>
          <cell r="F334" t="str">
            <v/>
          </cell>
        </row>
        <row r="335">
          <cell r="A335" t="str">
            <v>Jiri Tomicek</v>
          </cell>
          <cell r="B335">
            <v>1947</v>
          </cell>
          <cell r="C335" t="str">
            <v>Dvůr Králové</v>
          </cell>
          <cell r="D335" t="str">
            <v>CZ/C2</v>
          </cell>
          <cell r="E335" t="str">
            <v>M</v>
          </cell>
          <cell r="F335" t="str">
            <v/>
          </cell>
        </row>
        <row r="336">
          <cell r="A336" t="str">
            <v>Jiri Valentr</v>
          </cell>
          <cell r="B336">
            <v>1947</v>
          </cell>
          <cell r="C336" t="str">
            <v>Rakovník</v>
          </cell>
          <cell r="D336" t="str">
            <v>CZ/C1</v>
          </cell>
          <cell r="E336" t="str">
            <v>M</v>
          </cell>
          <cell r="F336" t="str">
            <v/>
          </cell>
        </row>
        <row r="337">
          <cell r="A337" t="str">
            <v>Jiri Vavrina</v>
          </cell>
          <cell r="B337">
            <v>1958</v>
          </cell>
          <cell r="C337" t="str">
            <v>Kyjov</v>
          </cell>
          <cell r="D337" t="str">
            <v>CZ/M</v>
          </cell>
          <cell r="E337" t="str">
            <v>M</v>
          </cell>
          <cell r="F337" t="str">
            <v/>
          </cell>
        </row>
        <row r="338">
          <cell r="A338" t="str">
            <v>Jiri Veprek</v>
          </cell>
          <cell r="B338">
            <v>1959</v>
          </cell>
          <cell r="C338" t="str">
            <v>Dvůr Králové</v>
          </cell>
          <cell r="D338" t="str">
            <v>CZ/C2</v>
          </cell>
          <cell r="E338" t="str">
            <v>M</v>
          </cell>
          <cell r="F338" t="str">
            <v/>
          </cell>
        </row>
        <row r="339">
          <cell r="A339" t="str">
            <v>Jiri Vokrinek</v>
          </cell>
          <cell r="B339">
            <v>1965</v>
          </cell>
          <cell r="C339" t="str">
            <v>Hodkovice</v>
          </cell>
          <cell r="D339" t="str">
            <v>CZ/C2</v>
          </cell>
          <cell r="E339" t="str">
            <v>M</v>
          </cell>
          <cell r="F339" t="str">
            <v/>
          </cell>
        </row>
        <row r="340">
          <cell r="A340" t="str">
            <v>Jiri Vondracek</v>
          </cell>
          <cell r="B340">
            <v>1989</v>
          </cell>
          <cell r="C340" t="str">
            <v>Kladno</v>
          </cell>
          <cell r="D340" t="str">
            <v>CZ/C1</v>
          </cell>
          <cell r="E340" t="str">
            <v>M</v>
          </cell>
          <cell r="F340" t="str">
            <v/>
          </cell>
        </row>
        <row r="341">
          <cell r="A341" t="str">
            <v>Jiri Zablatzky</v>
          </cell>
          <cell r="B341">
            <v>1978</v>
          </cell>
          <cell r="C341" t="str">
            <v>Hranice</v>
          </cell>
          <cell r="D341" t="str">
            <v>CZ/M</v>
          </cell>
          <cell r="E341" t="str">
            <v>M</v>
          </cell>
          <cell r="F341" t="str">
            <v/>
          </cell>
        </row>
        <row r="342">
          <cell r="A342" t="str">
            <v>Jitka Hromkova</v>
          </cell>
          <cell r="B342">
            <v>1985</v>
          </cell>
          <cell r="C342" t="str">
            <v>Šumperk</v>
          </cell>
          <cell r="D342" t="str">
            <v>CZ/M</v>
          </cell>
          <cell r="E342" t="str">
            <v>F</v>
          </cell>
          <cell r="F342" t="str">
            <v/>
          </cell>
        </row>
        <row r="343">
          <cell r="A343" t="str">
            <v>Jitka Skalova</v>
          </cell>
          <cell r="B343">
            <v>1955</v>
          </cell>
          <cell r="C343" t="str">
            <v>Zbraslavice</v>
          </cell>
          <cell r="D343" t="str">
            <v>CZ/C1</v>
          </cell>
          <cell r="E343" t="str">
            <v>F</v>
          </cell>
          <cell r="F343" t="str">
            <v/>
          </cell>
        </row>
        <row r="344">
          <cell r="A344" t="str">
            <v>Jitka Zimova</v>
          </cell>
          <cell r="B344">
            <v>1981</v>
          </cell>
          <cell r="C344" t="str">
            <v>Hodkovice</v>
          </cell>
          <cell r="D344" t="str">
            <v>CZ/C2</v>
          </cell>
          <cell r="E344" t="str">
            <v>F</v>
          </cell>
          <cell r="F344" t="str">
            <v/>
          </cell>
        </row>
        <row r="345">
          <cell r="A345" t="str">
            <v>Josef Andrasovsky</v>
          </cell>
          <cell r="B345">
            <v>1954</v>
          </cell>
          <cell r="C345" t="str">
            <v>Jaroměř</v>
          </cell>
          <cell r="D345" t="str">
            <v>CZ/C2</v>
          </cell>
          <cell r="E345" t="str">
            <v>M</v>
          </cell>
          <cell r="F345" t="str">
            <v/>
          </cell>
        </row>
        <row r="346">
          <cell r="A346" t="str">
            <v>Josef Bacina</v>
          </cell>
          <cell r="B346">
            <v>1976</v>
          </cell>
          <cell r="C346" t="str">
            <v>Vysoké Mýto</v>
          </cell>
          <cell r="D346" t="str">
            <v>CZ/C2</v>
          </cell>
          <cell r="E346" t="str">
            <v>M</v>
          </cell>
          <cell r="F346" t="str">
            <v/>
          </cell>
        </row>
        <row r="347">
          <cell r="A347" t="str">
            <v>Josef Barta</v>
          </cell>
          <cell r="B347">
            <v>1977</v>
          </cell>
          <cell r="C347" t="str">
            <v>Vysoké Mýto</v>
          </cell>
          <cell r="D347" t="str">
            <v>CZ/C2</v>
          </cell>
          <cell r="E347" t="str">
            <v>M</v>
          </cell>
          <cell r="F347" t="str">
            <v/>
          </cell>
        </row>
        <row r="348">
          <cell r="A348" t="str">
            <v>Josef Bostik</v>
          </cell>
          <cell r="B348">
            <v>1963</v>
          </cell>
          <cell r="C348" t="str">
            <v>GAC Benešov</v>
          </cell>
          <cell r="D348" t="str">
            <v>CZ/C1</v>
          </cell>
          <cell r="E348" t="str">
            <v>M</v>
          </cell>
          <cell r="F348" t="str">
            <v/>
          </cell>
        </row>
        <row r="349">
          <cell r="A349" t="str">
            <v>Josef Busek</v>
          </cell>
          <cell r="B349">
            <v>1967</v>
          </cell>
          <cell r="C349" t="str">
            <v>Hosín</v>
          </cell>
          <cell r="D349" t="str">
            <v>CZ/C1</v>
          </cell>
          <cell r="E349" t="str">
            <v>M</v>
          </cell>
          <cell r="F349" t="str">
            <v/>
          </cell>
        </row>
        <row r="350">
          <cell r="A350" t="str">
            <v>Josef Hlusek</v>
          </cell>
          <cell r="B350">
            <v>1993</v>
          </cell>
          <cell r="C350" t="str">
            <v>Kunovice</v>
          </cell>
          <cell r="D350" t="str">
            <v>CZ/M</v>
          </cell>
          <cell r="E350" t="str">
            <v>M</v>
          </cell>
          <cell r="F350" t="str">
            <v/>
          </cell>
        </row>
        <row r="351">
          <cell r="A351" t="str">
            <v>Josef Kolman</v>
          </cell>
          <cell r="B351">
            <v>1983</v>
          </cell>
          <cell r="C351" t="str">
            <v>Letňany</v>
          </cell>
          <cell r="D351" t="str">
            <v>CZ/C1</v>
          </cell>
          <cell r="E351" t="str">
            <v>M</v>
          </cell>
          <cell r="F351" t="str">
            <v/>
          </cell>
        </row>
        <row r="352">
          <cell r="A352" t="str">
            <v>Josef Krejsa</v>
          </cell>
          <cell r="B352">
            <v>1938</v>
          </cell>
          <cell r="C352" t="str">
            <v>Hranice</v>
          </cell>
          <cell r="D352" t="str">
            <v>CZ/M</v>
          </cell>
          <cell r="E352" t="str">
            <v>M</v>
          </cell>
          <cell r="F352" t="str">
            <v/>
          </cell>
        </row>
        <row r="353">
          <cell r="A353" t="str">
            <v>Josef Kreutzer</v>
          </cell>
          <cell r="B353">
            <v>1992</v>
          </cell>
          <cell r="C353" t="str">
            <v>Letkov</v>
          </cell>
          <cell r="D353" t="str">
            <v>CZ/C1</v>
          </cell>
          <cell r="E353" t="str">
            <v>M</v>
          </cell>
          <cell r="F353" t="str">
            <v/>
          </cell>
        </row>
        <row r="354">
          <cell r="A354" t="str">
            <v>Josef Linhart</v>
          </cell>
          <cell r="B354">
            <v>1972</v>
          </cell>
          <cell r="C354" t="str">
            <v>Medlánky</v>
          </cell>
          <cell r="D354" t="str">
            <v>CZ/M</v>
          </cell>
          <cell r="E354" t="str">
            <v>M</v>
          </cell>
          <cell r="F354" t="str">
            <v/>
          </cell>
        </row>
        <row r="355">
          <cell r="A355" t="str">
            <v>Josef Macicek</v>
          </cell>
          <cell r="B355">
            <v>1949</v>
          </cell>
          <cell r="C355" t="str">
            <v>Frýdlant</v>
          </cell>
          <cell r="D355" t="str">
            <v>CZ/M</v>
          </cell>
          <cell r="E355" t="str">
            <v>M</v>
          </cell>
          <cell r="F355" t="str">
            <v/>
          </cell>
        </row>
        <row r="356">
          <cell r="A356" t="str">
            <v>Josef Mezera</v>
          </cell>
          <cell r="B356">
            <v>1951</v>
          </cell>
          <cell r="C356" t="str">
            <v>Raná</v>
          </cell>
          <cell r="D356" t="str">
            <v>CZ/C2</v>
          </cell>
          <cell r="E356" t="str">
            <v>M</v>
          </cell>
          <cell r="F356" t="str">
            <v/>
          </cell>
        </row>
        <row r="357">
          <cell r="A357" t="str">
            <v>Josef Novak</v>
          </cell>
          <cell r="B357">
            <v>1981</v>
          </cell>
          <cell r="C357" t="str">
            <v>Kunovice</v>
          </cell>
          <cell r="D357" t="str">
            <v>CZ/M</v>
          </cell>
          <cell r="E357" t="str">
            <v>M</v>
          </cell>
          <cell r="F357" t="str">
            <v/>
          </cell>
        </row>
        <row r="358">
          <cell r="A358" t="str">
            <v>Josef Novotny</v>
          </cell>
          <cell r="B358">
            <v>1983</v>
          </cell>
          <cell r="C358" t="str">
            <v>Přibyslav</v>
          </cell>
          <cell r="D358" t="str">
            <v>CZ/C2</v>
          </cell>
          <cell r="E358" t="str">
            <v>M</v>
          </cell>
          <cell r="F358" t="str">
            <v/>
          </cell>
        </row>
        <row r="359">
          <cell r="A359" t="str">
            <v>Josef Plechac</v>
          </cell>
          <cell r="B359">
            <v>1942</v>
          </cell>
          <cell r="C359" t="str">
            <v>Hronov</v>
          </cell>
          <cell r="D359" t="str">
            <v>CZ/C2</v>
          </cell>
          <cell r="E359" t="str">
            <v>M</v>
          </cell>
          <cell r="F359" t="str">
            <v/>
          </cell>
        </row>
        <row r="360">
          <cell r="A360" t="str">
            <v>Josef Rydl</v>
          </cell>
          <cell r="B360">
            <v>1940</v>
          </cell>
          <cell r="C360" t="str">
            <v>Turnov</v>
          </cell>
          <cell r="D360" t="str">
            <v>CZ/C2</v>
          </cell>
          <cell r="E360" t="str">
            <v>M</v>
          </cell>
          <cell r="F360" t="str">
            <v/>
          </cell>
        </row>
        <row r="361">
          <cell r="A361" t="str">
            <v>Josef Sedlacek</v>
          </cell>
          <cell r="B361">
            <v>1968</v>
          </cell>
          <cell r="C361" t="str">
            <v>Zbraslavice</v>
          </cell>
          <cell r="D361" t="str">
            <v>CZ/C1</v>
          </cell>
          <cell r="E361" t="str">
            <v>M</v>
          </cell>
          <cell r="F361" t="str">
            <v/>
          </cell>
        </row>
        <row r="362">
          <cell r="A362" t="str">
            <v>Jozef Hartinger</v>
          </cell>
          <cell r="B362">
            <v>1987</v>
          </cell>
          <cell r="C362" t="str">
            <v>Medlánky</v>
          </cell>
          <cell r="D362" t="str">
            <v>CZ/M</v>
          </cell>
          <cell r="E362" t="str">
            <v>M</v>
          </cell>
          <cell r="F362" t="str">
            <v/>
          </cell>
        </row>
        <row r="363">
          <cell r="A363" t="str">
            <v>Juraj Dudas</v>
          </cell>
          <cell r="B363">
            <v>1990</v>
          </cell>
          <cell r="C363" t="str">
            <v>Křižanov</v>
          </cell>
          <cell r="D363" t="str">
            <v>CZ/M</v>
          </cell>
          <cell r="E363" t="str">
            <v>M</v>
          </cell>
          <cell r="F363" t="str">
            <v/>
          </cell>
        </row>
        <row r="364">
          <cell r="A364" t="str">
            <v>Jurij Sikorsky</v>
          </cell>
          <cell r="B364">
            <v>1975</v>
          </cell>
          <cell r="C364" t="str">
            <v>Hodkovice</v>
          </cell>
          <cell r="D364" t="str">
            <v>CZ/C2</v>
          </cell>
          <cell r="E364" t="str">
            <v>M</v>
          </cell>
          <cell r="F364" t="str">
            <v/>
          </cell>
        </row>
        <row r="365">
          <cell r="A365" t="str">
            <v>Kamil Hejda</v>
          </cell>
          <cell r="B365">
            <v>1973</v>
          </cell>
          <cell r="C365" t="str">
            <v>Jičín</v>
          </cell>
          <cell r="D365" t="str">
            <v>CZ/C2</v>
          </cell>
          <cell r="E365" t="str">
            <v>M</v>
          </cell>
          <cell r="F365" t="str">
            <v/>
          </cell>
        </row>
        <row r="366">
          <cell r="A366" t="str">
            <v>Kamil Novak</v>
          </cell>
          <cell r="B366">
            <v>1970</v>
          </cell>
          <cell r="C366" t="str">
            <v>Jaroměř</v>
          </cell>
          <cell r="D366" t="str">
            <v>CZ/C2</v>
          </cell>
          <cell r="E366" t="str">
            <v>M</v>
          </cell>
          <cell r="F366" t="str">
            <v/>
          </cell>
        </row>
        <row r="367">
          <cell r="A367" t="str">
            <v>Kamil Sohr</v>
          </cell>
          <cell r="B367">
            <v>1973</v>
          </cell>
          <cell r="C367" t="str">
            <v>Šumperk</v>
          </cell>
          <cell r="D367" t="str">
            <v>CZ/M</v>
          </cell>
          <cell r="E367" t="str">
            <v>M</v>
          </cell>
          <cell r="F367" t="str">
            <v/>
          </cell>
        </row>
        <row r="368">
          <cell r="A368" t="str">
            <v>Karel Balatka</v>
          </cell>
          <cell r="B368">
            <v>1965</v>
          </cell>
          <cell r="C368" t="str">
            <v>Liberec</v>
          </cell>
          <cell r="D368" t="str">
            <v>CZ/C2</v>
          </cell>
          <cell r="E368" t="str">
            <v>M</v>
          </cell>
          <cell r="F368" t="str">
            <v/>
          </cell>
        </row>
        <row r="369">
          <cell r="A369" t="str">
            <v>Karel Benes</v>
          </cell>
          <cell r="B369">
            <v>1980</v>
          </cell>
          <cell r="C369" t="str">
            <v>Polička</v>
          </cell>
          <cell r="D369" t="str">
            <v>CZ/C2</v>
          </cell>
          <cell r="E369" t="str">
            <v>M</v>
          </cell>
          <cell r="F369" t="str">
            <v/>
          </cell>
        </row>
        <row r="370">
          <cell r="A370" t="str">
            <v>Karel Benisek 48</v>
          </cell>
          <cell r="B370">
            <v>1948</v>
          </cell>
          <cell r="C370" t="str">
            <v>Toužim</v>
          </cell>
          <cell r="D370" t="str">
            <v>CZ/C1</v>
          </cell>
          <cell r="E370" t="str">
            <v>M</v>
          </cell>
          <cell r="F370" t="str">
            <v/>
          </cell>
        </row>
        <row r="371">
          <cell r="A371" t="str">
            <v>Karel Benisek 76</v>
          </cell>
          <cell r="B371">
            <v>1976</v>
          </cell>
          <cell r="C371" t="str">
            <v>Toužim</v>
          </cell>
          <cell r="D371" t="str">
            <v>CZ/C1</v>
          </cell>
          <cell r="E371" t="str">
            <v>M</v>
          </cell>
          <cell r="F371" t="str">
            <v/>
          </cell>
        </row>
        <row r="372">
          <cell r="A372" t="str">
            <v>Karel Cerny</v>
          </cell>
          <cell r="B372">
            <v>1943</v>
          </cell>
          <cell r="C372" t="str">
            <v>Beroun</v>
          </cell>
          <cell r="D372" t="str">
            <v>CZ/C1</v>
          </cell>
          <cell r="E372" t="str">
            <v>M</v>
          </cell>
          <cell r="F372" t="str">
            <v/>
          </cell>
        </row>
        <row r="373">
          <cell r="A373" t="str">
            <v>Karel Elsnic</v>
          </cell>
          <cell r="B373">
            <v>1974</v>
          </cell>
          <cell r="C373" t="str">
            <v>Křižanov</v>
          </cell>
          <cell r="D373" t="str">
            <v>CZ/M</v>
          </cell>
          <cell r="E373" t="str">
            <v>M</v>
          </cell>
          <cell r="F373" t="str">
            <v/>
          </cell>
        </row>
        <row r="374">
          <cell r="A374" t="str">
            <v>Karel Ertl</v>
          </cell>
          <cell r="B374">
            <v>1939</v>
          </cell>
          <cell r="C374" t="str">
            <v>LK Břeclav</v>
          </cell>
          <cell r="D374" t="str">
            <v>CZ/M</v>
          </cell>
          <cell r="E374" t="str">
            <v>M</v>
          </cell>
          <cell r="F374" t="str">
            <v/>
          </cell>
        </row>
        <row r="375">
          <cell r="A375" t="str">
            <v>Karel Grotz</v>
          </cell>
          <cell r="B375">
            <v>1934</v>
          </cell>
          <cell r="C375" t="str">
            <v>Toužim</v>
          </cell>
          <cell r="D375" t="str">
            <v>CZ/C1</v>
          </cell>
          <cell r="E375" t="str">
            <v>M</v>
          </cell>
          <cell r="F375" t="str">
            <v/>
          </cell>
        </row>
        <row r="376">
          <cell r="A376" t="str">
            <v>Karel Horalek</v>
          </cell>
          <cell r="B376">
            <v>1976</v>
          </cell>
          <cell r="C376" t="str">
            <v>Olomouc</v>
          </cell>
          <cell r="D376" t="str">
            <v>CZ/M</v>
          </cell>
          <cell r="E376" t="str">
            <v>M</v>
          </cell>
          <cell r="F376" t="str">
            <v/>
          </cell>
        </row>
        <row r="377">
          <cell r="A377" t="str">
            <v>Karel Knotek</v>
          </cell>
          <cell r="B377">
            <v>1961</v>
          </cell>
          <cell r="C377" t="str">
            <v>Soběslav</v>
          </cell>
          <cell r="D377" t="str">
            <v>CZ/C1</v>
          </cell>
          <cell r="E377" t="str">
            <v>M</v>
          </cell>
          <cell r="F377" t="str">
            <v/>
          </cell>
        </row>
        <row r="378">
          <cell r="A378" t="str">
            <v>Karel Kolomaznik</v>
          </cell>
          <cell r="B378">
            <v>1955</v>
          </cell>
          <cell r="C378" t="str">
            <v>Šumperk</v>
          </cell>
          <cell r="D378" t="str">
            <v>CZ/M</v>
          </cell>
          <cell r="E378" t="str">
            <v>M</v>
          </cell>
          <cell r="F378" t="str">
            <v/>
          </cell>
        </row>
        <row r="379">
          <cell r="A379" t="str">
            <v>Karel Kotlan</v>
          </cell>
          <cell r="B379">
            <v>1957</v>
          </cell>
          <cell r="C379" t="str">
            <v>Medlánky</v>
          </cell>
          <cell r="D379" t="str">
            <v>CZ/M</v>
          </cell>
          <cell r="E379" t="str">
            <v>M</v>
          </cell>
          <cell r="F379" t="str">
            <v/>
          </cell>
        </row>
        <row r="380">
          <cell r="A380" t="str">
            <v>Karel Lang</v>
          </cell>
          <cell r="B380">
            <v>1967</v>
          </cell>
          <cell r="C380" t="str">
            <v>Medlánky</v>
          </cell>
          <cell r="D380" t="str">
            <v>CZ/M</v>
          </cell>
          <cell r="E380" t="str">
            <v>M</v>
          </cell>
          <cell r="F380" t="str">
            <v/>
          </cell>
        </row>
        <row r="381">
          <cell r="A381" t="str">
            <v>Karel Mares</v>
          </cell>
          <cell r="B381">
            <v>1974</v>
          </cell>
          <cell r="C381" t="str">
            <v>Slaný</v>
          </cell>
          <cell r="D381" t="str">
            <v>CZ/C1</v>
          </cell>
          <cell r="E381" t="str">
            <v>M</v>
          </cell>
          <cell r="F381" t="str">
            <v/>
          </cell>
        </row>
        <row r="382">
          <cell r="A382" t="str">
            <v>Karel Minarik</v>
          </cell>
          <cell r="B382">
            <v>1965</v>
          </cell>
          <cell r="C382" t="str">
            <v>Hranice</v>
          </cell>
          <cell r="D382" t="str">
            <v>CZ/M</v>
          </cell>
          <cell r="E382" t="str">
            <v>M</v>
          </cell>
          <cell r="F382" t="str">
            <v/>
          </cell>
        </row>
        <row r="383">
          <cell r="A383" t="str">
            <v>Karel Novak</v>
          </cell>
          <cell r="B383">
            <v>1993</v>
          </cell>
          <cell r="C383" t="str">
            <v>Mladá Boleslav</v>
          </cell>
          <cell r="D383" t="str">
            <v>CZ/C1</v>
          </cell>
          <cell r="E383" t="str">
            <v>M</v>
          </cell>
          <cell r="F383" t="str">
            <v/>
          </cell>
        </row>
        <row r="384">
          <cell r="A384" t="str">
            <v>Karel Policky</v>
          </cell>
          <cell r="B384">
            <v>1950</v>
          </cell>
          <cell r="C384" t="str">
            <v>Kolín</v>
          </cell>
          <cell r="D384" t="str">
            <v>CZ/C1</v>
          </cell>
          <cell r="E384" t="str">
            <v>M</v>
          </cell>
          <cell r="F384" t="str">
            <v/>
          </cell>
        </row>
        <row r="385">
          <cell r="A385" t="str">
            <v>Karel Stach</v>
          </cell>
          <cell r="B385">
            <v>1963</v>
          </cell>
          <cell r="C385" t="str">
            <v>Letňany</v>
          </cell>
          <cell r="D385" t="str">
            <v>CZ/C1</v>
          </cell>
          <cell r="E385" t="str">
            <v>M</v>
          </cell>
          <cell r="F385" t="str">
            <v/>
          </cell>
        </row>
        <row r="386">
          <cell r="A386" t="str">
            <v>Karel Toman</v>
          </cell>
          <cell r="B386">
            <v>1976</v>
          </cell>
          <cell r="C386" t="str">
            <v>Letňany</v>
          </cell>
          <cell r="D386" t="str">
            <v>CZ/C1</v>
          </cell>
          <cell r="E386" t="str">
            <v>M</v>
          </cell>
          <cell r="F386" t="str">
            <v/>
          </cell>
        </row>
        <row r="387">
          <cell r="A387" t="str">
            <v>Karel Vagenknecht</v>
          </cell>
          <cell r="B387">
            <v>1960</v>
          </cell>
          <cell r="C387" t="str">
            <v>Šumperk</v>
          </cell>
          <cell r="D387" t="str">
            <v>CZ/M</v>
          </cell>
          <cell r="E387" t="str">
            <v>M</v>
          </cell>
          <cell r="F387" t="str">
            <v/>
          </cell>
        </row>
        <row r="388">
          <cell r="A388" t="str">
            <v>Karel Vladar</v>
          </cell>
          <cell r="B388">
            <v>1972</v>
          </cell>
          <cell r="C388" t="str">
            <v>Hodkovice</v>
          </cell>
          <cell r="D388" t="str">
            <v>CZ/C2</v>
          </cell>
          <cell r="E388" t="str">
            <v>M</v>
          </cell>
          <cell r="F388" t="str">
            <v/>
          </cell>
        </row>
        <row r="389">
          <cell r="A389" t="str">
            <v>Katerina Dvorakova</v>
          </cell>
          <cell r="B389">
            <v>1984</v>
          </cell>
          <cell r="C389" t="str">
            <v>Most</v>
          </cell>
          <cell r="D389" t="str">
            <v>CZ/C2</v>
          </cell>
          <cell r="E389" t="str">
            <v>F</v>
          </cell>
          <cell r="F389" t="str">
            <v/>
          </cell>
        </row>
        <row r="390">
          <cell r="A390" t="str">
            <v>Katerina Kardosova</v>
          </cell>
          <cell r="B390">
            <v>1988</v>
          </cell>
          <cell r="C390" t="str">
            <v>Kunovice</v>
          </cell>
          <cell r="D390" t="str">
            <v>CZ/M</v>
          </cell>
          <cell r="E390" t="str">
            <v>F</v>
          </cell>
          <cell r="F390" t="str">
            <v/>
          </cell>
        </row>
        <row r="391">
          <cell r="A391" t="str">
            <v>Katerina Vancurova</v>
          </cell>
          <cell r="B391">
            <v>2002</v>
          </cell>
          <cell r="C391" t="str">
            <v>Hranice</v>
          </cell>
          <cell r="D391" t="str">
            <v>CZ/M</v>
          </cell>
          <cell r="E391" t="str">
            <v>F</v>
          </cell>
          <cell r="F391" t="str">
            <v>Junior v roce 2024</v>
          </cell>
        </row>
        <row r="392">
          <cell r="A392" t="str">
            <v>Katerina Vojtova</v>
          </cell>
          <cell r="B392">
            <v>1983</v>
          </cell>
          <cell r="C392" t="str">
            <v>Slaný</v>
          </cell>
          <cell r="D392" t="str">
            <v>CZ/C1</v>
          </cell>
          <cell r="E392" t="str">
            <v>F</v>
          </cell>
          <cell r="F392" t="str">
            <v/>
          </cell>
        </row>
        <row r="393">
          <cell r="A393" t="str">
            <v>Klara Teichmannova</v>
          </cell>
          <cell r="B393">
            <v>1993</v>
          </cell>
          <cell r="C393" t="str">
            <v>Hronov</v>
          </cell>
          <cell r="D393" t="str">
            <v>CZ/C2</v>
          </cell>
          <cell r="E393" t="str">
            <v>F</v>
          </cell>
          <cell r="F393" t="str">
            <v/>
          </cell>
        </row>
        <row r="394">
          <cell r="A394" t="str">
            <v>Kristina Santruckova</v>
          </cell>
          <cell r="B394">
            <v>1996</v>
          </cell>
          <cell r="C394" t="str">
            <v>Podhořany</v>
          </cell>
          <cell r="D394" t="str">
            <v>CZ/C2</v>
          </cell>
          <cell r="E394" t="str">
            <v>F</v>
          </cell>
          <cell r="F394" t="str">
            <v/>
          </cell>
        </row>
        <row r="395">
          <cell r="A395" t="str">
            <v>Krystof Mimra</v>
          </cell>
          <cell r="B395">
            <v>1992</v>
          </cell>
          <cell r="C395" t="str">
            <v>Most</v>
          </cell>
          <cell r="D395" t="str">
            <v>CZ/C2</v>
          </cell>
          <cell r="E395" t="str">
            <v>M</v>
          </cell>
          <cell r="F395" t="str">
            <v/>
          </cell>
        </row>
        <row r="396">
          <cell r="A396" t="str">
            <v>Krystof Urban</v>
          </cell>
          <cell r="B396">
            <v>1999</v>
          </cell>
          <cell r="C396" t="str">
            <v>Jindřichův Hradec</v>
          </cell>
          <cell r="D396" t="str">
            <v>CZ/C1</v>
          </cell>
          <cell r="E396" t="str">
            <v>M</v>
          </cell>
          <cell r="F396" t="str">
            <v>Junior v roce 2024</v>
          </cell>
        </row>
        <row r="397">
          <cell r="A397" t="str">
            <v>Kuk</v>
          </cell>
          <cell r="B397">
            <v>1900</v>
          </cell>
          <cell r="C397" t="str">
            <v>Dvůr Králové</v>
          </cell>
          <cell r="D397" t="str">
            <v>CZ/C2</v>
          </cell>
          <cell r="E397" t="str">
            <v>M</v>
          </cell>
          <cell r="F397" t="str">
            <v/>
          </cell>
        </row>
        <row r="398">
          <cell r="A398" t="str">
            <v>Ladislav Berger</v>
          </cell>
          <cell r="B398">
            <v>1970</v>
          </cell>
          <cell r="C398" t="str">
            <v>Kralupy</v>
          </cell>
          <cell r="D398" t="str">
            <v>CZ/C1</v>
          </cell>
          <cell r="E398" t="str">
            <v>M</v>
          </cell>
          <cell r="F398" t="str">
            <v/>
          </cell>
        </row>
        <row r="399">
          <cell r="A399" t="str">
            <v>Ladislav Durnik</v>
          </cell>
          <cell r="B399">
            <v>1974</v>
          </cell>
          <cell r="C399" t="str">
            <v>Kunovice</v>
          </cell>
          <cell r="D399" t="str">
            <v>CZ/M</v>
          </cell>
          <cell r="E399" t="str">
            <v>M</v>
          </cell>
          <cell r="F399" t="str">
            <v/>
          </cell>
        </row>
        <row r="400">
          <cell r="A400" t="str">
            <v>Ladislav Hybl</v>
          </cell>
          <cell r="B400">
            <v>1955</v>
          </cell>
          <cell r="C400" t="str">
            <v>Šumperk</v>
          </cell>
          <cell r="D400" t="str">
            <v>CZ/M</v>
          </cell>
          <cell r="E400" t="str">
            <v>M</v>
          </cell>
          <cell r="F400" t="str">
            <v/>
          </cell>
        </row>
        <row r="401">
          <cell r="A401" t="str">
            <v>Ladislav Jozsa</v>
          </cell>
          <cell r="B401">
            <v>1981</v>
          </cell>
          <cell r="C401" t="str">
            <v>Medlánky</v>
          </cell>
          <cell r="D401" t="str">
            <v>CZ/M</v>
          </cell>
          <cell r="E401" t="str">
            <v>M</v>
          </cell>
          <cell r="F401" t="str">
            <v/>
          </cell>
        </row>
        <row r="402">
          <cell r="A402" t="str">
            <v>Ladislav Krecbach</v>
          </cell>
          <cell r="B402">
            <v>1985</v>
          </cell>
          <cell r="C402" t="str">
            <v>Jaroměř</v>
          </cell>
          <cell r="D402" t="str">
            <v>CZ/C2</v>
          </cell>
          <cell r="E402" t="str">
            <v>M</v>
          </cell>
          <cell r="F402" t="str">
            <v/>
          </cell>
        </row>
        <row r="403">
          <cell r="A403" t="str">
            <v>Ladislav Krizek</v>
          </cell>
          <cell r="B403">
            <v>1982</v>
          </cell>
          <cell r="C403" t="str">
            <v>Šumperk</v>
          </cell>
          <cell r="D403" t="str">
            <v>CZ/M</v>
          </cell>
          <cell r="E403" t="str">
            <v>M</v>
          </cell>
          <cell r="F403" t="str">
            <v/>
          </cell>
        </row>
        <row r="404">
          <cell r="A404" t="str">
            <v>Ladislav Prokes</v>
          </cell>
          <cell r="B404">
            <v>1954</v>
          </cell>
          <cell r="C404" t="str">
            <v>Vrchlabí</v>
          </cell>
          <cell r="D404" t="str">
            <v>CZ/C2</v>
          </cell>
          <cell r="E404" t="str">
            <v>M</v>
          </cell>
          <cell r="F404" t="str">
            <v/>
          </cell>
        </row>
        <row r="405">
          <cell r="A405" t="str">
            <v>Ladislav Valenta</v>
          </cell>
          <cell r="B405">
            <v>1961</v>
          </cell>
          <cell r="C405" t="str">
            <v>Žamberk</v>
          </cell>
          <cell r="D405" t="str">
            <v>CZ/C2</v>
          </cell>
          <cell r="E405" t="str">
            <v>M</v>
          </cell>
          <cell r="F405" t="str">
            <v/>
          </cell>
        </row>
        <row r="406">
          <cell r="A406" t="str">
            <v>Ladislav Vratny</v>
          </cell>
          <cell r="B406">
            <v>1959</v>
          </cell>
          <cell r="C406" t="str">
            <v>Jaroměř</v>
          </cell>
          <cell r="D406" t="str">
            <v>CZ/C2</v>
          </cell>
          <cell r="E406" t="str">
            <v>M</v>
          </cell>
          <cell r="F406" t="str">
            <v/>
          </cell>
        </row>
        <row r="407">
          <cell r="A407" t="str">
            <v>Lenka Hajkova</v>
          </cell>
          <cell r="B407">
            <v>1982</v>
          </cell>
          <cell r="C407" t="str">
            <v>Raná</v>
          </cell>
          <cell r="D407" t="str">
            <v>CZ/C2</v>
          </cell>
          <cell r="E407" t="str">
            <v>F</v>
          </cell>
          <cell r="F407" t="str">
            <v/>
          </cell>
        </row>
        <row r="408">
          <cell r="A408" t="str">
            <v>Lenka Kuthanova</v>
          </cell>
          <cell r="B408">
            <v>1960</v>
          </cell>
          <cell r="C408" t="str">
            <v>Tábor</v>
          </cell>
          <cell r="D408" t="str">
            <v>CZ/C1</v>
          </cell>
          <cell r="E408" t="str">
            <v>F</v>
          </cell>
          <cell r="F408" t="str">
            <v/>
          </cell>
        </row>
        <row r="409">
          <cell r="A409" t="str">
            <v>Lenka Stovickova</v>
          </cell>
          <cell r="B409">
            <v>1963</v>
          </cell>
          <cell r="C409" t="str">
            <v>Hořice</v>
          </cell>
          <cell r="D409" t="str">
            <v>CZ/C2</v>
          </cell>
          <cell r="E409" t="str">
            <v>F</v>
          </cell>
          <cell r="F409" t="str">
            <v/>
          </cell>
        </row>
        <row r="410">
          <cell r="A410" t="str">
            <v>Leos Nosek</v>
          </cell>
          <cell r="B410">
            <v>1958</v>
          </cell>
          <cell r="C410" t="str">
            <v>Křižanov</v>
          </cell>
          <cell r="D410" t="str">
            <v>CZ/M</v>
          </cell>
          <cell r="E410" t="str">
            <v>M</v>
          </cell>
          <cell r="F410" t="str">
            <v/>
          </cell>
        </row>
        <row r="411">
          <cell r="A411" t="str">
            <v>Leos Strnadek</v>
          </cell>
          <cell r="B411">
            <v>1983</v>
          </cell>
          <cell r="C411" t="str">
            <v>Hodkovice</v>
          </cell>
          <cell r="D411" t="str">
            <v>CZ/C2</v>
          </cell>
          <cell r="E411" t="str">
            <v>M</v>
          </cell>
          <cell r="F411" t="str">
            <v/>
          </cell>
        </row>
        <row r="412">
          <cell r="A412" t="str">
            <v>Libor Bednarik</v>
          </cell>
          <cell r="B412">
            <v>1972</v>
          </cell>
          <cell r="C412" t="str">
            <v>Kunovice</v>
          </cell>
          <cell r="D412" t="str">
            <v>CZ/M</v>
          </cell>
          <cell r="E412" t="str">
            <v>M</v>
          </cell>
          <cell r="F412" t="str">
            <v/>
          </cell>
        </row>
        <row r="413">
          <cell r="A413" t="str">
            <v>Libor Danhel</v>
          </cell>
          <cell r="B413">
            <v>1966</v>
          </cell>
          <cell r="C413" t="str">
            <v>Kunovice</v>
          </cell>
          <cell r="D413" t="str">
            <v>CZ/M</v>
          </cell>
          <cell r="E413" t="str">
            <v>M</v>
          </cell>
          <cell r="F413" t="str">
            <v/>
          </cell>
        </row>
        <row r="414">
          <cell r="A414" t="str">
            <v>Libor Hyps</v>
          </cell>
          <cell r="B414">
            <v>1988</v>
          </cell>
          <cell r="C414" t="str">
            <v>Chrudim</v>
          </cell>
          <cell r="D414" t="str">
            <v>CZ/C2</v>
          </cell>
          <cell r="E414" t="str">
            <v>M</v>
          </cell>
          <cell r="F414" t="str">
            <v/>
          </cell>
        </row>
        <row r="415">
          <cell r="A415" t="str">
            <v>Libor Kovarik</v>
          </cell>
          <cell r="B415">
            <v>1966</v>
          </cell>
          <cell r="C415" t="str">
            <v>Mladá Boleslav</v>
          </cell>
          <cell r="D415" t="str">
            <v>CZ/C1</v>
          </cell>
          <cell r="E415" t="str">
            <v>M</v>
          </cell>
          <cell r="F415" t="str">
            <v/>
          </cell>
        </row>
        <row r="416">
          <cell r="A416" t="str">
            <v>Libor Kovarnik</v>
          </cell>
          <cell r="B416">
            <v>1968</v>
          </cell>
          <cell r="C416" t="str">
            <v>Mladá Boleslav</v>
          </cell>
          <cell r="D416" t="str">
            <v>CZ/C1</v>
          </cell>
          <cell r="E416" t="str">
            <v>M</v>
          </cell>
          <cell r="F416" t="str">
            <v/>
          </cell>
        </row>
        <row r="417">
          <cell r="A417" t="str">
            <v>Linda Vasatova</v>
          </cell>
          <cell r="B417">
            <v>1990</v>
          </cell>
          <cell r="C417" t="str">
            <v>Mladá Boleslav</v>
          </cell>
          <cell r="D417" t="str">
            <v>CZ/C1</v>
          </cell>
          <cell r="E417" t="str">
            <v>F</v>
          </cell>
          <cell r="F417" t="str">
            <v/>
          </cell>
        </row>
        <row r="418">
          <cell r="A418" t="str">
            <v>Lubomir Doupal</v>
          </cell>
          <cell r="B418">
            <v>1975</v>
          </cell>
          <cell r="C418" t="str">
            <v>Kroměříž</v>
          </cell>
          <cell r="D418" t="str">
            <v>CZ/M</v>
          </cell>
          <cell r="E418" t="str">
            <v>M</v>
          </cell>
          <cell r="F418" t="str">
            <v/>
          </cell>
        </row>
        <row r="419">
          <cell r="A419" t="str">
            <v>Lubomir Motl</v>
          </cell>
          <cell r="B419">
            <v>1959</v>
          </cell>
          <cell r="C419" t="str">
            <v>Kyjov</v>
          </cell>
          <cell r="D419" t="str">
            <v>CZ/M</v>
          </cell>
          <cell r="E419" t="str">
            <v>M</v>
          </cell>
          <cell r="F419" t="str">
            <v/>
          </cell>
        </row>
        <row r="420">
          <cell r="A420" t="str">
            <v>Lubomir Papezik</v>
          </cell>
          <cell r="B420">
            <v>1951</v>
          </cell>
          <cell r="C420" t="str">
            <v>Luhačovice</v>
          </cell>
          <cell r="D420" t="str">
            <v>CZ/M</v>
          </cell>
          <cell r="E420" t="str">
            <v>M</v>
          </cell>
          <cell r="F420" t="str">
            <v/>
          </cell>
        </row>
        <row r="421">
          <cell r="A421" t="str">
            <v>Lubomir Svoboda</v>
          </cell>
          <cell r="B421">
            <v>1959</v>
          </cell>
          <cell r="C421" t="str">
            <v>Letkov</v>
          </cell>
          <cell r="D421" t="str">
            <v>CZ/C1</v>
          </cell>
          <cell r="E421" t="str">
            <v>M</v>
          </cell>
          <cell r="F421" t="str">
            <v/>
          </cell>
        </row>
        <row r="422">
          <cell r="A422" t="str">
            <v>Lubomir Vrba</v>
          </cell>
          <cell r="B422">
            <v>1955</v>
          </cell>
          <cell r="C422" t="str">
            <v>Toužim</v>
          </cell>
          <cell r="D422" t="str">
            <v>CZ/C1</v>
          </cell>
          <cell r="E422" t="str">
            <v>M</v>
          </cell>
          <cell r="F422" t="str">
            <v/>
          </cell>
        </row>
        <row r="423">
          <cell r="A423" t="str">
            <v>Lubor Sobek</v>
          </cell>
          <cell r="B423">
            <v>1979</v>
          </cell>
          <cell r="C423" t="str">
            <v>Frýdlant</v>
          </cell>
          <cell r="D423" t="str">
            <v>CZ/M</v>
          </cell>
          <cell r="E423" t="str">
            <v>M</v>
          </cell>
          <cell r="F423" t="str">
            <v/>
          </cell>
        </row>
        <row r="424">
          <cell r="A424" t="str">
            <v>Lubor Vyhlid</v>
          </cell>
          <cell r="B424">
            <v>1972</v>
          </cell>
          <cell r="C424" t="str">
            <v>Kroměříž</v>
          </cell>
          <cell r="D424" t="str">
            <v>CZ/M</v>
          </cell>
          <cell r="E424" t="str">
            <v>M</v>
          </cell>
          <cell r="F424" t="str">
            <v/>
          </cell>
        </row>
        <row r="425">
          <cell r="A425" t="str">
            <v>Lubor Zeleny</v>
          </cell>
          <cell r="B425">
            <v>1957</v>
          </cell>
          <cell r="C425" t="str">
            <v>Přibyslav</v>
          </cell>
          <cell r="D425" t="str">
            <v>CZ/C2</v>
          </cell>
          <cell r="E425" t="str">
            <v>M</v>
          </cell>
          <cell r="F425" t="str">
            <v/>
          </cell>
        </row>
        <row r="426">
          <cell r="A426" t="str">
            <v>Lubos Florian</v>
          </cell>
          <cell r="B426">
            <v>1966</v>
          </cell>
          <cell r="C426" t="str">
            <v>Jičín</v>
          </cell>
          <cell r="D426" t="str">
            <v>CZ/C2</v>
          </cell>
          <cell r="E426" t="str">
            <v>M</v>
          </cell>
          <cell r="F426" t="str">
            <v/>
          </cell>
        </row>
        <row r="427">
          <cell r="A427" t="str">
            <v>Lubos Kunc 56</v>
          </cell>
          <cell r="B427">
            <v>1956</v>
          </cell>
          <cell r="C427" t="str">
            <v>Dvůr Králové</v>
          </cell>
          <cell r="D427" t="str">
            <v>CZ/C2</v>
          </cell>
          <cell r="E427" t="str">
            <v>M</v>
          </cell>
          <cell r="F427" t="str">
            <v/>
          </cell>
        </row>
        <row r="428">
          <cell r="A428" t="str">
            <v>Lubos Kunc 85</v>
          </cell>
          <cell r="B428">
            <v>1985</v>
          </cell>
          <cell r="C428" t="str">
            <v>Vrchlabí</v>
          </cell>
          <cell r="D428" t="str">
            <v>CZ/C2</v>
          </cell>
          <cell r="E428" t="str">
            <v>M</v>
          </cell>
          <cell r="F428" t="str">
            <v/>
          </cell>
        </row>
        <row r="429">
          <cell r="A429" t="str">
            <v>Lubos Stiburek</v>
          </cell>
          <cell r="B429">
            <v>1954</v>
          </cell>
          <cell r="C429" t="str">
            <v>Raná</v>
          </cell>
          <cell r="D429" t="str">
            <v>CZ/C2</v>
          </cell>
          <cell r="E429" t="str">
            <v>M</v>
          </cell>
          <cell r="F429" t="str">
            <v/>
          </cell>
        </row>
        <row r="430">
          <cell r="A430" t="str">
            <v>Lubos Svoboda</v>
          </cell>
          <cell r="B430">
            <v>1959</v>
          </cell>
          <cell r="C430" t="str">
            <v>Letkov</v>
          </cell>
          <cell r="D430" t="str">
            <v>CZ/C1</v>
          </cell>
          <cell r="E430" t="str">
            <v>M</v>
          </cell>
          <cell r="F430" t="str">
            <v/>
          </cell>
        </row>
        <row r="431">
          <cell r="A431" t="str">
            <v>Ludek Kluger</v>
          </cell>
          <cell r="B431">
            <v>1963</v>
          </cell>
          <cell r="C431" t="str">
            <v>Tábor</v>
          </cell>
          <cell r="D431" t="str">
            <v>CZ/C1</v>
          </cell>
          <cell r="E431" t="str">
            <v>M</v>
          </cell>
          <cell r="F431" t="str">
            <v/>
          </cell>
        </row>
        <row r="432">
          <cell r="A432" t="str">
            <v>Ludek Mikl</v>
          </cell>
          <cell r="B432">
            <v>1963</v>
          </cell>
          <cell r="C432" t="str">
            <v>Šumperk</v>
          </cell>
          <cell r="D432" t="str">
            <v>CZ/M</v>
          </cell>
          <cell r="E432" t="str">
            <v>M</v>
          </cell>
          <cell r="F432" t="str">
            <v/>
          </cell>
        </row>
        <row r="433">
          <cell r="A433" t="str">
            <v>Ludek Souhrada</v>
          </cell>
          <cell r="B433">
            <v>1974</v>
          </cell>
          <cell r="C433" t="str">
            <v>Raná</v>
          </cell>
          <cell r="D433" t="str">
            <v>CZ/C2</v>
          </cell>
          <cell r="E433" t="str">
            <v>M</v>
          </cell>
          <cell r="F433" t="str">
            <v/>
          </cell>
        </row>
        <row r="434">
          <cell r="A434" t="str">
            <v>Lukas Capek</v>
          </cell>
          <cell r="B434">
            <v>1992</v>
          </cell>
          <cell r="C434" t="str">
            <v>Letňany</v>
          </cell>
          <cell r="D434" t="str">
            <v>CZ/C1</v>
          </cell>
          <cell r="E434" t="str">
            <v>M</v>
          </cell>
          <cell r="F434" t="str">
            <v/>
          </cell>
        </row>
        <row r="435">
          <cell r="A435" t="str">
            <v>Lukas Fiala</v>
          </cell>
          <cell r="B435">
            <v>1976</v>
          </cell>
          <cell r="C435" t="str">
            <v>Kralupy</v>
          </cell>
          <cell r="D435" t="str">
            <v>CZ/C1</v>
          </cell>
          <cell r="E435" t="str">
            <v>M</v>
          </cell>
          <cell r="F435" t="str">
            <v/>
          </cell>
        </row>
        <row r="436">
          <cell r="A436" t="str">
            <v>Lukas Fronek</v>
          </cell>
          <cell r="B436">
            <v>1989</v>
          </cell>
          <cell r="C436" t="str">
            <v>Kyjov</v>
          </cell>
          <cell r="D436" t="str">
            <v>CZ/M</v>
          </cell>
          <cell r="E436" t="str">
            <v>M</v>
          </cell>
          <cell r="F436" t="str">
            <v/>
          </cell>
        </row>
        <row r="437">
          <cell r="A437" t="str">
            <v>Lukas Hykl</v>
          </cell>
          <cell r="B437">
            <v>1985</v>
          </cell>
          <cell r="C437" t="str">
            <v>Kolín</v>
          </cell>
          <cell r="D437" t="str">
            <v>CZ/C1</v>
          </cell>
          <cell r="E437" t="str">
            <v>M</v>
          </cell>
          <cell r="F437" t="str">
            <v/>
          </cell>
        </row>
        <row r="438">
          <cell r="A438" t="str">
            <v>Lukas Hynek</v>
          </cell>
          <cell r="B438">
            <v>1979</v>
          </cell>
          <cell r="C438" t="str">
            <v>Dvůr Králové</v>
          </cell>
          <cell r="D438" t="str">
            <v>CZ/C2</v>
          </cell>
          <cell r="E438" t="str">
            <v>M</v>
          </cell>
          <cell r="F438" t="str">
            <v/>
          </cell>
        </row>
        <row r="439">
          <cell r="A439" t="str">
            <v>Lukas Jezek</v>
          </cell>
          <cell r="B439">
            <v>1975</v>
          </cell>
          <cell r="C439" t="str">
            <v>Jičín</v>
          </cell>
          <cell r="D439" t="str">
            <v>CZ/C2</v>
          </cell>
          <cell r="E439" t="str">
            <v>M</v>
          </cell>
          <cell r="F439" t="str">
            <v/>
          </cell>
        </row>
        <row r="440">
          <cell r="A440" t="str">
            <v>Lukas Kotek</v>
          </cell>
          <cell r="B440">
            <v>1994</v>
          </cell>
          <cell r="C440" t="str">
            <v>Frýdlant</v>
          </cell>
          <cell r="D440" t="str">
            <v>CZ/M</v>
          </cell>
          <cell r="E440" t="str">
            <v>M</v>
          </cell>
          <cell r="F440" t="str">
            <v/>
          </cell>
        </row>
        <row r="441">
          <cell r="A441" t="str">
            <v>Lukas Koukal</v>
          </cell>
          <cell r="B441">
            <v>1991</v>
          </cell>
          <cell r="C441" t="str">
            <v>Letkov</v>
          </cell>
          <cell r="D441" t="str">
            <v>CZ/C1</v>
          </cell>
          <cell r="E441" t="str">
            <v>M</v>
          </cell>
          <cell r="F441" t="str">
            <v/>
          </cell>
        </row>
        <row r="442">
          <cell r="A442" t="str">
            <v>Lukas Kriz</v>
          </cell>
          <cell r="B442">
            <v>2003</v>
          </cell>
          <cell r="C442" t="str">
            <v>Křižanov</v>
          </cell>
          <cell r="D442" t="str">
            <v>CZ/M</v>
          </cell>
          <cell r="E442" t="str">
            <v>M</v>
          </cell>
          <cell r="F442" t="str">
            <v>Junior v roce 2024</v>
          </cell>
        </row>
        <row r="443">
          <cell r="A443" t="str">
            <v>Lukas Maly</v>
          </cell>
          <cell r="B443">
            <v>1998</v>
          </cell>
          <cell r="C443" t="str">
            <v>Vysoké Mýto</v>
          </cell>
          <cell r="D443" t="str">
            <v>CZ/C2</v>
          </cell>
          <cell r="E443" t="str">
            <v>M</v>
          </cell>
          <cell r="F443" t="str">
            <v/>
          </cell>
        </row>
        <row r="444">
          <cell r="A444" t="str">
            <v>Lukas Nalos</v>
          </cell>
          <cell r="B444">
            <v>1976</v>
          </cell>
          <cell r="C444" t="str">
            <v>Letkov</v>
          </cell>
          <cell r="D444" t="str">
            <v>CZ/C1</v>
          </cell>
          <cell r="E444" t="str">
            <v>M</v>
          </cell>
          <cell r="F444" t="str">
            <v/>
          </cell>
        </row>
        <row r="445">
          <cell r="A445" t="str">
            <v>Lukas Petrzela</v>
          </cell>
          <cell r="B445">
            <v>1987</v>
          </cell>
          <cell r="C445" t="str">
            <v>Olomouc</v>
          </cell>
          <cell r="D445" t="str">
            <v>CZ/M</v>
          </cell>
          <cell r="E445" t="str">
            <v>M</v>
          </cell>
          <cell r="F445" t="str">
            <v/>
          </cell>
        </row>
        <row r="446">
          <cell r="A446" t="str">
            <v>Lukas Plocek</v>
          </cell>
          <cell r="B446">
            <v>1990</v>
          </cell>
          <cell r="C446" t="str">
            <v>Mladá Boleslav</v>
          </cell>
          <cell r="D446" t="str">
            <v>CZ/C1</v>
          </cell>
          <cell r="E446" t="str">
            <v>M</v>
          </cell>
          <cell r="F446" t="str">
            <v/>
          </cell>
        </row>
        <row r="447">
          <cell r="A447" t="str">
            <v>Lukas Popelka</v>
          </cell>
          <cell r="B447">
            <v>1977</v>
          </cell>
          <cell r="C447" t="str">
            <v>Polička</v>
          </cell>
          <cell r="D447" t="str">
            <v>CZ/C2</v>
          </cell>
          <cell r="E447" t="str">
            <v>M</v>
          </cell>
          <cell r="F447" t="str">
            <v/>
          </cell>
        </row>
        <row r="448">
          <cell r="A448" t="str">
            <v>Lukas Volek</v>
          </cell>
          <cell r="B448">
            <v>2004</v>
          </cell>
          <cell r="C448" t="str">
            <v>Hodkovice</v>
          </cell>
          <cell r="D448" t="str">
            <v>CZ/C2</v>
          </cell>
          <cell r="E448" t="str">
            <v>M</v>
          </cell>
          <cell r="F448" t="str">
            <v>Junior v roce 2024</v>
          </cell>
        </row>
        <row r="449">
          <cell r="A449" t="str">
            <v>Lukas Zach</v>
          </cell>
          <cell r="B449">
            <v>1987</v>
          </cell>
          <cell r="C449" t="str">
            <v>Vyškov</v>
          </cell>
          <cell r="D449" t="str">
            <v>CZ/M</v>
          </cell>
          <cell r="E449" t="str">
            <v>M</v>
          </cell>
          <cell r="F449" t="str">
            <v/>
          </cell>
        </row>
        <row r="450">
          <cell r="A450" t="str">
            <v>Lukas Zeman</v>
          </cell>
          <cell r="B450">
            <v>2000</v>
          </cell>
          <cell r="C450" t="str">
            <v>Rakovník</v>
          </cell>
          <cell r="D450" t="str">
            <v>CZ/C1</v>
          </cell>
          <cell r="E450" t="str">
            <v>M</v>
          </cell>
          <cell r="F450" t="str">
            <v>Junior v roce 2024</v>
          </cell>
        </row>
        <row r="451">
          <cell r="A451" t="str">
            <v>Lukas Zemek</v>
          </cell>
          <cell r="B451">
            <v>1994</v>
          </cell>
          <cell r="C451" t="str">
            <v>Letkov</v>
          </cell>
          <cell r="D451" t="str">
            <v>CZ/C1</v>
          </cell>
          <cell r="E451" t="str">
            <v>M</v>
          </cell>
          <cell r="F451" t="str">
            <v/>
          </cell>
        </row>
        <row r="452">
          <cell r="A452" t="str">
            <v>Lumir Motyka</v>
          </cell>
          <cell r="B452">
            <v>1955</v>
          </cell>
          <cell r="C452" t="str">
            <v>Frýdlant</v>
          </cell>
          <cell r="D452" t="str">
            <v>CZ/M</v>
          </cell>
          <cell r="E452" t="str">
            <v>M</v>
          </cell>
          <cell r="F452" t="str">
            <v/>
          </cell>
        </row>
        <row r="453">
          <cell r="A453" t="str">
            <v>Marcel Skarohlid</v>
          </cell>
          <cell r="B453">
            <v>1972</v>
          </cell>
          <cell r="C453" t="str">
            <v>Hodkovice</v>
          </cell>
          <cell r="D453" t="str">
            <v>CZ/C2</v>
          </cell>
          <cell r="E453" t="str">
            <v>M</v>
          </cell>
          <cell r="F453" t="str">
            <v/>
          </cell>
        </row>
        <row r="454">
          <cell r="A454" t="str">
            <v>Marek Blatak</v>
          </cell>
          <cell r="B454">
            <v>1969</v>
          </cell>
          <cell r="C454" t="str">
            <v>Šumperk</v>
          </cell>
          <cell r="D454" t="str">
            <v>CZ/M</v>
          </cell>
          <cell r="E454" t="str">
            <v>M</v>
          </cell>
          <cell r="F454" t="str">
            <v/>
          </cell>
        </row>
        <row r="455">
          <cell r="A455" t="str">
            <v>Marek Csukas</v>
          </cell>
          <cell r="B455">
            <v>1982</v>
          </cell>
          <cell r="C455" t="str">
            <v>Podhořany</v>
          </cell>
          <cell r="D455" t="str">
            <v>CZ/C2</v>
          </cell>
          <cell r="E455" t="str">
            <v>M</v>
          </cell>
          <cell r="F455" t="str">
            <v/>
          </cell>
        </row>
        <row r="456">
          <cell r="A456" t="str">
            <v>Marek Cacky</v>
          </cell>
          <cell r="B456">
            <v>1971</v>
          </cell>
          <cell r="C456" t="str">
            <v>Kladno</v>
          </cell>
          <cell r="D456" t="str">
            <v>CZ/C1</v>
          </cell>
          <cell r="E456" t="str">
            <v>M</v>
          </cell>
          <cell r="F456" t="str">
            <v/>
          </cell>
        </row>
        <row r="457">
          <cell r="A457" t="str">
            <v>Marek Cerveny</v>
          </cell>
          <cell r="B457">
            <v>1989</v>
          </cell>
          <cell r="C457" t="str">
            <v>Jaroměř</v>
          </cell>
          <cell r="D457" t="str">
            <v>CZ/C2</v>
          </cell>
          <cell r="E457" t="str">
            <v>M</v>
          </cell>
          <cell r="F457" t="str">
            <v/>
          </cell>
        </row>
        <row r="458">
          <cell r="A458" t="str">
            <v>Marek Kornec</v>
          </cell>
          <cell r="B458">
            <v>1957</v>
          </cell>
          <cell r="C458" t="str">
            <v>Dvůr Králové</v>
          </cell>
          <cell r="D458" t="str">
            <v>CZ/C2</v>
          </cell>
          <cell r="E458" t="str">
            <v>M</v>
          </cell>
          <cell r="F458" t="str">
            <v/>
          </cell>
        </row>
        <row r="459">
          <cell r="A459" t="str">
            <v>Marek Loukota</v>
          </cell>
          <cell r="B459">
            <v>2000</v>
          </cell>
          <cell r="C459" t="str">
            <v>Letkov</v>
          </cell>
          <cell r="D459" t="str">
            <v>CZ/C1</v>
          </cell>
          <cell r="E459" t="str">
            <v>M</v>
          </cell>
          <cell r="F459" t="str">
            <v>Junior v roce 2024</v>
          </cell>
        </row>
        <row r="460">
          <cell r="A460" t="str">
            <v>Marek Malinsky</v>
          </cell>
          <cell r="B460">
            <v>1985</v>
          </cell>
          <cell r="C460" t="str">
            <v>Chrudim</v>
          </cell>
          <cell r="D460" t="str">
            <v>CZ/C2</v>
          </cell>
          <cell r="E460" t="str">
            <v>M</v>
          </cell>
          <cell r="F460" t="str">
            <v/>
          </cell>
        </row>
        <row r="461">
          <cell r="A461" t="str">
            <v>Marek Novy</v>
          </cell>
          <cell r="B461">
            <v>1973</v>
          </cell>
          <cell r="C461" t="str">
            <v>Roudnice</v>
          </cell>
          <cell r="D461" t="str">
            <v>CZ/C2</v>
          </cell>
          <cell r="E461" t="str">
            <v>M</v>
          </cell>
          <cell r="F461" t="str">
            <v/>
          </cell>
        </row>
        <row r="462">
          <cell r="A462" t="str">
            <v>Marek Pechanec</v>
          </cell>
          <cell r="B462">
            <v>1970</v>
          </cell>
          <cell r="C462" t="str">
            <v>Luhačovice</v>
          </cell>
          <cell r="D462" t="str">
            <v>CZ/M</v>
          </cell>
          <cell r="E462" t="str">
            <v>M</v>
          </cell>
          <cell r="F462" t="str">
            <v/>
          </cell>
        </row>
        <row r="463">
          <cell r="A463" t="str">
            <v>Marek Pechar</v>
          </cell>
          <cell r="B463">
            <v>1995</v>
          </cell>
          <cell r="C463" t="str">
            <v>Chrudim</v>
          </cell>
          <cell r="D463" t="str">
            <v>CZ/C2</v>
          </cell>
          <cell r="E463" t="str">
            <v>M</v>
          </cell>
          <cell r="F463" t="str">
            <v/>
          </cell>
        </row>
        <row r="464">
          <cell r="A464" t="str">
            <v>Marek Seitl</v>
          </cell>
          <cell r="B464">
            <v>1995</v>
          </cell>
          <cell r="C464" t="str">
            <v>Dvůr Králové</v>
          </cell>
          <cell r="D464" t="str">
            <v>CZ/C2</v>
          </cell>
          <cell r="E464" t="str">
            <v>M</v>
          </cell>
          <cell r="F464" t="str">
            <v/>
          </cell>
        </row>
        <row r="465">
          <cell r="A465" t="str">
            <v>Marek Sild</v>
          </cell>
          <cell r="B465">
            <v>1976</v>
          </cell>
          <cell r="C465" t="str">
            <v>Kunovice</v>
          </cell>
          <cell r="D465" t="str">
            <v>CZ/M</v>
          </cell>
          <cell r="E465" t="str">
            <v>M</v>
          </cell>
          <cell r="F465" t="str">
            <v/>
          </cell>
        </row>
        <row r="466">
          <cell r="A466" t="str">
            <v>Marek Simon</v>
          </cell>
          <cell r="B466">
            <v>1998</v>
          </cell>
          <cell r="C466" t="str">
            <v>Kralupy</v>
          </cell>
          <cell r="D466" t="str">
            <v>CZ/C1</v>
          </cell>
          <cell r="E466" t="str">
            <v>M</v>
          </cell>
          <cell r="F466" t="str">
            <v/>
          </cell>
        </row>
        <row r="467">
          <cell r="A467" t="str">
            <v>Marek Svancara</v>
          </cell>
          <cell r="B467">
            <v>1976</v>
          </cell>
          <cell r="C467" t="str">
            <v>GAC Benešov</v>
          </cell>
          <cell r="D467" t="str">
            <v>CZ/C1</v>
          </cell>
          <cell r="E467" t="str">
            <v>M</v>
          </cell>
          <cell r="F467" t="str">
            <v/>
          </cell>
        </row>
        <row r="468">
          <cell r="A468" t="str">
            <v>Marek Vinar</v>
          </cell>
          <cell r="B468">
            <v>1976</v>
          </cell>
          <cell r="C468" t="str">
            <v>Letňany</v>
          </cell>
          <cell r="D468" t="str">
            <v>CZ/C1</v>
          </cell>
          <cell r="E468" t="str">
            <v>M</v>
          </cell>
          <cell r="F468" t="str">
            <v/>
          </cell>
        </row>
        <row r="469">
          <cell r="A469" t="str">
            <v>Marie Vesela</v>
          </cell>
          <cell r="B469">
            <v>1999</v>
          </cell>
          <cell r="C469" t="str">
            <v>Staňkov</v>
          </cell>
          <cell r="D469" t="str">
            <v>CZ/C1</v>
          </cell>
          <cell r="E469" t="str">
            <v>F</v>
          </cell>
          <cell r="F469" t="str">
            <v>Junior v roce 2024</v>
          </cell>
        </row>
        <row r="470">
          <cell r="A470" t="str">
            <v>Martin Adamec</v>
          </cell>
          <cell r="B470">
            <v>1971</v>
          </cell>
          <cell r="C470" t="str">
            <v>Medlánky</v>
          </cell>
          <cell r="D470" t="str">
            <v>CZ/M</v>
          </cell>
          <cell r="E470" t="str">
            <v>M</v>
          </cell>
          <cell r="F470" t="str">
            <v/>
          </cell>
        </row>
        <row r="471">
          <cell r="A471" t="str">
            <v>Martin Babak</v>
          </cell>
          <cell r="B471">
            <v>1976</v>
          </cell>
          <cell r="C471" t="str">
            <v>Hořice</v>
          </cell>
          <cell r="D471" t="str">
            <v>CZ/C2</v>
          </cell>
          <cell r="E471" t="str">
            <v>M</v>
          </cell>
          <cell r="F471" t="str">
            <v/>
          </cell>
        </row>
        <row r="472">
          <cell r="A472" t="str">
            <v>Martin Balik</v>
          </cell>
          <cell r="B472">
            <v>1982</v>
          </cell>
          <cell r="C472" t="str">
            <v>Kralupy</v>
          </cell>
          <cell r="D472" t="str">
            <v>CZ/C1</v>
          </cell>
          <cell r="E472" t="str">
            <v>M</v>
          </cell>
          <cell r="F472" t="str">
            <v/>
          </cell>
        </row>
        <row r="473">
          <cell r="A473" t="str">
            <v>Martin Benesovsky</v>
          </cell>
          <cell r="B473">
            <v>1975</v>
          </cell>
          <cell r="C473" t="str">
            <v>Kolín</v>
          </cell>
          <cell r="D473" t="str">
            <v>CZ/C1</v>
          </cell>
          <cell r="E473" t="str">
            <v>M</v>
          </cell>
          <cell r="F473" t="str">
            <v/>
          </cell>
        </row>
        <row r="474">
          <cell r="A474" t="str">
            <v>Martin Cicvarek</v>
          </cell>
          <cell r="B474">
            <v>1966</v>
          </cell>
          <cell r="C474" t="str">
            <v>Liberec</v>
          </cell>
          <cell r="D474" t="str">
            <v>CZ/C2</v>
          </cell>
          <cell r="E474" t="str">
            <v>M</v>
          </cell>
          <cell r="F474" t="str">
            <v/>
          </cell>
        </row>
        <row r="475">
          <cell r="A475" t="str">
            <v>Martin Donek</v>
          </cell>
          <cell r="B475">
            <v>1976</v>
          </cell>
          <cell r="C475" t="str">
            <v>Beroun</v>
          </cell>
          <cell r="D475" t="str">
            <v>CZ/C1</v>
          </cell>
          <cell r="E475" t="str">
            <v>M</v>
          </cell>
          <cell r="F475" t="str">
            <v/>
          </cell>
        </row>
        <row r="476">
          <cell r="A476" t="str">
            <v>Martin Dundr</v>
          </cell>
          <cell r="B476">
            <v>1968</v>
          </cell>
          <cell r="C476" t="str">
            <v>Hořice</v>
          </cell>
          <cell r="D476" t="str">
            <v>CZ/C2</v>
          </cell>
          <cell r="E476" t="str">
            <v>M</v>
          </cell>
          <cell r="F476" t="str">
            <v/>
          </cell>
        </row>
        <row r="477">
          <cell r="A477" t="str">
            <v>Martin Ficnar</v>
          </cell>
          <cell r="B477">
            <v>1971</v>
          </cell>
          <cell r="C477" t="str">
            <v>Šumperk</v>
          </cell>
          <cell r="D477" t="str">
            <v>CZ/M</v>
          </cell>
          <cell r="E477" t="str">
            <v>M</v>
          </cell>
          <cell r="F477" t="str">
            <v/>
          </cell>
        </row>
        <row r="478">
          <cell r="A478" t="str">
            <v>Martin Fric</v>
          </cell>
          <cell r="B478">
            <v>1967</v>
          </cell>
          <cell r="C478" t="str">
            <v>Raná</v>
          </cell>
          <cell r="D478" t="str">
            <v>CZ/C2</v>
          </cell>
          <cell r="E478" t="str">
            <v>M</v>
          </cell>
          <cell r="F478" t="str">
            <v/>
          </cell>
        </row>
        <row r="479">
          <cell r="A479" t="str">
            <v>Martin Gedeon</v>
          </cell>
          <cell r="B479">
            <v>1989</v>
          </cell>
          <cell r="C479" t="str">
            <v>Letkov</v>
          </cell>
          <cell r="D479" t="str">
            <v>CZ/C1</v>
          </cell>
          <cell r="E479" t="str">
            <v>M</v>
          </cell>
          <cell r="F479" t="str">
            <v/>
          </cell>
        </row>
        <row r="480">
          <cell r="A480" t="str">
            <v>Martin Grmela</v>
          </cell>
          <cell r="B480">
            <v>1989</v>
          </cell>
          <cell r="C480" t="str">
            <v>Zbraslavice</v>
          </cell>
          <cell r="D480" t="str">
            <v>CZ/C1</v>
          </cell>
          <cell r="E480" t="str">
            <v>M</v>
          </cell>
          <cell r="F480" t="str">
            <v/>
          </cell>
        </row>
        <row r="481">
          <cell r="A481" t="str">
            <v>Martin Hejny</v>
          </cell>
          <cell r="B481">
            <v>1984</v>
          </cell>
          <cell r="C481" t="str">
            <v>Šumperk</v>
          </cell>
          <cell r="D481" t="str">
            <v>CZ/M</v>
          </cell>
          <cell r="E481" t="str">
            <v>M</v>
          </cell>
          <cell r="F481" t="str">
            <v/>
          </cell>
        </row>
        <row r="482">
          <cell r="A482" t="str">
            <v>Martin Holik</v>
          </cell>
          <cell r="B482">
            <v>1959</v>
          </cell>
          <cell r="C482" t="str">
            <v>Letňany</v>
          </cell>
          <cell r="D482" t="str">
            <v>CZ/C1</v>
          </cell>
          <cell r="E482" t="str">
            <v>M</v>
          </cell>
          <cell r="F482" t="str">
            <v/>
          </cell>
        </row>
        <row r="483">
          <cell r="A483" t="str">
            <v>Martin Horacek</v>
          </cell>
          <cell r="B483">
            <v>1985</v>
          </cell>
          <cell r="C483" t="str">
            <v>Dvůr Králové</v>
          </cell>
          <cell r="D483" t="str">
            <v>CZ/C2</v>
          </cell>
          <cell r="E483" t="str">
            <v>M</v>
          </cell>
          <cell r="F483" t="str">
            <v/>
          </cell>
        </row>
        <row r="484">
          <cell r="A484" t="str">
            <v>Martin Hrivna</v>
          </cell>
          <cell r="B484">
            <v>1978</v>
          </cell>
          <cell r="C484" t="str">
            <v>Zbraslavice</v>
          </cell>
          <cell r="D484" t="str">
            <v>CZ/C1</v>
          </cell>
          <cell r="E484" t="str">
            <v>M</v>
          </cell>
          <cell r="F484" t="str">
            <v/>
          </cell>
        </row>
        <row r="485">
          <cell r="A485" t="str">
            <v>Martin Chovan</v>
          </cell>
          <cell r="B485">
            <v>1973</v>
          </cell>
          <cell r="C485" t="str">
            <v>Zbraslavice</v>
          </cell>
          <cell r="D485" t="str">
            <v>CZ/C1</v>
          </cell>
          <cell r="E485" t="str">
            <v>M</v>
          </cell>
          <cell r="F485" t="str">
            <v/>
          </cell>
        </row>
        <row r="486">
          <cell r="A486" t="str">
            <v>Martin Janousek</v>
          </cell>
          <cell r="B486">
            <v>1985</v>
          </cell>
          <cell r="C486" t="str">
            <v>Turnov</v>
          </cell>
          <cell r="D486" t="str">
            <v>CZ/C2</v>
          </cell>
          <cell r="E486" t="str">
            <v>M</v>
          </cell>
          <cell r="F486" t="str">
            <v/>
          </cell>
        </row>
        <row r="487">
          <cell r="A487" t="str">
            <v>Martin Koci</v>
          </cell>
          <cell r="B487">
            <v>1975</v>
          </cell>
          <cell r="C487" t="str">
            <v>Ústí nad Orlicí</v>
          </cell>
          <cell r="D487" t="str">
            <v>CZ/C2</v>
          </cell>
          <cell r="E487" t="str">
            <v>M</v>
          </cell>
          <cell r="F487" t="str">
            <v/>
          </cell>
        </row>
        <row r="488">
          <cell r="A488" t="str">
            <v>Martin Kozina</v>
          </cell>
          <cell r="B488">
            <v>1970</v>
          </cell>
          <cell r="C488" t="str">
            <v>Křižanov</v>
          </cell>
          <cell r="D488" t="str">
            <v>CZ/M</v>
          </cell>
          <cell r="E488" t="str">
            <v>M</v>
          </cell>
          <cell r="F488" t="str">
            <v/>
          </cell>
        </row>
        <row r="489">
          <cell r="A489" t="str">
            <v>Martin Kriz</v>
          </cell>
          <cell r="B489">
            <v>1968</v>
          </cell>
          <cell r="C489" t="str">
            <v>Přibyslav</v>
          </cell>
          <cell r="D489" t="str">
            <v>CZ/C2</v>
          </cell>
          <cell r="E489" t="str">
            <v>M</v>
          </cell>
          <cell r="F489" t="str">
            <v/>
          </cell>
        </row>
        <row r="490">
          <cell r="A490" t="str">
            <v>Martin Krizovic</v>
          </cell>
          <cell r="B490">
            <v>1971</v>
          </cell>
          <cell r="C490" t="str">
            <v>Přibyslav</v>
          </cell>
          <cell r="D490" t="str">
            <v>CZ/C2</v>
          </cell>
          <cell r="E490" t="str">
            <v>M</v>
          </cell>
          <cell r="F490" t="str">
            <v/>
          </cell>
        </row>
        <row r="491">
          <cell r="A491" t="str">
            <v>Martin Liptak</v>
          </cell>
          <cell r="B491">
            <v>1970</v>
          </cell>
          <cell r="C491" t="str">
            <v>Toužim</v>
          </cell>
          <cell r="D491" t="str">
            <v>CZ/C1</v>
          </cell>
          <cell r="E491" t="str">
            <v>M</v>
          </cell>
          <cell r="F491" t="str">
            <v/>
          </cell>
        </row>
        <row r="492">
          <cell r="A492" t="str">
            <v>Martin Marek</v>
          </cell>
          <cell r="B492">
            <v>1967</v>
          </cell>
          <cell r="C492" t="str">
            <v>Roudnice</v>
          </cell>
          <cell r="D492" t="str">
            <v>CZ/C2</v>
          </cell>
          <cell r="E492" t="str">
            <v>M</v>
          </cell>
          <cell r="F492" t="str">
            <v/>
          </cell>
        </row>
        <row r="493">
          <cell r="A493" t="str">
            <v>Martin Marhefka</v>
          </cell>
          <cell r="B493">
            <v>1975</v>
          </cell>
          <cell r="C493" t="str">
            <v>Kyjov</v>
          </cell>
          <cell r="D493" t="str">
            <v>CZ/M</v>
          </cell>
          <cell r="E493" t="str">
            <v>M</v>
          </cell>
          <cell r="F493" t="str">
            <v/>
          </cell>
        </row>
        <row r="494">
          <cell r="A494" t="str">
            <v>Martin Markl</v>
          </cell>
          <cell r="B494">
            <v>1960</v>
          </cell>
          <cell r="C494" t="str">
            <v>Kolín</v>
          </cell>
          <cell r="D494" t="str">
            <v>CZ/C1</v>
          </cell>
          <cell r="E494" t="str">
            <v>M</v>
          </cell>
          <cell r="F494" t="str">
            <v/>
          </cell>
        </row>
        <row r="495">
          <cell r="A495" t="str">
            <v>Martin Molnar</v>
          </cell>
          <cell r="B495">
            <v>1986</v>
          </cell>
          <cell r="C495" t="str">
            <v>Šumperk</v>
          </cell>
          <cell r="D495" t="str">
            <v>CZ/M</v>
          </cell>
          <cell r="E495" t="str">
            <v>M</v>
          </cell>
          <cell r="F495" t="str">
            <v/>
          </cell>
        </row>
        <row r="496">
          <cell r="A496" t="str">
            <v>Martin Nejezchleb</v>
          </cell>
          <cell r="B496">
            <v>1979</v>
          </cell>
          <cell r="C496" t="str">
            <v>Plzeň Bory</v>
          </cell>
          <cell r="D496" t="str">
            <v>CZ/C1</v>
          </cell>
          <cell r="E496" t="str">
            <v>M</v>
          </cell>
          <cell r="F496" t="str">
            <v/>
          </cell>
        </row>
        <row r="497">
          <cell r="A497" t="str">
            <v>Martin Novak</v>
          </cell>
          <cell r="B497">
            <v>1976</v>
          </cell>
          <cell r="C497" t="str">
            <v>Slaný</v>
          </cell>
          <cell r="D497" t="str">
            <v>CZ/C1</v>
          </cell>
          <cell r="E497" t="str">
            <v>M</v>
          </cell>
          <cell r="F497" t="str">
            <v/>
          </cell>
        </row>
        <row r="498">
          <cell r="A498" t="str">
            <v>Martin Pehe</v>
          </cell>
          <cell r="B498">
            <v>1978</v>
          </cell>
          <cell r="C498" t="str">
            <v>Soběslav</v>
          </cell>
          <cell r="D498" t="str">
            <v>CZ/C1</v>
          </cell>
          <cell r="E498" t="str">
            <v>M</v>
          </cell>
          <cell r="F498" t="str">
            <v/>
          </cell>
        </row>
        <row r="499">
          <cell r="A499" t="str">
            <v>Martin Pekar</v>
          </cell>
          <cell r="B499">
            <v>1973</v>
          </cell>
          <cell r="C499" t="str">
            <v>Šumperk</v>
          </cell>
          <cell r="D499" t="str">
            <v>CZ/M</v>
          </cell>
          <cell r="E499" t="str">
            <v>M</v>
          </cell>
          <cell r="F499" t="str">
            <v/>
          </cell>
        </row>
        <row r="500">
          <cell r="A500" t="str">
            <v>Martin Picka</v>
          </cell>
          <cell r="B500">
            <v>1974</v>
          </cell>
          <cell r="C500" t="str">
            <v>Tábor</v>
          </cell>
          <cell r="D500" t="str">
            <v>CZ/C1</v>
          </cell>
          <cell r="E500" t="str">
            <v>M</v>
          </cell>
          <cell r="F500" t="str">
            <v/>
          </cell>
        </row>
        <row r="501">
          <cell r="A501" t="str">
            <v>Martin Piskacek</v>
          </cell>
          <cell r="B501">
            <v>1991</v>
          </cell>
          <cell r="C501" t="str">
            <v>Křižanov</v>
          </cell>
          <cell r="D501" t="str">
            <v>CZ/M</v>
          </cell>
          <cell r="E501" t="str">
            <v>M</v>
          </cell>
          <cell r="F501" t="str">
            <v/>
          </cell>
        </row>
        <row r="502">
          <cell r="A502" t="str">
            <v>Martin Sehnoutka</v>
          </cell>
          <cell r="B502">
            <v>1970</v>
          </cell>
          <cell r="C502" t="str">
            <v>Dvůr Králové</v>
          </cell>
          <cell r="D502" t="str">
            <v>CZ/C2</v>
          </cell>
          <cell r="E502" t="str">
            <v>M</v>
          </cell>
          <cell r="F502" t="str">
            <v/>
          </cell>
        </row>
        <row r="503">
          <cell r="A503" t="str">
            <v>Martin Skala</v>
          </cell>
          <cell r="B503">
            <v>1985</v>
          </cell>
          <cell r="C503" t="str">
            <v>Vrchlabí</v>
          </cell>
          <cell r="D503" t="str">
            <v>CZ/C2</v>
          </cell>
          <cell r="E503" t="str">
            <v>M</v>
          </cell>
          <cell r="F503" t="str">
            <v/>
          </cell>
        </row>
        <row r="504">
          <cell r="A504" t="str">
            <v>Martin Soldan</v>
          </cell>
          <cell r="B504">
            <v>2001</v>
          </cell>
          <cell r="C504" t="str">
            <v>Hronov</v>
          </cell>
          <cell r="D504" t="str">
            <v>CZ/C2</v>
          </cell>
          <cell r="E504" t="str">
            <v>M</v>
          </cell>
          <cell r="F504" t="str">
            <v>Junior v roce 2024</v>
          </cell>
        </row>
        <row r="505">
          <cell r="A505" t="str">
            <v>Martin Soucek</v>
          </cell>
          <cell r="B505">
            <v>1975</v>
          </cell>
          <cell r="C505" t="str">
            <v>Mladá Boleslav</v>
          </cell>
          <cell r="D505" t="str">
            <v>CZ/C1</v>
          </cell>
          <cell r="E505" t="str">
            <v>M</v>
          </cell>
          <cell r="F505" t="str">
            <v/>
          </cell>
        </row>
        <row r="506">
          <cell r="A506" t="str">
            <v>Martin Stastny</v>
          </cell>
          <cell r="B506">
            <v>2005</v>
          </cell>
          <cell r="C506" t="str">
            <v>Medlánky</v>
          </cell>
          <cell r="D506" t="str">
            <v>CZ/M</v>
          </cell>
          <cell r="E506" t="str">
            <v>M</v>
          </cell>
          <cell r="F506" t="str">
            <v>Junior v roce 2024</v>
          </cell>
        </row>
        <row r="507">
          <cell r="A507" t="str">
            <v>Martin Suchy</v>
          </cell>
          <cell r="B507">
            <v>1969</v>
          </cell>
          <cell r="C507" t="str">
            <v>Hranice</v>
          </cell>
          <cell r="D507" t="str">
            <v>CZ/M</v>
          </cell>
          <cell r="E507" t="str">
            <v>M</v>
          </cell>
          <cell r="F507" t="str">
            <v/>
          </cell>
        </row>
        <row r="508">
          <cell r="A508" t="str">
            <v>Martin Svacina</v>
          </cell>
          <cell r="B508">
            <v>1965</v>
          </cell>
          <cell r="C508" t="str">
            <v>Frýdlant</v>
          </cell>
          <cell r="D508" t="str">
            <v>CZ/M</v>
          </cell>
          <cell r="E508" t="str">
            <v>M</v>
          </cell>
          <cell r="F508" t="str">
            <v/>
          </cell>
        </row>
        <row r="509">
          <cell r="A509" t="str">
            <v>Martin Svoboda</v>
          </cell>
          <cell r="B509">
            <v>1989</v>
          </cell>
          <cell r="C509" t="str">
            <v>Letkov</v>
          </cell>
          <cell r="D509" t="str">
            <v>CZ/C1</v>
          </cell>
          <cell r="E509" t="str">
            <v>M</v>
          </cell>
          <cell r="F509" t="str">
            <v/>
          </cell>
        </row>
        <row r="510">
          <cell r="A510" t="str">
            <v>Martin Sonka</v>
          </cell>
          <cell r="B510">
            <v>1978</v>
          </cell>
          <cell r="C510" t="str">
            <v>Tábor</v>
          </cell>
          <cell r="D510" t="str">
            <v>CZ/C1</v>
          </cell>
          <cell r="E510" t="str">
            <v>M</v>
          </cell>
          <cell r="F510" t="str">
            <v/>
          </cell>
        </row>
        <row r="511">
          <cell r="A511" t="str">
            <v>Martin Stepanek</v>
          </cell>
          <cell r="B511">
            <v>1987</v>
          </cell>
          <cell r="C511" t="str">
            <v>Moravská Třebová</v>
          </cell>
          <cell r="D511" t="str">
            <v>CZ/M</v>
          </cell>
          <cell r="E511" t="str">
            <v>M</v>
          </cell>
          <cell r="F511" t="str">
            <v/>
          </cell>
        </row>
        <row r="512">
          <cell r="A512" t="str">
            <v>Martin Stepka</v>
          </cell>
          <cell r="B512">
            <v>1966</v>
          </cell>
          <cell r="C512" t="str">
            <v>Turnov</v>
          </cell>
          <cell r="D512" t="str">
            <v>CZ/C2</v>
          </cell>
          <cell r="E512" t="str">
            <v>M</v>
          </cell>
          <cell r="F512" t="str">
            <v/>
          </cell>
        </row>
        <row r="513">
          <cell r="A513" t="str">
            <v>Martin Svarc</v>
          </cell>
          <cell r="B513">
            <v>1981</v>
          </cell>
          <cell r="C513" t="str">
            <v>Olomouc</v>
          </cell>
          <cell r="D513" t="str">
            <v>CZ/M</v>
          </cell>
          <cell r="E513" t="str">
            <v>M</v>
          </cell>
          <cell r="F513" t="str">
            <v/>
          </cell>
        </row>
        <row r="514">
          <cell r="A514" t="str">
            <v>Martin Tison</v>
          </cell>
          <cell r="B514">
            <v>2000</v>
          </cell>
          <cell r="C514" t="str">
            <v>Hosín</v>
          </cell>
          <cell r="D514" t="str">
            <v>CZ/C1</v>
          </cell>
          <cell r="E514" t="str">
            <v>M</v>
          </cell>
          <cell r="F514" t="str">
            <v>Junior v roce 2024</v>
          </cell>
        </row>
        <row r="515">
          <cell r="A515" t="str">
            <v>Martin Urban</v>
          </cell>
          <cell r="B515">
            <v>1971</v>
          </cell>
          <cell r="C515" t="str">
            <v>Frýdlant</v>
          </cell>
          <cell r="D515" t="str">
            <v>CZ/M</v>
          </cell>
          <cell r="E515" t="str">
            <v>M</v>
          </cell>
          <cell r="F515" t="str">
            <v/>
          </cell>
        </row>
        <row r="516">
          <cell r="A516" t="str">
            <v>Martin Urner</v>
          </cell>
          <cell r="B516">
            <v>1974</v>
          </cell>
          <cell r="C516" t="str">
            <v>Letňany</v>
          </cell>
          <cell r="D516" t="str">
            <v>CZ/C1</v>
          </cell>
          <cell r="E516" t="str">
            <v>M</v>
          </cell>
          <cell r="F516" t="str">
            <v/>
          </cell>
        </row>
        <row r="517">
          <cell r="A517" t="str">
            <v>Martin Valenta</v>
          </cell>
          <cell r="B517">
            <v>1969</v>
          </cell>
          <cell r="C517" t="str">
            <v>Toužim</v>
          </cell>
          <cell r="D517" t="str">
            <v>CZ/C1</v>
          </cell>
          <cell r="E517" t="str">
            <v>M</v>
          </cell>
          <cell r="F517" t="str">
            <v/>
          </cell>
        </row>
        <row r="518">
          <cell r="A518" t="str">
            <v>Martin Vana</v>
          </cell>
          <cell r="B518">
            <v>1979</v>
          </cell>
          <cell r="C518" t="str">
            <v>Mladá Boleslav</v>
          </cell>
          <cell r="D518" t="str">
            <v>CZ/C1</v>
          </cell>
          <cell r="E518" t="str">
            <v>M</v>
          </cell>
          <cell r="F518" t="str">
            <v/>
          </cell>
        </row>
        <row r="519">
          <cell r="A519" t="str">
            <v>Martin Vnoucek</v>
          </cell>
          <cell r="B519">
            <v>1972</v>
          </cell>
          <cell r="C519" t="str">
            <v>Vlašim</v>
          </cell>
          <cell r="D519" t="str">
            <v>CZ/C1</v>
          </cell>
          <cell r="E519" t="str">
            <v>M</v>
          </cell>
          <cell r="F519" t="str">
            <v/>
          </cell>
        </row>
        <row r="520">
          <cell r="A520" t="str">
            <v>Martin Vondracek</v>
          </cell>
          <cell r="B520">
            <v>1967</v>
          </cell>
          <cell r="C520" t="str">
            <v>Hronov</v>
          </cell>
          <cell r="D520" t="str">
            <v>CZ/C2</v>
          </cell>
          <cell r="E520" t="str">
            <v>M</v>
          </cell>
          <cell r="F520" t="str">
            <v/>
          </cell>
        </row>
        <row r="521">
          <cell r="A521" t="str">
            <v>Martin Vrba</v>
          </cell>
          <cell r="B521">
            <v>1977</v>
          </cell>
          <cell r="C521" t="str">
            <v>Toužim</v>
          </cell>
          <cell r="D521" t="str">
            <v>CZ/C1</v>
          </cell>
          <cell r="E521" t="str">
            <v>M</v>
          </cell>
          <cell r="F521" t="str">
            <v/>
          </cell>
        </row>
        <row r="522">
          <cell r="A522" t="str">
            <v>Martin Vyskocil</v>
          </cell>
          <cell r="B522">
            <v>1981</v>
          </cell>
          <cell r="C522" t="str">
            <v>Hodkovice</v>
          </cell>
          <cell r="D522" t="str">
            <v>CZ/C2</v>
          </cell>
          <cell r="E522" t="str">
            <v>M</v>
          </cell>
          <cell r="F522" t="str">
            <v/>
          </cell>
        </row>
        <row r="523">
          <cell r="A523" t="str">
            <v>Martin Zahalka</v>
          </cell>
          <cell r="B523">
            <v>1987</v>
          </cell>
          <cell r="C523" t="str">
            <v>Staňkov</v>
          </cell>
          <cell r="D523" t="str">
            <v>CZ/C1</v>
          </cell>
          <cell r="E523" t="str">
            <v>M</v>
          </cell>
          <cell r="F523" t="str">
            <v/>
          </cell>
        </row>
        <row r="524">
          <cell r="A524" t="str">
            <v>Martin Zvonicek</v>
          </cell>
          <cell r="B524">
            <v>1972</v>
          </cell>
          <cell r="C524" t="str">
            <v>Raná</v>
          </cell>
          <cell r="D524" t="str">
            <v>CZ/C2</v>
          </cell>
          <cell r="E524" t="str">
            <v>M</v>
          </cell>
          <cell r="F524" t="str">
            <v/>
          </cell>
        </row>
        <row r="525">
          <cell r="A525" t="str">
            <v>Martina Bartonikova</v>
          </cell>
          <cell r="B525">
            <v>1990</v>
          </cell>
          <cell r="C525" t="str">
            <v>Luhačovice</v>
          </cell>
          <cell r="D525" t="str">
            <v>CZ/M</v>
          </cell>
          <cell r="E525" t="str">
            <v>F</v>
          </cell>
          <cell r="F525" t="str">
            <v/>
          </cell>
        </row>
        <row r="526">
          <cell r="A526" t="str">
            <v>Martina Kloubova</v>
          </cell>
          <cell r="B526">
            <v>1991</v>
          </cell>
          <cell r="C526" t="str">
            <v>Hodkovice</v>
          </cell>
          <cell r="D526" t="str">
            <v>CZ/C2</v>
          </cell>
          <cell r="E526" t="str">
            <v>F</v>
          </cell>
          <cell r="F526" t="str">
            <v/>
          </cell>
        </row>
        <row r="527">
          <cell r="A527" t="str">
            <v>Martina Voráčová</v>
          </cell>
          <cell r="B527">
            <v>1988</v>
          </cell>
          <cell r="C527" t="str">
            <v>Křižanov</v>
          </cell>
          <cell r="D527" t="str">
            <v>CZ/M</v>
          </cell>
          <cell r="E527" t="str">
            <v>F</v>
          </cell>
          <cell r="F527" t="str">
            <v/>
          </cell>
        </row>
        <row r="528">
          <cell r="A528" t="str">
            <v>Matej Bartos</v>
          </cell>
          <cell r="B528">
            <v>1998</v>
          </cell>
          <cell r="C528" t="str">
            <v>Hodkovice</v>
          </cell>
          <cell r="D528" t="str">
            <v>CZ/C2</v>
          </cell>
          <cell r="E528" t="str">
            <v>M</v>
          </cell>
          <cell r="F528" t="str">
            <v/>
          </cell>
        </row>
        <row r="529">
          <cell r="A529" t="str">
            <v>Matej Dolejs</v>
          </cell>
          <cell r="B529">
            <v>2004</v>
          </cell>
          <cell r="C529" t="str">
            <v>Beroun</v>
          </cell>
          <cell r="D529" t="str">
            <v>CZ/C1</v>
          </cell>
          <cell r="E529" t="str">
            <v>M</v>
          </cell>
          <cell r="F529" t="str">
            <v>Junior v roce 2024</v>
          </cell>
        </row>
        <row r="530">
          <cell r="A530" t="str">
            <v>Matej Charouz</v>
          </cell>
          <cell r="B530">
            <v>1993</v>
          </cell>
          <cell r="C530" t="str">
            <v>Hodkovice</v>
          </cell>
          <cell r="D530" t="str">
            <v>CZ/C2</v>
          </cell>
          <cell r="E530" t="str">
            <v>M</v>
          </cell>
          <cell r="F530" t="str">
            <v/>
          </cell>
        </row>
        <row r="531">
          <cell r="A531" t="str">
            <v>Matej Jelinek</v>
          </cell>
          <cell r="B531">
            <v>1999</v>
          </cell>
          <cell r="C531" t="str">
            <v>Hronov</v>
          </cell>
          <cell r="D531" t="str">
            <v>CZ/C2</v>
          </cell>
          <cell r="E531" t="str">
            <v>M</v>
          </cell>
          <cell r="F531" t="str">
            <v>Junior v roce 2024</v>
          </cell>
        </row>
        <row r="532">
          <cell r="A532" t="str">
            <v>Matej Kiss</v>
          </cell>
          <cell r="B532">
            <v>1990</v>
          </cell>
          <cell r="C532" t="str">
            <v>Točná</v>
          </cell>
          <cell r="D532" t="str">
            <v>CZ/C1</v>
          </cell>
          <cell r="E532" t="str">
            <v>M</v>
          </cell>
          <cell r="F532" t="str">
            <v/>
          </cell>
        </row>
        <row r="533">
          <cell r="A533" t="str">
            <v>Matej Krestes</v>
          </cell>
          <cell r="B533">
            <v>1986</v>
          </cell>
          <cell r="C533" t="str">
            <v>Slaný</v>
          </cell>
          <cell r="D533" t="str">
            <v>CZ/C1</v>
          </cell>
          <cell r="E533" t="str">
            <v>M</v>
          </cell>
          <cell r="F533" t="str">
            <v/>
          </cell>
        </row>
        <row r="534">
          <cell r="A534" t="str">
            <v>Matej Plch</v>
          </cell>
          <cell r="B534">
            <v>1987</v>
          </cell>
          <cell r="C534" t="str">
            <v>Letkov</v>
          </cell>
          <cell r="D534" t="str">
            <v>CZ/C1</v>
          </cell>
          <cell r="E534" t="str">
            <v>M</v>
          </cell>
          <cell r="F534" t="str">
            <v/>
          </cell>
        </row>
        <row r="535">
          <cell r="A535" t="str">
            <v>Matej Rendla</v>
          </cell>
          <cell r="B535">
            <v>2000</v>
          </cell>
          <cell r="C535" t="str">
            <v>Zbraslavice</v>
          </cell>
          <cell r="D535" t="str">
            <v>CZ/C1</v>
          </cell>
          <cell r="E535" t="str">
            <v>M</v>
          </cell>
          <cell r="F535" t="str">
            <v>Junior v roce 2024</v>
          </cell>
        </row>
        <row r="536">
          <cell r="A536" t="str">
            <v>Matej Uhlik</v>
          </cell>
          <cell r="B536">
            <v>1995</v>
          </cell>
          <cell r="C536" t="str">
            <v>Letkov</v>
          </cell>
          <cell r="D536" t="str">
            <v>CZ/C1</v>
          </cell>
          <cell r="E536" t="str">
            <v>M</v>
          </cell>
          <cell r="F536" t="str">
            <v/>
          </cell>
        </row>
        <row r="537">
          <cell r="A537" t="str">
            <v>Matous Schmidt</v>
          </cell>
          <cell r="B537">
            <v>1981</v>
          </cell>
          <cell r="C537" t="str">
            <v>Letňany</v>
          </cell>
          <cell r="D537" t="str">
            <v>CZ/C1</v>
          </cell>
          <cell r="E537" t="str">
            <v>M</v>
          </cell>
          <cell r="F537" t="str">
            <v/>
          </cell>
        </row>
        <row r="538">
          <cell r="A538" t="str">
            <v>Michael Cernes</v>
          </cell>
          <cell r="B538">
            <v>1997</v>
          </cell>
          <cell r="C538" t="str">
            <v>Letňany</v>
          </cell>
          <cell r="D538" t="str">
            <v>CZ/C1</v>
          </cell>
          <cell r="E538" t="str">
            <v>M</v>
          </cell>
          <cell r="F538" t="str">
            <v/>
          </cell>
        </row>
        <row r="539">
          <cell r="A539" t="str">
            <v>Michael Fik</v>
          </cell>
          <cell r="B539">
            <v>1972</v>
          </cell>
          <cell r="C539" t="str">
            <v>Strakonice</v>
          </cell>
          <cell r="D539" t="str">
            <v>CZ/C1</v>
          </cell>
          <cell r="E539" t="str">
            <v>M</v>
          </cell>
          <cell r="F539" t="str">
            <v/>
          </cell>
        </row>
        <row r="540">
          <cell r="A540" t="str">
            <v>Michaela Houskova</v>
          </cell>
          <cell r="B540">
            <v>1978</v>
          </cell>
          <cell r="C540" t="str">
            <v>Letkov</v>
          </cell>
          <cell r="D540" t="str">
            <v>CZ/C1</v>
          </cell>
          <cell r="E540" t="str">
            <v>F</v>
          </cell>
          <cell r="F540" t="str">
            <v/>
          </cell>
        </row>
        <row r="541">
          <cell r="A541" t="str">
            <v>Michaela Krizova</v>
          </cell>
          <cell r="B541">
            <v>2001</v>
          </cell>
          <cell r="C541" t="str">
            <v>Přibyslav</v>
          </cell>
          <cell r="D541" t="str">
            <v>CZ/C2</v>
          </cell>
          <cell r="E541" t="str">
            <v>F</v>
          </cell>
          <cell r="F541" t="str">
            <v>Junior v roce 2024</v>
          </cell>
        </row>
        <row r="542">
          <cell r="A542" t="str">
            <v>Michaela Rendlova</v>
          </cell>
          <cell r="B542">
            <v>2004</v>
          </cell>
          <cell r="C542" t="str">
            <v>Toužim</v>
          </cell>
          <cell r="D542" t="str">
            <v>CZ/C1</v>
          </cell>
          <cell r="E542" t="str">
            <v>F</v>
          </cell>
          <cell r="F542" t="str">
            <v>Junior v roce 2024</v>
          </cell>
        </row>
        <row r="543">
          <cell r="A543" t="str">
            <v>Michaela Sirmerova</v>
          </cell>
          <cell r="B543">
            <v>2000</v>
          </cell>
          <cell r="C543" t="str">
            <v>Jihlava</v>
          </cell>
          <cell r="D543" t="str">
            <v>CZ/M</v>
          </cell>
          <cell r="E543" t="str">
            <v>F</v>
          </cell>
          <cell r="F543" t="str">
            <v>Junior v roce 2024</v>
          </cell>
        </row>
        <row r="544">
          <cell r="A544" t="str">
            <v>MIchaela Vlacilikova</v>
          </cell>
          <cell r="B544">
            <v>1993</v>
          </cell>
          <cell r="C544" t="str">
            <v>Luhačovice</v>
          </cell>
          <cell r="D544" t="str">
            <v>CZ/M</v>
          </cell>
          <cell r="E544" t="str">
            <v>F</v>
          </cell>
          <cell r="F544" t="str">
            <v/>
          </cell>
        </row>
        <row r="545">
          <cell r="A545" t="str">
            <v>Michal Budejovsky</v>
          </cell>
          <cell r="B545">
            <v>1991</v>
          </cell>
          <cell r="C545" t="str">
            <v>Letkov</v>
          </cell>
          <cell r="D545" t="str">
            <v>CZ/C1</v>
          </cell>
          <cell r="E545" t="str">
            <v>M</v>
          </cell>
          <cell r="F545" t="str">
            <v/>
          </cell>
        </row>
        <row r="546">
          <cell r="A546" t="str">
            <v>Michal Buryan</v>
          </cell>
          <cell r="B546">
            <v>1977</v>
          </cell>
          <cell r="C546" t="str">
            <v>Vysoké Mýto</v>
          </cell>
          <cell r="D546" t="str">
            <v>CZ/C2</v>
          </cell>
          <cell r="E546" t="str">
            <v>M</v>
          </cell>
          <cell r="F546" t="str">
            <v/>
          </cell>
        </row>
        <row r="547">
          <cell r="A547" t="str">
            <v>Michal Coufal</v>
          </cell>
          <cell r="B547">
            <v>1999</v>
          </cell>
          <cell r="C547" t="str">
            <v>Jičín</v>
          </cell>
          <cell r="D547" t="str">
            <v>CZ/C2</v>
          </cell>
          <cell r="E547" t="str">
            <v>M</v>
          </cell>
          <cell r="F547" t="str">
            <v>Junior v roce 2024</v>
          </cell>
        </row>
        <row r="548">
          <cell r="A548" t="str">
            <v>Michal Cupak</v>
          </cell>
          <cell r="B548">
            <v>1991</v>
          </cell>
          <cell r="C548" t="str">
            <v>Medlánky</v>
          </cell>
          <cell r="D548" t="str">
            <v>CZ/M</v>
          </cell>
          <cell r="E548" t="str">
            <v>M</v>
          </cell>
          <cell r="F548" t="str">
            <v/>
          </cell>
        </row>
        <row r="549">
          <cell r="A549" t="str">
            <v>Michal Cechmanek</v>
          </cell>
          <cell r="B549">
            <v>1978</v>
          </cell>
          <cell r="C549" t="str">
            <v>Kroměříž</v>
          </cell>
          <cell r="D549" t="str">
            <v>CZ/M</v>
          </cell>
          <cell r="E549" t="str">
            <v>M</v>
          </cell>
          <cell r="F549" t="str">
            <v/>
          </cell>
        </row>
        <row r="550">
          <cell r="A550" t="str">
            <v>Michal Drab</v>
          </cell>
          <cell r="B550">
            <v>1969</v>
          </cell>
          <cell r="C550" t="str">
            <v>Letkov</v>
          </cell>
          <cell r="D550" t="str">
            <v>CZ/C1</v>
          </cell>
          <cell r="E550" t="str">
            <v>M</v>
          </cell>
          <cell r="F550" t="str">
            <v/>
          </cell>
        </row>
        <row r="551">
          <cell r="A551" t="str">
            <v>Michal Dvorak</v>
          </cell>
          <cell r="B551">
            <v>1986</v>
          </cell>
          <cell r="C551" t="str">
            <v>Zbraslavice</v>
          </cell>
          <cell r="D551" t="str">
            <v>CZ/C1</v>
          </cell>
          <cell r="E551" t="str">
            <v>M</v>
          </cell>
          <cell r="F551" t="str">
            <v/>
          </cell>
        </row>
        <row r="552">
          <cell r="A552" t="str">
            <v>Michal Fortik</v>
          </cell>
          <cell r="B552">
            <v>1976</v>
          </cell>
          <cell r="C552" t="str">
            <v>Točná</v>
          </cell>
          <cell r="D552" t="str">
            <v>CZ/C1</v>
          </cell>
          <cell r="E552" t="str">
            <v>M</v>
          </cell>
          <cell r="F552" t="str">
            <v/>
          </cell>
        </row>
        <row r="553">
          <cell r="A553" t="str">
            <v>Michal Hemrle</v>
          </cell>
          <cell r="B553">
            <v>1974</v>
          </cell>
          <cell r="C553" t="str">
            <v>Česká Lípa</v>
          </cell>
          <cell r="D553" t="str">
            <v>CZ/C2</v>
          </cell>
          <cell r="E553" t="str">
            <v>M</v>
          </cell>
          <cell r="F553" t="str">
            <v/>
          </cell>
        </row>
        <row r="554">
          <cell r="A554" t="str">
            <v>Michal Janda</v>
          </cell>
          <cell r="B554">
            <v>1972</v>
          </cell>
          <cell r="C554" t="str">
            <v>Broumov</v>
          </cell>
          <cell r="D554" t="str">
            <v>CZ/C2</v>
          </cell>
          <cell r="E554" t="str">
            <v>M</v>
          </cell>
          <cell r="F554" t="str">
            <v/>
          </cell>
        </row>
        <row r="555">
          <cell r="A555" t="str">
            <v>Michal Kares</v>
          </cell>
          <cell r="B555">
            <v>1987</v>
          </cell>
          <cell r="C555" t="str">
            <v>Ústí nad Orlicí</v>
          </cell>
          <cell r="D555" t="str">
            <v>CZ/C2</v>
          </cell>
          <cell r="E555" t="str">
            <v>M</v>
          </cell>
          <cell r="F555" t="str">
            <v/>
          </cell>
        </row>
        <row r="556">
          <cell r="A556" t="str">
            <v>Michal Kodousek</v>
          </cell>
          <cell r="B556">
            <v>1983</v>
          </cell>
          <cell r="C556" t="str">
            <v>Jaroměř</v>
          </cell>
          <cell r="D556" t="str">
            <v>CZ/C2</v>
          </cell>
          <cell r="E556" t="str">
            <v>M</v>
          </cell>
          <cell r="F556" t="str">
            <v/>
          </cell>
        </row>
        <row r="557">
          <cell r="A557" t="str">
            <v>Michal Kratochvil</v>
          </cell>
          <cell r="B557">
            <v>1984</v>
          </cell>
          <cell r="C557" t="str">
            <v>Slaný</v>
          </cell>
          <cell r="D557" t="str">
            <v>CZ/C1</v>
          </cell>
          <cell r="E557" t="str">
            <v>M</v>
          </cell>
          <cell r="F557" t="str">
            <v/>
          </cell>
        </row>
        <row r="558">
          <cell r="A558" t="str">
            <v>Michal Krupicka</v>
          </cell>
          <cell r="B558">
            <v>1975</v>
          </cell>
          <cell r="C558" t="str">
            <v>Most</v>
          </cell>
          <cell r="D558" t="str">
            <v>CZ/C2</v>
          </cell>
          <cell r="E558" t="str">
            <v>M</v>
          </cell>
          <cell r="F558" t="str">
            <v/>
          </cell>
        </row>
        <row r="559">
          <cell r="A559" t="str">
            <v>Michal Lesinger</v>
          </cell>
          <cell r="B559">
            <v>1966</v>
          </cell>
          <cell r="C559" t="str">
            <v>Moravská Třebová</v>
          </cell>
          <cell r="D559" t="str">
            <v>CZ/M</v>
          </cell>
          <cell r="E559" t="str">
            <v>M</v>
          </cell>
          <cell r="F559" t="str">
            <v/>
          </cell>
        </row>
        <row r="560">
          <cell r="A560" t="str">
            <v>Michal Linhart</v>
          </cell>
          <cell r="B560">
            <v>1982</v>
          </cell>
          <cell r="C560" t="str">
            <v>Vyškov</v>
          </cell>
          <cell r="D560" t="str">
            <v>CZ/M</v>
          </cell>
          <cell r="E560" t="str">
            <v>M</v>
          </cell>
          <cell r="F560" t="str">
            <v/>
          </cell>
        </row>
        <row r="561">
          <cell r="A561" t="str">
            <v>Michal Maly</v>
          </cell>
          <cell r="B561">
            <v>1982</v>
          </cell>
          <cell r="C561" t="str">
            <v>Broumov</v>
          </cell>
          <cell r="D561" t="str">
            <v>CZ/C2</v>
          </cell>
          <cell r="E561" t="str">
            <v>M</v>
          </cell>
          <cell r="F561" t="str">
            <v/>
          </cell>
        </row>
        <row r="562">
          <cell r="A562" t="str">
            <v>Michal Marek</v>
          </cell>
          <cell r="B562">
            <v>1982</v>
          </cell>
          <cell r="C562" t="str">
            <v>Křižanov</v>
          </cell>
          <cell r="D562" t="str">
            <v>CZ/M</v>
          </cell>
          <cell r="E562" t="str">
            <v>M</v>
          </cell>
          <cell r="F562" t="str">
            <v/>
          </cell>
        </row>
        <row r="563">
          <cell r="A563" t="str">
            <v>Michal Navratil</v>
          </cell>
          <cell r="B563">
            <v>1985</v>
          </cell>
          <cell r="C563" t="str">
            <v>Křižanov</v>
          </cell>
          <cell r="D563" t="str">
            <v>CZ/M</v>
          </cell>
          <cell r="E563" t="str">
            <v>M</v>
          </cell>
          <cell r="F563" t="str">
            <v/>
          </cell>
        </row>
        <row r="564">
          <cell r="A564" t="str">
            <v>Michal Nutil</v>
          </cell>
          <cell r="B564">
            <v>1966</v>
          </cell>
          <cell r="C564" t="str">
            <v>Náchod</v>
          </cell>
          <cell r="D564" t="str">
            <v>CZ/C2</v>
          </cell>
          <cell r="E564" t="str">
            <v>M</v>
          </cell>
          <cell r="F564" t="str">
            <v/>
          </cell>
        </row>
        <row r="565">
          <cell r="A565" t="str">
            <v>Michal Ondracek</v>
          </cell>
          <cell r="B565">
            <v>1966</v>
          </cell>
          <cell r="C565" t="str">
            <v>Medlánky</v>
          </cell>
          <cell r="D565" t="str">
            <v>CZ/M</v>
          </cell>
          <cell r="E565" t="str">
            <v>M</v>
          </cell>
          <cell r="F565" t="str">
            <v/>
          </cell>
        </row>
        <row r="566">
          <cell r="A566" t="str">
            <v>Michal Posluzny</v>
          </cell>
          <cell r="B566">
            <v>1968</v>
          </cell>
          <cell r="C566" t="str">
            <v>Medlánky</v>
          </cell>
          <cell r="D566" t="str">
            <v>CZ/M</v>
          </cell>
          <cell r="E566" t="str">
            <v>M</v>
          </cell>
          <cell r="F566" t="str">
            <v/>
          </cell>
        </row>
        <row r="567">
          <cell r="A567" t="str">
            <v>Michal Rancak</v>
          </cell>
          <cell r="B567">
            <v>1984</v>
          </cell>
          <cell r="C567" t="str">
            <v>Mladá Boleslav</v>
          </cell>
          <cell r="D567" t="str">
            <v>CZ/C1</v>
          </cell>
          <cell r="E567" t="str">
            <v>M</v>
          </cell>
          <cell r="F567" t="str">
            <v/>
          </cell>
        </row>
        <row r="568">
          <cell r="A568" t="str">
            <v>Michal Richter</v>
          </cell>
          <cell r="B568">
            <v>1983</v>
          </cell>
          <cell r="C568" t="str">
            <v>Kolín</v>
          </cell>
          <cell r="D568" t="str">
            <v>CZ/C1</v>
          </cell>
          <cell r="E568" t="str">
            <v>M</v>
          </cell>
          <cell r="F568" t="str">
            <v/>
          </cell>
        </row>
        <row r="569">
          <cell r="A569" t="str">
            <v>Michal Sebek</v>
          </cell>
          <cell r="B569">
            <v>1998</v>
          </cell>
          <cell r="C569" t="str">
            <v>Letňany</v>
          </cell>
          <cell r="D569" t="str">
            <v>CZ/C1</v>
          </cell>
          <cell r="E569" t="str">
            <v>M</v>
          </cell>
          <cell r="F569" t="str">
            <v/>
          </cell>
        </row>
        <row r="570">
          <cell r="A570" t="str">
            <v>Michal Sich</v>
          </cell>
          <cell r="B570">
            <v>1979</v>
          </cell>
          <cell r="C570" t="str">
            <v>Mladá Boleslav</v>
          </cell>
          <cell r="D570" t="str">
            <v>CZ/C1</v>
          </cell>
          <cell r="E570" t="str">
            <v>M</v>
          </cell>
          <cell r="F570" t="str">
            <v/>
          </cell>
        </row>
        <row r="571">
          <cell r="A571" t="str">
            <v>Michal Stastny</v>
          </cell>
          <cell r="B571">
            <v>1970</v>
          </cell>
          <cell r="C571" t="str">
            <v>Medlánky</v>
          </cell>
          <cell r="D571" t="str">
            <v>CZ/M</v>
          </cell>
          <cell r="E571" t="str">
            <v>M</v>
          </cell>
          <cell r="F571" t="str">
            <v/>
          </cell>
        </row>
        <row r="572">
          <cell r="A572" t="str">
            <v>Michal Trylc</v>
          </cell>
          <cell r="B572">
            <v>1987</v>
          </cell>
          <cell r="C572" t="str">
            <v>Plasy</v>
          </cell>
          <cell r="D572" t="str">
            <v>CZ/C1</v>
          </cell>
          <cell r="E572" t="str">
            <v>M</v>
          </cell>
          <cell r="F572" t="str">
            <v/>
          </cell>
        </row>
        <row r="573">
          <cell r="A573" t="str">
            <v>Michal Vopalensky</v>
          </cell>
          <cell r="B573">
            <v>1974</v>
          </cell>
          <cell r="C573" t="str">
            <v>Letňany</v>
          </cell>
          <cell r="D573" t="str">
            <v>CZ/C1</v>
          </cell>
          <cell r="E573" t="str">
            <v>M</v>
          </cell>
          <cell r="F573" t="str">
            <v/>
          </cell>
        </row>
        <row r="574">
          <cell r="A574" t="str">
            <v>Michal Vorlicek</v>
          </cell>
          <cell r="B574">
            <v>1995</v>
          </cell>
          <cell r="C574" t="str">
            <v>Kolín</v>
          </cell>
          <cell r="D574" t="str">
            <v>CZ/C1</v>
          </cell>
          <cell r="E574" t="str">
            <v>M</v>
          </cell>
          <cell r="F574" t="str">
            <v/>
          </cell>
        </row>
        <row r="575">
          <cell r="A575" t="str">
            <v>Michal Vrana</v>
          </cell>
          <cell r="B575">
            <v>1999</v>
          </cell>
          <cell r="C575" t="str">
            <v>Vyškov</v>
          </cell>
          <cell r="D575" t="str">
            <v>CZ/M</v>
          </cell>
          <cell r="E575" t="str">
            <v>M</v>
          </cell>
          <cell r="F575" t="str">
            <v>Junior v roce 2024</v>
          </cell>
        </row>
        <row r="576">
          <cell r="A576" t="str">
            <v>Michal Vranek</v>
          </cell>
          <cell r="B576">
            <v>1993</v>
          </cell>
          <cell r="C576" t="str">
            <v>Hosín</v>
          </cell>
          <cell r="D576" t="str">
            <v>CZ/C1</v>
          </cell>
          <cell r="E576" t="str">
            <v>M</v>
          </cell>
          <cell r="F576" t="str">
            <v/>
          </cell>
        </row>
        <row r="577">
          <cell r="A577" t="str">
            <v>Milada Moudra</v>
          </cell>
          <cell r="B577">
            <v>1991</v>
          </cell>
          <cell r="C577" t="str">
            <v>Hodkovice</v>
          </cell>
          <cell r="D577" t="str">
            <v>CZ/C2</v>
          </cell>
          <cell r="E577" t="str">
            <v>F</v>
          </cell>
          <cell r="F577" t="str">
            <v/>
          </cell>
        </row>
        <row r="578">
          <cell r="A578" t="str">
            <v>Milan Bado</v>
          </cell>
          <cell r="B578">
            <v>1975</v>
          </cell>
          <cell r="C578" t="str">
            <v>Kolín</v>
          </cell>
          <cell r="D578" t="str">
            <v>CZ/C1</v>
          </cell>
          <cell r="E578" t="str">
            <v>M</v>
          </cell>
          <cell r="F578" t="str">
            <v/>
          </cell>
        </row>
        <row r="579">
          <cell r="A579" t="str">
            <v>Milan Benes</v>
          </cell>
          <cell r="B579">
            <v>1953</v>
          </cell>
          <cell r="C579" t="str">
            <v>Raná</v>
          </cell>
          <cell r="D579" t="str">
            <v>CZ/C2</v>
          </cell>
          <cell r="E579" t="str">
            <v>M</v>
          </cell>
          <cell r="F579" t="str">
            <v/>
          </cell>
        </row>
        <row r="580">
          <cell r="A580" t="str">
            <v>Milan Dvorak</v>
          </cell>
          <cell r="B580">
            <v>1965</v>
          </cell>
          <cell r="C580" t="str">
            <v>Liberec</v>
          </cell>
          <cell r="D580" t="str">
            <v>CZ/C2</v>
          </cell>
          <cell r="E580" t="str">
            <v>M</v>
          </cell>
          <cell r="F580" t="str">
            <v/>
          </cell>
        </row>
        <row r="581">
          <cell r="A581" t="str">
            <v>Milan Kuk</v>
          </cell>
          <cell r="B581">
            <v>1950</v>
          </cell>
          <cell r="C581" t="str">
            <v>Dvůr Králové</v>
          </cell>
          <cell r="D581" t="str">
            <v>CZ/C2</v>
          </cell>
          <cell r="E581" t="str">
            <v>M</v>
          </cell>
          <cell r="F581" t="str">
            <v/>
          </cell>
        </row>
        <row r="582">
          <cell r="A582" t="str">
            <v>Milan Meisner</v>
          </cell>
          <cell r="B582">
            <v>1961</v>
          </cell>
          <cell r="C582" t="str">
            <v>Dvůr Králové</v>
          </cell>
          <cell r="D582" t="str">
            <v>CZ/C2</v>
          </cell>
          <cell r="E582" t="str">
            <v>M</v>
          </cell>
          <cell r="F582" t="str">
            <v/>
          </cell>
        </row>
        <row r="583">
          <cell r="A583" t="str">
            <v>Milan Riha</v>
          </cell>
          <cell r="B583">
            <v>1973</v>
          </cell>
          <cell r="C583" t="str">
            <v>Zbraslavice</v>
          </cell>
          <cell r="D583" t="str">
            <v>CZ/C1</v>
          </cell>
          <cell r="E583" t="str">
            <v>M</v>
          </cell>
          <cell r="F583" t="str">
            <v/>
          </cell>
        </row>
        <row r="584">
          <cell r="A584" t="str">
            <v>Milan Svoboda 34</v>
          </cell>
          <cell r="B584">
            <v>1934</v>
          </cell>
          <cell r="C584" t="str">
            <v>Letkov</v>
          </cell>
          <cell r="D584" t="str">
            <v>CZ/C1</v>
          </cell>
          <cell r="E584" t="str">
            <v>M</v>
          </cell>
          <cell r="F584" t="str">
            <v/>
          </cell>
        </row>
        <row r="585">
          <cell r="A585" t="str">
            <v>Milan Svoboda 80</v>
          </cell>
          <cell r="B585">
            <v>1980</v>
          </cell>
          <cell r="C585" t="str">
            <v>Havlíčkův Brod</v>
          </cell>
          <cell r="D585" t="str">
            <v>CZ/C2</v>
          </cell>
          <cell r="E585" t="str">
            <v>M</v>
          </cell>
          <cell r="F585" t="str">
            <v/>
          </cell>
        </row>
        <row r="586">
          <cell r="A586" t="str">
            <v>Milan Svorc</v>
          </cell>
          <cell r="B586">
            <v>1955</v>
          </cell>
          <cell r="C586" t="str">
            <v>Podhořany</v>
          </cell>
          <cell r="D586" t="str">
            <v>CZ/C2</v>
          </cell>
          <cell r="E586" t="str">
            <v>M</v>
          </cell>
          <cell r="F586" t="str">
            <v/>
          </cell>
        </row>
        <row r="587">
          <cell r="A587" t="str">
            <v>Miloslav Cindr</v>
          </cell>
          <cell r="B587">
            <v>1974</v>
          </cell>
          <cell r="C587" t="str">
            <v>Ústí nad Orlicí</v>
          </cell>
          <cell r="D587" t="str">
            <v>CZ/C2</v>
          </cell>
          <cell r="E587" t="str">
            <v>M</v>
          </cell>
          <cell r="F587" t="str">
            <v/>
          </cell>
        </row>
        <row r="588">
          <cell r="A588" t="str">
            <v>Miloslav Cink</v>
          </cell>
          <cell r="B588">
            <v>1987</v>
          </cell>
          <cell r="C588" t="str">
            <v>Letkov</v>
          </cell>
          <cell r="D588" t="str">
            <v>CZ/C1</v>
          </cell>
          <cell r="E588" t="str">
            <v>M</v>
          </cell>
          <cell r="F588" t="str">
            <v/>
          </cell>
        </row>
        <row r="589">
          <cell r="A589" t="str">
            <v>Miloslav Fiser</v>
          </cell>
          <cell r="B589">
            <v>1974</v>
          </cell>
          <cell r="C589" t="str">
            <v>Hodkovice</v>
          </cell>
          <cell r="D589" t="str">
            <v>CZ/C2</v>
          </cell>
          <cell r="E589" t="str">
            <v>M</v>
          </cell>
          <cell r="F589" t="str">
            <v/>
          </cell>
        </row>
        <row r="590">
          <cell r="A590" t="str">
            <v>Miloslav Hulmak</v>
          </cell>
          <cell r="B590">
            <v>1963</v>
          </cell>
          <cell r="C590" t="str">
            <v>Hosín</v>
          </cell>
          <cell r="D590" t="str">
            <v>CZ/C1</v>
          </cell>
          <cell r="E590" t="str">
            <v>M</v>
          </cell>
          <cell r="F590" t="str">
            <v/>
          </cell>
        </row>
        <row r="591">
          <cell r="A591" t="str">
            <v>Miloslav Krch</v>
          </cell>
          <cell r="B591">
            <v>1988</v>
          </cell>
          <cell r="C591" t="str">
            <v>Zbraslavice</v>
          </cell>
          <cell r="D591" t="str">
            <v>CZ/C1</v>
          </cell>
          <cell r="E591" t="str">
            <v>M</v>
          </cell>
          <cell r="F591" t="str">
            <v/>
          </cell>
        </row>
        <row r="592">
          <cell r="A592" t="str">
            <v>Milos Dedera</v>
          </cell>
          <cell r="B592">
            <v>1956</v>
          </cell>
          <cell r="C592" t="str">
            <v>Jihlava</v>
          </cell>
          <cell r="D592" t="str">
            <v>CZ/M</v>
          </cell>
          <cell r="E592" t="str">
            <v>M</v>
          </cell>
          <cell r="F592" t="str">
            <v/>
          </cell>
        </row>
        <row r="593">
          <cell r="A593" t="str">
            <v>Milos Eichler</v>
          </cell>
          <cell r="B593">
            <v>1964</v>
          </cell>
          <cell r="C593" t="str">
            <v>Dvůr Králové</v>
          </cell>
          <cell r="D593" t="str">
            <v>CZ/C2</v>
          </cell>
          <cell r="E593" t="str">
            <v>M</v>
          </cell>
          <cell r="F593" t="str">
            <v/>
          </cell>
        </row>
        <row r="594">
          <cell r="A594" t="str">
            <v>Milos Houha</v>
          </cell>
          <cell r="B594">
            <v>1954</v>
          </cell>
          <cell r="C594" t="str">
            <v>Plzeň Bory</v>
          </cell>
          <cell r="D594" t="str">
            <v>CZ/C1</v>
          </cell>
          <cell r="E594" t="str">
            <v>M</v>
          </cell>
          <cell r="F594" t="str">
            <v/>
          </cell>
        </row>
        <row r="595">
          <cell r="A595" t="str">
            <v>Milos Hrabe</v>
          </cell>
          <cell r="B595">
            <v>1979</v>
          </cell>
          <cell r="C595" t="str">
            <v>Letňany</v>
          </cell>
          <cell r="D595" t="str">
            <v>CZ/C1</v>
          </cell>
          <cell r="E595" t="str">
            <v>M</v>
          </cell>
          <cell r="F595" t="str">
            <v/>
          </cell>
        </row>
        <row r="596">
          <cell r="A596" t="str">
            <v>Milos Matejka</v>
          </cell>
          <cell r="B596">
            <v>1956</v>
          </cell>
          <cell r="C596" t="str">
            <v>Beroun</v>
          </cell>
          <cell r="D596" t="str">
            <v>CZ/C1</v>
          </cell>
          <cell r="E596" t="str">
            <v>M</v>
          </cell>
          <cell r="F596" t="str">
            <v/>
          </cell>
        </row>
        <row r="597">
          <cell r="A597" t="str">
            <v>Milos Novotny</v>
          </cell>
          <cell r="B597">
            <v>1973</v>
          </cell>
          <cell r="C597" t="str">
            <v>Hronov</v>
          </cell>
          <cell r="D597" t="str">
            <v>CZ/C2</v>
          </cell>
          <cell r="E597" t="str">
            <v>M</v>
          </cell>
          <cell r="F597" t="str">
            <v/>
          </cell>
        </row>
        <row r="598">
          <cell r="A598" t="str">
            <v>Milos Nyvlt</v>
          </cell>
          <cell r="B598">
            <v>1963</v>
          </cell>
          <cell r="C598" t="str">
            <v>Hronov</v>
          </cell>
          <cell r="D598" t="str">
            <v>CZ/C2</v>
          </cell>
          <cell r="E598" t="str">
            <v>M</v>
          </cell>
          <cell r="F598" t="str">
            <v/>
          </cell>
        </row>
        <row r="599">
          <cell r="A599" t="str">
            <v>Milos Pajr</v>
          </cell>
          <cell r="B599">
            <v>1966</v>
          </cell>
          <cell r="C599" t="str">
            <v>Jičín</v>
          </cell>
          <cell r="D599" t="str">
            <v>CZ/C2</v>
          </cell>
          <cell r="E599" t="str">
            <v>M</v>
          </cell>
          <cell r="F599" t="str">
            <v/>
          </cell>
        </row>
        <row r="600">
          <cell r="A600" t="str">
            <v>Milos Pospisil</v>
          </cell>
          <cell r="B600">
            <v>1952</v>
          </cell>
          <cell r="C600" t="str">
            <v>Frýdlant</v>
          </cell>
          <cell r="D600" t="str">
            <v>CZ/M</v>
          </cell>
          <cell r="E600" t="str">
            <v>M</v>
          </cell>
          <cell r="F600" t="str">
            <v/>
          </cell>
        </row>
        <row r="601">
          <cell r="A601" t="str">
            <v>Milos Rejzl</v>
          </cell>
          <cell r="B601">
            <v>1962</v>
          </cell>
          <cell r="C601" t="str">
            <v>Klatovy</v>
          </cell>
          <cell r="D601" t="str">
            <v>CZ/C1</v>
          </cell>
          <cell r="E601" t="str">
            <v>M</v>
          </cell>
          <cell r="F601" t="str">
            <v/>
          </cell>
        </row>
        <row r="602">
          <cell r="A602" t="str">
            <v>Miroslav Burdych</v>
          </cell>
          <cell r="B602">
            <v>1973</v>
          </cell>
          <cell r="C602" t="str">
            <v>Nové Město nad Metují</v>
          </cell>
          <cell r="D602" t="str">
            <v>CZ/C2</v>
          </cell>
          <cell r="E602" t="str">
            <v>M</v>
          </cell>
          <cell r="F602" t="str">
            <v/>
          </cell>
        </row>
        <row r="603">
          <cell r="A603" t="str">
            <v>Miroslav Burian</v>
          </cell>
          <cell r="B603">
            <v>1969</v>
          </cell>
          <cell r="C603" t="str">
            <v>Křižanov</v>
          </cell>
          <cell r="D603" t="str">
            <v>CZ/M</v>
          </cell>
          <cell r="E603" t="str">
            <v>M</v>
          </cell>
          <cell r="F603" t="str">
            <v/>
          </cell>
        </row>
        <row r="604">
          <cell r="A604" t="str">
            <v>Miroslav Cervenka</v>
          </cell>
          <cell r="B604">
            <v>1980</v>
          </cell>
          <cell r="C604" t="str">
            <v>Křižanov</v>
          </cell>
          <cell r="D604" t="str">
            <v>CZ/M</v>
          </cell>
          <cell r="E604" t="str">
            <v>M</v>
          </cell>
          <cell r="F604" t="str">
            <v/>
          </cell>
        </row>
        <row r="605">
          <cell r="A605" t="str">
            <v>Miroslav Filip</v>
          </cell>
          <cell r="B605">
            <v>1959</v>
          </cell>
          <cell r="C605" t="str">
            <v>Křižanov</v>
          </cell>
          <cell r="D605" t="str">
            <v>CZ/M</v>
          </cell>
          <cell r="E605" t="str">
            <v>M</v>
          </cell>
          <cell r="F605" t="str">
            <v/>
          </cell>
        </row>
        <row r="606">
          <cell r="A606" t="str">
            <v>Miroslav Horinek</v>
          </cell>
          <cell r="B606">
            <v>1976</v>
          </cell>
          <cell r="C606" t="str">
            <v>Křižanov</v>
          </cell>
          <cell r="D606" t="str">
            <v>CZ/M</v>
          </cell>
          <cell r="E606" t="str">
            <v>M</v>
          </cell>
          <cell r="F606" t="str">
            <v/>
          </cell>
        </row>
        <row r="607">
          <cell r="A607" t="str">
            <v>Miroslav Jezek</v>
          </cell>
          <cell r="B607">
            <v>1973</v>
          </cell>
          <cell r="C607" t="str">
            <v>Žamberk</v>
          </cell>
          <cell r="D607" t="str">
            <v>CZ/C2</v>
          </cell>
          <cell r="E607" t="str">
            <v>M</v>
          </cell>
          <cell r="F607" t="str">
            <v/>
          </cell>
        </row>
        <row r="608">
          <cell r="A608" t="str">
            <v>Miroslav Koci</v>
          </cell>
          <cell r="B608">
            <v>1961</v>
          </cell>
          <cell r="C608" t="str">
            <v>Žamberk</v>
          </cell>
          <cell r="D608" t="str">
            <v>CZ/C2</v>
          </cell>
          <cell r="E608" t="str">
            <v>M</v>
          </cell>
          <cell r="F608" t="str">
            <v/>
          </cell>
        </row>
        <row r="609">
          <cell r="A609" t="str">
            <v>Miroslav Kudlacek</v>
          </cell>
          <cell r="B609">
            <v>1986</v>
          </cell>
          <cell r="C609" t="str">
            <v>Polička</v>
          </cell>
          <cell r="D609" t="str">
            <v>CZ/C2</v>
          </cell>
          <cell r="E609" t="str">
            <v>M</v>
          </cell>
          <cell r="F609" t="str">
            <v/>
          </cell>
        </row>
        <row r="610">
          <cell r="A610" t="str">
            <v>Miroslav Macik</v>
          </cell>
          <cell r="B610">
            <v>1983</v>
          </cell>
          <cell r="C610" t="str">
            <v>Rakovník</v>
          </cell>
          <cell r="D610" t="str">
            <v>CZ/C1</v>
          </cell>
          <cell r="E610" t="str">
            <v>M</v>
          </cell>
          <cell r="F610" t="str">
            <v/>
          </cell>
        </row>
        <row r="611">
          <cell r="A611" t="str">
            <v>Miroslav Major</v>
          </cell>
          <cell r="B611">
            <v>1968</v>
          </cell>
          <cell r="C611" t="str">
            <v>Kralupy</v>
          </cell>
          <cell r="D611" t="str">
            <v>CZ/C1</v>
          </cell>
          <cell r="E611" t="str">
            <v>M</v>
          </cell>
          <cell r="F611" t="str">
            <v/>
          </cell>
        </row>
        <row r="612">
          <cell r="A612" t="str">
            <v>Miroslav Mancik</v>
          </cell>
          <cell r="B612">
            <v>1976</v>
          </cell>
          <cell r="C612" t="str">
            <v>Kyjov</v>
          </cell>
          <cell r="D612" t="str">
            <v>CZ/M</v>
          </cell>
          <cell r="E612" t="str">
            <v>M</v>
          </cell>
          <cell r="F612" t="str">
            <v/>
          </cell>
        </row>
        <row r="613">
          <cell r="A613" t="str">
            <v>Miroslav Mitrus</v>
          </cell>
          <cell r="B613">
            <v>1972</v>
          </cell>
          <cell r="C613" t="str">
            <v>GAC Benešov</v>
          </cell>
          <cell r="D613" t="str">
            <v>CZ/C1</v>
          </cell>
          <cell r="E613" t="str">
            <v>M</v>
          </cell>
          <cell r="F613" t="str">
            <v/>
          </cell>
        </row>
        <row r="614">
          <cell r="A614" t="str">
            <v>Miroslav Odlozilik</v>
          </cell>
          <cell r="B614">
            <v>1973</v>
          </cell>
          <cell r="C614" t="str">
            <v>Křižanov</v>
          </cell>
          <cell r="D614" t="str">
            <v>CZ/M</v>
          </cell>
          <cell r="E614" t="str">
            <v>M</v>
          </cell>
          <cell r="F614" t="str">
            <v/>
          </cell>
        </row>
        <row r="615">
          <cell r="A615" t="str">
            <v>Miroslav Ofukany</v>
          </cell>
          <cell r="B615">
            <v>1951</v>
          </cell>
          <cell r="C615" t="str">
            <v>Kolín</v>
          </cell>
          <cell r="D615" t="str">
            <v>CZ/C1</v>
          </cell>
          <cell r="E615" t="str">
            <v>M</v>
          </cell>
          <cell r="F615" t="str">
            <v/>
          </cell>
        </row>
        <row r="616">
          <cell r="A616" t="str">
            <v>Miroslav Plechac</v>
          </cell>
          <cell r="B616">
            <v>1969</v>
          </cell>
          <cell r="C616" t="str">
            <v>Hronov</v>
          </cell>
          <cell r="D616" t="str">
            <v>CZ/C2</v>
          </cell>
          <cell r="E616" t="str">
            <v>M</v>
          </cell>
          <cell r="F616" t="str">
            <v/>
          </cell>
        </row>
        <row r="617">
          <cell r="A617" t="str">
            <v>Miroslav Sklenar</v>
          </cell>
          <cell r="B617">
            <v>1964</v>
          </cell>
          <cell r="C617" t="str">
            <v>Žamberk</v>
          </cell>
          <cell r="D617" t="str">
            <v>CZ/C2</v>
          </cell>
          <cell r="E617" t="str">
            <v>M</v>
          </cell>
          <cell r="F617" t="str">
            <v/>
          </cell>
        </row>
        <row r="618">
          <cell r="A618" t="str">
            <v>Miroslav Streda</v>
          </cell>
          <cell r="B618">
            <v>1945</v>
          </cell>
          <cell r="C618" t="str">
            <v>Vrchlabí</v>
          </cell>
          <cell r="D618" t="str">
            <v>CZ/C2</v>
          </cell>
          <cell r="E618" t="str">
            <v>M</v>
          </cell>
          <cell r="F618" t="str">
            <v/>
          </cell>
        </row>
        <row r="619">
          <cell r="A619" t="str">
            <v>Miroslav Sedivy</v>
          </cell>
          <cell r="B619">
            <v>1974</v>
          </cell>
          <cell r="C619" t="str">
            <v>Letkov</v>
          </cell>
          <cell r="D619" t="str">
            <v>CZ/C1</v>
          </cell>
          <cell r="E619" t="str">
            <v>M</v>
          </cell>
          <cell r="F619" t="str">
            <v/>
          </cell>
        </row>
        <row r="620">
          <cell r="A620" t="str">
            <v>Miroslav Stepan</v>
          </cell>
          <cell r="B620">
            <v>1955</v>
          </cell>
          <cell r="C620" t="str">
            <v>Žamberk</v>
          </cell>
          <cell r="D620" t="str">
            <v>CZ/C2</v>
          </cell>
          <cell r="E620" t="str">
            <v>M</v>
          </cell>
          <cell r="F620" t="str">
            <v/>
          </cell>
        </row>
        <row r="621">
          <cell r="A621" t="str">
            <v>Miroslav Trybucek</v>
          </cell>
          <cell r="B621">
            <v>1965</v>
          </cell>
          <cell r="C621" t="str">
            <v>Jičín</v>
          </cell>
          <cell r="D621" t="str">
            <v>CZ/C2</v>
          </cell>
          <cell r="E621" t="str">
            <v>M</v>
          </cell>
          <cell r="F621" t="str">
            <v/>
          </cell>
        </row>
        <row r="622">
          <cell r="A622" t="str">
            <v>Monika Bezdekova</v>
          </cell>
          <cell r="B622">
            <v>1988</v>
          </cell>
          <cell r="C622" t="str">
            <v>Letňany</v>
          </cell>
          <cell r="D622" t="str">
            <v>CZ/C1</v>
          </cell>
          <cell r="E622" t="str">
            <v>F</v>
          </cell>
          <cell r="F622" t="str">
            <v/>
          </cell>
        </row>
        <row r="623">
          <cell r="A623" t="str">
            <v>Monika Jiraskova</v>
          </cell>
          <cell r="B623">
            <v>1994</v>
          </cell>
          <cell r="C623" t="str">
            <v>Hronov</v>
          </cell>
          <cell r="D623" t="str">
            <v>CZ/C2</v>
          </cell>
          <cell r="E623" t="str">
            <v>F</v>
          </cell>
          <cell r="F623" t="str">
            <v/>
          </cell>
        </row>
        <row r="624">
          <cell r="A624" t="str">
            <v>Monika Klovanicova</v>
          </cell>
          <cell r="B624">
            <v>1992</v>
          </cell>
          <cell r="C624" t="str">
            <v>Kunovice</v>
          </cell>
          <cell r="D624" t="str">
            <v>CZ/M</v>
          </cell>
          <cell r="E624" t="str">
            <v>F</v>
          </cell>
          <cell r="F624" t="str">
            <v/>
          </cell>
        </row>
        <row r="625">
          <cell r="A625" t="str">
            <v>Nikola Zizkovsky</v>
          </cell>
          <cell r="B625">
            <v>1980</v>
          </cell>
          <cell r="C625" t="str">
            <v>Kralupy</v>
          </cell>
          <cell r="D625" t="str">
            <v>CZ/C1</v>
          </cell>
          <cell r="E625" t="str">
            <v>M</v>
          </cell>
          <cell r="F625" t="str">
            <v/>
          </cell>
        </row>
        <row r="626">
          <cell r="A626" t="str">
            <v>Oldrich Bartonik</v>
          </cell>
          <cell r="B626">
            <v>1961</v>
          </cell>
          <cell r="C626" t="str">
            <v>Luhačovice</v>
          </cell>
          <cell r="D626" t="str">
            <v>CZ/M</v>
          </cell>
          <cell r="E626" t="str">
            <v>M</v>
          </cell>
          <cell r="F626" t="str">
            <v/>
          </cell>
        </row>
        <row r="627">
          <cell r="A627" t="str">
            <v>Oldrich Hlavacek</v>
          </cell>
          <cell r="B627">
            <v>1973</v>
          </cell>
          <cell r="C627" t="str">
            <v>Medlánky</v>
          </cell>
          <cell r="D627" t="str">
            <v>CZ/M</v>
          </cell>
          <cell r="E627" t="str">
            <v>M</v>
          </cell>
          <cell r="F627" t="str">
            <v/>
          </cell>
        </row>
        <row r="628">
          <cell r="A628" t="str">
            <v>Oldrich Houzvicka</v>
          </cell>
          <cell r="B628">
            <v>1975</v>
          </cell>
          <cell r="C628" t="str">
            <v>Frýdlant</v>
          </cell>
          <cell r="D628" t="str">
            <v>CZ/M</v>
          </cell>
          <cell r="E628" t="str">
            <v>M</v>
          </cell>
          <cell r="F628" t="str">
            <v/>
          </cell>
        </row>
        <row r="629">
          <cell r="A629" t="str">
            <v>Oldrich Kounovsky</v>
          </cell>
          <cell r="B629">
            <v>1976</v>
          </cell>
          <cell r="C629" t="str">
            <v>Medlánky</v>
          </cell>
          <cell r="D629" t="str">
            <v>CZ/M</v>
          </cell>
          <cell r="E629" t="str">
            <v>M</v>
          </cell>
          <cell r="F629" t="str">
            <v/>
          </cell>
        </row>
        <row r="630">
          <cell r="A630" t="str">
            <v>Oldrich Slavicek</v>
          </cell>
          <cell r="B630">
            <v>1959</v>
          </cell>
          <cell r="C630" t="str">
            <v>Hronov</v>
          </cell>
          <cell r="D630" t="str">
            <v>CZ/C2</v>
          </cell>
          <cell r="E630" t="str">
            <v>M</v>
          </cell>
          <cell r="F630" t="str">
            <v/>
          </cell>
        </row>
        <row r="631">
          <cell r="A631" t="str">
            <v>Oldrich Stumbauer</v>
          </cell>
          <cell r="B631">
            <v>1992</v>
          </cell>
          <cell r="C631" t="str">
            <v>Prachatice</v>
          </cell>
          <cell r="D631" t="str">
            <v>CZ/C1</v>
          </cell>
          <cell r="E631" t="str">
            <v>M</v>
          </cell>
          <cell r="F631" t="str">
            <v/>
          </cell>
        </row>
        <row r="632">
          <cell r="A632" t="str">
            <v>Olga Mokosova</v>
          </cell>
          <cell r="B632">
            <v>1970</v>
          </cell>
          <cell r="C632" t="str">
            <v>Jihlava</v>
          </cell>
          <cell r="D632" t="str">
            <v>CZ/M</v>
          </cell>
          <cell r="E632" t="str">
            <v>F</v>
          </cell>
          <cell r="F632" t="str">
            <v/>
          </cell>
        </row>
        <row r="633">
          <cell r="A633" t="str">
            <v>Ondrej Bartos</v>
          </cell>
          <cell r="B633">
            <v>1975</v>
          </cell>
          <cell r="C633" t="str">
            <v>Točná</v>
          </cell>
          <cell r="D633" t="str">
            <v>CZ/C1</v>
          </cell>
          <cell r="E633" t="str">
            <v>M</v>
          </cell>
          <cell r="F633" t="str">
            <v/>
          </cell>
        </row>
        <row r="634">
          <cell r="A634" t="str">
            <v>Ondrej Belohlavek</v>
          </cell>
          <cell r="B634">
            <v>1978</v>
          </cell>
          <cell r="C634" t="str">
            <v>Vysoké Mýto</v>
          </cell>
          <cell r="D634" t="str">
            <v>CZ/C2</v>
          </cell>
          <cell r="E634" t="str">
            <v>M</v>
          </cell>
          <cell r="F634" t="str">
            <v/>
          </cell>
        </row>
        <row r="635">
          <cell r="A635" t="str">
            <v>Ondrej Blaha</v>
          </cell>
          <cell r="B635">
            <v>1976</v>
          </cell>
          <cell r="C635" t="str">
            <v>Letňany</v>
          </cell>
          <cell r="D635" t="str">
            <v>CZ/C1</v>
          </cell>
          <cell r="E635" t="str">
            <v>M</v>
          </cell>
          <cell r="F635" t="str">
            <v/>
          </cell>
        </row>
        <row r="636">
          <cell r="A636" t="str">
            <v>Ondrej Bordovsky</v>
          </cell>
          <cell r="B636">
            <v>1983</v>
          </cell>
          <cell r="C636" t="str">
            <v>Krnov</v>
          </cell>
          <cell r="D636" t="str">
            <v>CZ/M</v>
          </cell>
          <cell r="E636" t="str">
            <v>M</v>
          </cell>
          <cell r="F636" t="str">
            <v/>
          </cell>
        </row>
        <row r="637">
          <cell r="A637" t="str">
            <v>Ondrej Dupal</v>
          </cell>
          <cell r="B637">
            <v>1966</v>
          </cell>
          <cell r="C637" t="str">
            <v>GAC Benešov</v>
          </cell>
          <cell r="D637" t="str">
            <v>CZ/C1</v>
          </cell>
          <cell r="E637" t="str">
            <v>M</v>
          </cell>
          <cell r="F637" t="str">
            <v/>
          </cell>
        </row>
        <row r="638">
          <cell r="A638" t="str">
            <v>Ondrej Dvorak 58</v>
          </cell>
          <cell r="B638">
            <v>1958</v>
          </cell>
          <cell r="C638" t="str">
            <v>Raná</v>
          </cell>
          <cell r="D638" t="str">
            <v>CZ/C2</v>
          </cell>
          <cell r="E638" t="str">
            <v>M</v>
          </cell>
          <cell r="F638" t="str">
            <v/>
          </cell>
        </row>
        <row r="639">
          <cell r="A639" t="str">
            <v>Ondrej Dvorak 87</v>
          </cell>
          <cell r="B639">
            <v>1987</v>
          </cell>
          <cell r="C639" t="str">
            <v>Raná</v>
          </cell>
          <cell r="D639" t="str">
            <v>CZ/C2</v>
          </cell>
          <cell r="E639" t="str">
            <v>M</v>
          </cell>
          <cell r="F639" t="str">
            <v/>
          </cell>
        </row>
        <row r="640">
          <cell r="A640" t="str">
            <v>Ondrej Dvorak 98</v>
          </cell>
          <cell r="B640">
            <v>1998</v>
          </cell>
          <cell r="C640" t="str">
            <v>Mladá Boleslav</v>
          </cell>
          <cell r="D640" t="str">
            <v>CZ/C1</v>
          </cell>
          <cell r="E640" t="str">
            <v>M</v>
          </cell>
          <cell r="F640" t="str">
            <v/>
          </cell>
        </row>
        <row r="641">
          <cell r="A641" t="str">
            <v>Ondrej Hart</v>
          </cell>
          <cell r="B641">
            <v>1990</v>
          </cell>
          <cell r="C641" t="str">
            <v>Letňany</v>
          </cell>
          <cell r="D641" t="str">
            <v>CZ/C1</v>
          </cell>
          <cell r="E641" t="str">
            <v>M</v>
          </cell>
          <cell r="F641" t="str">
            <v/>
          </cell>
        </row>
        <row r="642">
          <cell r="A642" t="str">
            <v>Ondrej Holas</v>
          </cell>
          <cell r="B642">
            <v>1989</v>
          </cell>
          <cell r="C642" t="str">
            <v>Česká Lípa</v>
          </cell>
          <cell r="D642" t="str">
            <v>CZ/C2</v>
          </cell>
          <cell r="E642" t="str">
            <v>M</v>
          </cell>
          <cell r="F642" t="str">
            <v/>
          </cell>
        </row>
        <row r="643">
          <cell r="A643" t="str">
            <v>Ondrej Jung</v>
          </cell>
          <cell r="B643">
            <v>1976</v>
          </cell>
          <cell r="C643" t="str">
            <v>Zbraslavice</v>
          </cell>
          <cell r="D643" t="str">
            <v>CZ/C1</v>
          </cell>
          <cell r="E643" t="str">
            <v>M</v>
          </cell>
          <cell r="F643" t="str">
            <v/>
          </cell>
        </row>
        <row r="644">
          <cell r="A644" t="str">
            <v>Ondrej Kluger</v>
          </cell>
          <cell r="B644">
            <v>1990</v>
          </cell>
          <cell r="C644" t="str">
            <v>LK Břeclav</v>
          </cell>
          <cell r="D644" t="str">
            <v>CZ/M</v>
          </cell>
          <cell r="E644" t="str">
            <v>M</v>
          </cell>
          <cell r="F644" t="str">
            <v/>
          </cell>
        </row>
        <row r="645">
          <cell r="A645" t="str">
            <v>Ondrej Kover</v>
          </cell>
          <cell r="B645">
            <v>1993</v>
          </cell>
          <cell r="C645" t="str">
            <v>Šumperk</v>
          </cell>
          <cell r="D645" t="str">
            <v>CZ/M</v>
          </cell>
          <cell r="E645" t="str">
            <v>M</v>
          </cell>
          <cell r="F645" t="str">
            <v/>
          </cell>
        </row>
        <row r="646">
          <cell r="A646" t="str">
            <v>Ondrej Krejci</v>
          </cell>
          <cell r="B646">
            <v>1974</v>
          </cell>
          <cell r="C646" t="str">
            <v>Chotěboř</v>
          </cell>
          <cell r="D646" t="str">
            <v>CZ/C2</v>
          </cell>
          <cell r="E646" t="str">
            <v>M</v>
          </cell>
          <cell r="F646" t="str">
            <v/>
          </cell>
        </row>
        <row r="647">
          <cell r="A647" t="str">
            <v>Ondrej Prazsky</v>
          </cell>
          <cell r="B647">
            <v>1978</v>
          </cell>
          <cell r="C647" t="str">
            <v>Zbraslavice</v>
          </cell>
          <cell r="D647" t="str">
            <v>CZ/C1</v>
          </cell>
          <cell r="E647" t="str">
            <v>M</v>
          </cell>
          <cell r="F647" t="str">
            <v/>
          </cell>
        </row>
        <row r="648">
          <cell r="A648" t="str">
            <v>Ondrej Marek</v>
          </cell>
          <cell r="B648">
            <v>1989</v>
          </cell>
          <cell r="C648" t="str">
            <v>Žamberk</v>
          </cell>
          <cell r="D648" t="str">
            <v>CZ/C2</v>
          </cell>
          <cell r="E648" t="str">
            <v>M</v>
          </cell>
          <cell r="F648" t="str">
            <v/>
          </cell>
        </row>
        <row r="649">
          <cell r="A649" t="str">
            <v>Ondrej Skala</v>
          </cell>
          <cell r="B649">
            <v>1982</v>
          </cell>
          <cell r="C649" t="str">
            <v>Vrchlabí</v>
          </cell>
          <cell r="D649" t="str">
            <v>CZ/C2</v>
          </cell>
          <cell r="E649" t="str">
            <v>M</v>
          </cell>
          <cell r="F649" t="str">
            <v/>
          </cell>
        </row>
        <row r="650">
          <cell r="A650" t="str">
            <v>Ondrej Sindelar</v>
          </cell>
          <cell r="B650">
            <v>1979</v>
          </cell>
          <cell r="C650" t="str">
            <v>Mladá Boleslav</v>
          </cell>
          <cell r="D650" t="str">
            <v>CZ/C1</v>
          </cell>
          <cell r="E650" t="str">
            <v>M</v>
          </cell>
          <cell r="F650" t="str">
            <v/>
          </cell>
        </row>
        <row r="651">
          <cell r="A651" t="str">
            <v>Ondrej Supka</v>
          </cell>
          <cell r="B651">
            <v>1994</v>
          </cell>
          <cell r="C651" t="str">
            <v>Kunovice</v>
          </cell>
          <cell r="D651" t="str">
            <v>CZ/M</v>
          </cell>
          <cell r="E651" t="str">
            <v>M</v>
          </cell>
          <cell r="F651" t="str">
            <v/>
          </cell>
        </row>
        <row r="652">
          <cell r="A652" t="str">
            <v>Ondrej Teichman</v>
          </cell>
          <cell r="B652">
            <v>1984</v>
          </cell>
          <cell r="C652" t="str">
            <v>Dvůr Králové</v>
          </cell>
          <cell r="D652" t="str">
            <v>CZ/C2</v>
          </cell>
          <cell r="E652" t="str">
            <v>M</v>
          </cell>
          <cell r="F652" t="str">
            <v/>
          </cell>
        </row>
        <row r="653">
          <cell r="A653" t="str">
            <v>Ondrej Trkal</v>
          </cell>
          <cell r="B653">
            <v>1991</v>
          </cell>
          <cell r="C653" t="str">
            <v>Vysoké Mýto</v>
          </cell>
          <cell r="D653" t="str">
            <v>CZ/C2</v>
          </cell>
          <cell r="E653" t="str">
            <v>M</v>
          </cell>
          <cell r="F653" t="str">
            <v/>
          </cell>
        </row>
        <row r="654">
          <cell r="A654" t="str">
            <v>Ondrej Valach</v>
          </cell>
          <cell r="B654">
            <v>1986</v>
          </cell>
          <cell r="C654" t="str">
            <v>Točná</v>
          </cell>
          <cell r="D654" t="str">
            <v>CZ/C1</v>
          </cell>
          <cell r="E654" t="str">
            <v>M</v>
          </cell>
          <cell r="F654" t="str">
            <v/>
          </cell>
        </row>
        <row r="655">
          <cell r="A655" t="str">
            <v>Ondrej Vyskocil</v>
          </cell>
          <cell r="B655">
            <v>1991</v>
          </cell>
          <cell r="C655" t="str">
            <v>Letkov</v>
          </cell>
          <cell r="D655" t="str">
            <v>CZ/C1</v>
          </cell>
          <cell r="E655" t="str">
            <v>M</v>
          </cell>
          <cell r="F655" t="str">
            <v/>
          </cell>
        </row>
        <row r="656">
          <cell r="A656" t="str">
            <v>Ondrej Zeman</v>
          </cell>
          <cell r="B656">
            <v>1980</v>
          </cell>
          <cell r="C656" t="str">
            <v>Letňany</v>
          </cell>
          <cell r="D656" t="str">
            <v>CZ/C1</v>
          </cell>
          <cell r="E656" t="str">
            <v>M</v>
          </cell>
          <cell r="F656" t="str">
            <v/>
          </cell>
        </row>
        <row r="657">
          <cell r="A657" t="str">
            <v>Ota Vavrin</v>
          </cell>
          <cell r="B657">
            <v>1947</v>
          </cell>
          <cell r="C657" t="str">
            <v>Vysoké Mýto</v>
          </cell>
          <cell r="D657" t="str">
            <v>CZ/C2</v>
          </cell>
          <cell r="E657" t="str">
            <v>M</v>
          </cell>
          <cell r="F657" t="str">
            <v/>
          </cell>
        </row>
        <row r="658">
          <cell r="A658" t="str">
            <v>Otakar Tucek</v>
          </cell>
          <cell r="B658">
            <v>1947</v>
          </cell>
          <cell r="C658" t="str">
            <v>Raná</v>
          </cell>
          <cell r="D658" t="str">
            <v>CZ/C2</v>
          </cell>
          <cell r="E658" t="str">
            <v>M</v>
          </cell>
          <cell r="F658" t="str">
            <v/>
          </cell>
        </row>
        <row r="659">
          <cell r="A659" t="str">
            <v>Patrik Cebis</v>
          </cell>
          <cell r="B659">
            <v>1972</v>
          </cell>
          <cell r="C659" t="str">
            <v>Kralupy</v>
          </cell>
          <cell r="D659" t="str">
            <v>CZ/C1</v>
          </cell>
          <cell r="E659" t="str">
            <v>M</v>
          </cell>
          <cell r="F659" t="str">
            <v/>
          </cell>
        </row>
        <row r="660">
          <cell r="A660" t="str">
            <v>Pavel Brodsky</v>
          </cell>
          <cell r="B660">
            <v>1992</v>
          </cell>
          <cell r="C660" t="str">
            <v>Hořice</v>
          </cell>
          <cell r="D660" t="str">
            <v>CZ/C2</v>
          </cell>
          <cell r="E660" t="str">
            <v>M</v>
          </cell>
          <cell r="F660" t="str">
            <v/>
          </cell>
        </row>
        <row r="661">
          <cell r="A661" t="str">
            <v>Pavel Cerny</v>
          </cell>
          <cell r="B661">
            <v>1996</v>
          </cell>
          <cell r="C661" t="str">
            <v>Příbram</v>
          </cell>
          <cell r="D661" t="str">
            <v>CZ/C1</v>
          </cell>
          <cell r="E661" t="str">
            <v>M</v>
          </cell>
          <cell r="F661" t="str">
            <v/>
          </cell>
        </row>
        <row r="662">
          <cell r="A662" t="str">
            <v>Pavel Derda</v>
          </cell>
          <cell r="B662">
            <v>1952</v>
          </cell>
          <cell r="C662" t="str">
            <v>Dvůr Králové</v>
          </cell>
          <cell r="D662" t="str">
            <v>CZ/C2</v>
          </cell>
          <cell r="E662" t="str">
            <v>M</v>
          </cell>
          <cell r="F662" t="str">
            <v/>
          </cell>
        </row>
        <row r="663">
          <cell r="A663" t="str">
            <v>Pavel Dostal</v>
          </cell>
          <cell r="B663">
            <v>1944</v>
          </cell>
          <cell r="C663" t="str">
            <v>Turnov</v>
          </cell>
          <cell r="D663" t="str">
            <v>CZ/C2</v>
          </cell>
          <cell r="E663" t="str">
            <v>M</v>
          </cell>
          <cell r="F663" t="str">
            <v/>
          </cell>
        </row>
        <row r="664">
          <cell r="A664" t="str">
            <v>Pavel Foldyna</v>
          </cell>
          <cell r="B664">
            <v>1976</v>
          </cell>
          <cell r="C664" t="str">
            <v>Frýdlant</v>
          </cell>
          <cell r="D664" t="str">
            <v>CZ/M</v>
          </cell>
          <cell r="E664" t="str">
            <v>M</v>
          </cell>
          <cell r="F664" t="str">
            <v/>
          </cell>
        </row>
        <row r="665">
          <cell r="A665" t="str">
            <v>Pavel Franc</v>
          </cell>
          <cell r="B665">
            <v>1974</v>
          </cell>
          <cell r="C665" t="str">
            <v>Hronov</v>
          </cell>
          <cell r="D665" t="str">
            <v>CZ/C2</v>
          </cell>
          <cell r="E665" t="str">
            <v>M</v>
          </cell>
          <cell r="F665" t="str">
            <v/>
          </cell>
        </row>
        <row r="666">
          <cell r="A666" t="str">
            <v>Pavel Haluza</v>
          </cell>
          <cell r="B666">
            <v>1966</v>
          </cell>
          <cell r="C666" t="str">
            <v>Prostějov</v>
          </cell>
          <cell r="D666" t="str">
            <v>CZ/M</v>
          </cell>
          <cell r="E666" t="str">
            <v>M</v>
          </cell>
          <cell r="F666" t="str">
            <v/>
          </cell>
        </row>
        <row r="667">
          <cell r="A667" t="str">
            <v>Pavel Handl</v>
          </cell>
          <cell r="B667">
            <v>1971</v>
          </cell>
          <cell r="C667" t="str">
            <v>Kroměříž</v>
          </cell>
          <cell r="D667" t="str">
            <v>CZ/M</v>
          </cell>
          <cell r="E667" t="str">
            <v>M</v>
          </cell>
          <cell r="F667" t="str">
            <v/>
          </cell>
        </row>
        <row r="668">
          <cell r="A668" t="str">
            <v>Pavel Hartman</v>
          </cell>
          <cell r="B668">
            <v>1963</v>
          </cell>
          <cell r="C668" t="str">
            <v>Jaroměř</v>
          </cell>
          <cell r="D668" t="str">
            <v>CZ/C2</v>
          </cell>
          <cell r="E668" t="str">
            <v>M</v>
          </cell>
          <cell r="F668" t="str">
            <v/>
          </cell>
        </row>
        <row r="669">
          <cell r="A669" t="str">
            <v>Pavel Jiranek</v>
          </cell>
          <cell r="B669">
            <v>1993</v>
          </cell>
          <cell r="C669" t="str">
            <v>Toužim</v>
          </cell>
          <cell r="D669" t="str">
            <v>CZ/C1</v>
          </cell>
          <cell r="E669" t="str">
            <v>M</v>
          </cell>
          <cell r="F669" t="str">
            <v/>
          </cell>
        </row>
        <row r="670">
          <cell r="A670" t="str">
            <v>Pavel Jurak</v>
          </cell>
          <cell r="B670">
            <v>1986</v>
          </cell>
          <cell r="C670" t="str">
            <v>Kunovice</v>
          </cell>
          <cell r="D670" t="str">
            <v>CZ/M</v>
          </cell>
          <cell r="E670" t="str">
            <v>M</v>
          </cell>
          <cell r="F670" t="str">
            <v/>
          </cell>
        </row>
        <row r="671">
          <cell r="A671" t="str">
            <v>Pavel Jurka</v>
          </cell>
          <cell r="B671">
            <v>1955</v>
          </cell>
          <cell r="C671" t="str">
            <v>Moravská Třebová</v>
          </cell>
          <cell r="D671" t="str">
            <v>CZ/M</v>
          </cell>
          <cell r="E671" t="str">
            <v>M</v>
          </cell>
          <cell r="F671" t="str">
            <v/>
          </cell>
        </row>
        <row r="672">
          <cell r="A672" t="str">
            <v>Pavel Kalous</v>
          </cell>
          <cell r="B672">
            <v>1921</v>
          </cell>
          <cell r="C672" t="str">
            <v>Frýdlant</v>
          </cell>
          <cell r="D672" t="str">
            <v>CZ/M</v>
          </cell>
          <cell r="E672" t="str">
            <v>M</v>
          </cell>
          <cell r="F672" t="str">
            <v/>
          </cell>
        </row>
        <row r="673">
          <cell r="A673" t="str">
            <v>Pavel Kostkan</v>
          </cell>
          <cell r="B673">
            <v>1952</v>
          </cell>
          <cell r="C673" t="str">
            <v>Dvůr Králové</v>
          </cell>
          <cell r="D673" t="str">
            <v>CZ/C2</v>
          </cell>
          <cell r="E673" t="str">
            <v>M</v>
          </cell>
          <cell r="F673" t="str">
            <v/>
          </cell>
        </row>
        <row r="674">
          <cell r="A674" t="str">
            <v>Pavel Koudelka</v>
          </cell>
          <cell r="B674">
            <v>1973</v>
          </cell>
          <cell r="C674" t="str">
            <v>Křižanov</v>
          </cell>
          <cell r="D674" t="str">
            <v>CZ/M</v>
          </cell>
          <cell r="E674" t="str">
            <v>M</v>
          </cell>
          <cell r="F674" t="str">
            <v/>
          </cell>
        </row>
        <row r="675">
          <cell r="A675" t="str">
            <v>Pavel Kuriscak</v>
          </cell>
          <cell r="B675">
            <v>1987</v>
          </cell>
          <cell r="C675" t="str">
            <v>Beroun</v>
          </cell>
          <cell r="D675" t="str">
            <v>CZ/C1</v>
          </cell>
          <cell r="E675" t="str">
            <v>M</v>
          </cell>
          <cell r="F675" t="str">
            <v/>
          </cell>
        </row>
        <row r="676">
          <cell r="A676" t="str">
            <v>Pavel Kyzivat</v>
          </cell>
          <cell r="B676">
            <v>1973</v>
          </cell>
          <cell r="C676" t="str">
            <v>Zbraslavice</v>
          </cell>
          <cell r="D676" t="str">
            <v>CZ/C1</v>
          </cell>
          <cell r="E676" t="str">
            <v>M</v>
          </cell>
          <cell r="F676" t="str">
            <v/>
          </cell>
        </row>
        <row r="677">
          <cell r="A677" t="str">
            <v>Pavel Laznicka</v>
          </cell>
          <cell r="B677">
            <v>1955</v>
          </cell>
          <cell r="C677" t="str">
            <v>Letňany</v>
          </cell>
          <cell r="D677" t="str">
            <v>CZ/C1</v>
          </cell>
          <cell r="E677" t="str">
            <v>M</v>
          </cell>
          <cell r="F677" t="str">
            <v/>
          </cell>
        </row>
        <row r="678">
          <cell r="A678" t="str">
            <v>Pavel Liska</v>
          </cell>
          <cell r="B678">
            <v>1965</v>
          </cell>
          <cell r="C678" t="str">
            <v>Roudnice</v>
          </cell>
          <cell r="D678" t="str">
            <v>CZ/C2</v>
          </cell>
          <cell r="E678" t="str">
            <v>M</v>
          </cell>
          <cell r="F678" t="str">
            <v/>
          </cell>
        </row>
        <row r="679">
          <cell r="A679" t="str">
            <v>Pavel Louzecky</v>
          </cell>
          <cell r="B679">
            <v>1957</v>
          </cell>
          <cell r="C679" t="str">
            <v>Přibyslav</v>
          </cell>
          <cell r="D679" t="str">
            <v>CZ/C2</v>
          </cell>
          <cell r="E679" t="str">
            <v>M</v>
          </cell>
          <cell r="F679" t="str">
            <v/>
          </cell>
        </row>
        <row r="680">
          <cell r="A680" t="str">
            <v>Pavel Nemec</v>
          </cell>
          <cell r="B680">
            <v>1988</v>
          </cell>
          <cell r="C680" t="str">
            <v>Šumperk</v>
          </cell>
          <cell r="D680" t="str">
            <v>CZ/M</v>
          </cell>
          <cell r="E680" t="str">
            <v>M</v>
          </cell>
          <cell r="F680" t="str">
            <v/>
          </cell>
        </row>
        <row r="681">
          <cell r="A681" t="str">
            <v>Pavel Opat</v>
          </cell>
          <cell r="B681">
            <v>1975</v>
          </cell>
          <cell r="C681" t="str">
            <v>Rakovník</v>
          </cell>
          <cell r="D681" t="str">
            <v>CZ/C1</v>
          </cell>
          <cell r="E681" t="str">
            <v>M</v>
          </cell>
          <cell r="F681" t="str">
            <v/>
          </cell>
        </row>
        <row r="682">
          <cell r="A682" t="str">
            <v>Pavel Paces</v>
          </cell>
          <cell r="B682">
            <v>1972</v>
          </cell>
          <cell r="C682" t="str">
            <v>Kladno</v>
          </cell>
          <cell r="D682" t="str">
            <v>CZ/C1</v>
          </cell>
          <cell r="E682" t="str">
            <v>M</v>
          </cell>
          <cell r="F682" t="str">
            <v/>
          </cell>
        </row>
        <row r="683">
          <cell r="A683" t="str">
            <v>Pavel Pittner</v>
          </cell>
          <cell r="B683">
            <v>1980</v>
          </cell>
          <cell r="C683" t="str">
            <v>Polička</v>
          </cell>
          <cell r="D683" t="str">
            <v>CZ/C2</v>
          </cell>
          <cell r="E683" t="str">
            <v>M</v>
          </cell>
          <cell r="F683" t="str">
            <v/>
          </cell>
        </row>
        <row r="684">
          <cell r="A684" t="str">
            <v>Pavel Rericha</v>
          </cell>
          <cell r="B684">
            <v>1967</v>
          </cell>
          <cell r="C684" t="str">
            <v>Moravská Třebová</v>
          </cell>
          <cell r="D684" t="str">
            <v>CZ/M</v>
          </cell>
          <cell r="E684" t="str">
            <v>M</v>
          </cell>
          <cell r="F684" t="str">
            <v/>
          </cell>
        </row>
        <row r="685">
          <cell r="A685" t="str">
            <v>Pavel Schor</v>
          </cell>
          <cell r="B685">
            <v>1985</v>
          </cell>
          <cell r="C685" t="str">
            <v>Medlánky</v>
          </cell>
          <cell r="D685" t="str">
            <v>CZ/M</v>
          </cell>
          <cell r="E685" t="str">
            <v>M</v>
          </cell>
          <cell r="F685" t="str">
            <v/>
          </cell>
        </row>
        <row r="686">
          <cell r="A686" t="str">
            <v>Pavel Svoboda</v>
          </cell>
          <cell r="B686">
            <v>1938</v>
          </cell>
          <cell r="C686" t="str">
            <v>Letňany</v>
          </cell>
          <cell r="D686" t="str">
            <v>CZ/C1</v>
          </cell>
          <cell r="E686" t="str">
            <v>M</v>
          </cell>
          <cell r="F686" t="str">
            <v/>
          </cell>
        </row>
        <row r="687">
          <cell r="A687" t="str">
            <v>Pavel Simek</v>
          </cell>
          <cell r="B687">
            <v>1957</v>
          </cell>
          <cell r="C687" t="str">
            <v>Vyškov</v>
          </cell>
          <cell r="D687" t="str">
            <v>CZ/M</v>
          </cell>
          <cell r="E687" t="str">
            <v>M</v>
          </cell>
          <cell r="F687" t="str">
            <v/>
          </cell>
        </row>
        <row r="688">
          <cell r="A688" t="str">
            <v>Pavel Skrabal</v>
          </cell>
          <cell r="B688">
            <v>1969</v>
          </cell>
          <cell r="C688" t="str">
            <v>Šumperk</v>
          </cell>
          <cell r="D688" t="str">
            <v>CZ/M</v>
          </cell>
          <cell r="E688" t="str">
            <v>M</v>
          </cell>
          <cell r="F688" t="str">
            <v/>
          </cell>
        </row>
        <row r="689">
          <cell r="A689" t="str">
            <v>Pavel Sulc</v>
          </cell>
          <cell r="B689">
            <v>1976</v>
          </cell>
          <cell r="C689" t="str">
            <v>Hodkovice</v>
          </cell>
          <cell r="D689" t="str">
            <v>CZ/C2</v>
          </cell>
          <cell r="E689" t="str">
            <v>M</v>
          </cell>
          <cell r="F689" t="str">
            <v/>
          </cell>
        </row>
        <row r="690">
          <cell r="A690" t="str">
            <v>Pavel Svejkovsky</v>
          </cell>
          <cell r="B690">
            <v>1968</v>
          </cell>
          <cell r="C690" t="str">
            <v>Česká Lípa</v>
          </cell>
          <cell r="D690" t="str">
            <v>CZ/C2</v>
          </cell>
          <cell r="E690" t="str">
            <v>M</v>
          </cell>
          <cell r="F690" t="str">
            <v/>
          </cell>
        </row>
        <row r="691">
          <cell r="A691" t="str">
            <v>Pavel Svrcek</v>
          </cell>
          <cell r="B691">
            <v>1972</v>
          </cell>
          <cell r="C691" t="str">
            <v>Frýdlant</v>
          </cell>
          <cell r="D691" t="str">
            <v>CZ/M</v>
          </cell>
          <cell r="E691" t="str">
            <v>M</v>
          </cell>
          <cell r="F691" t="str">
            <v/>
          </cell>
        </row>
        <row r="692">
          <cell r="A692" t="str">
            <v>Pavel Trojan</v>
          </cell>
          <cell r="B692">
            <v>1960</v>
          </cell>
          <cell r="C692" t="str">
            <v>Chrudim</v>
          </cell>
          <cell r="D692" t="str">
            <v>CZ/C2</v>
          </cell>
          <cell r="E692" t="str">
            <v>M</v>
          </cell>
          <cell r="F692" t="str">
            <v/>
          </cell>
        </row>
        <row r="693">
          <cell r="A693" t="str">
            <v>Pavel Trybenekr</v>
          </cell>
          <cell r="B693">
            <v>1990</v>
          </cell>
          <cell r="C693" t="str">
            <v>Hořice</v>
          </cell>
          <cell r="D693" t="str">
            <v>CZ/C2</v>
          </cell>
          <cell r="E693" t="str">
            <v>M</v>
          </cell>
          <cell r="F693" t="str">
            <v/>
          </cell>
        </row>
        <row r="694">
          <cell r="A694" t="str">
            <v>Pavel Zima</v>
          </cell>
          <cell r="B694">
            <v>1979</v>
          </cell>
          <cell r="C694" t="str">
            <v>Břeclav</v>
          </cell>
          <cell r="D694" t="str">
            <v>CZ/M</v>
          </cell>
          <cell r="E694" t="str">
            <v>M</v>
          </cell>
          <cell r="F694" t="str">
            <v/>
          </cell>
        </row>
        <row r="695">
          <cell r="A695" t="str">
            <v>Pavla Seifertova</v>
          </cell>
          <cell r="B695">
            <v>1981</v>
          </cell>
          <cell r="C695" t="str">
            <v>Raná</v>
          </cell>
          <cell r="D695" t="str">
            <v>CZ/C2</v>
          </cell>
          <cell r="E695" t="str">
            <v>F</v>
          </cell>
          <cell r="F695" t="str">
            <v/>
          </cell>
        </row>
        <row r="696">
          <cell r="A696" t="str">
            <v>Pavlina Hanusova</v>
          </cell>
          <cell r="B696">
            <v>1970</v>
          </cell>
          <cell r="C696" t="str">
            <v>Turnov</v>
          </cell>
          <cell r="D696" t="str">
            <v>CZ/C2</v>
          </cell>
          <cell r="E696" t="str">
            <v>F</v>
          </cell>
          <cell r="F696" t="str">
            <v/>
          </cell>
        </row>
        <row r="697">
          <cell r="A697" t="str">
            <v>Pavlina Horackova</v>
          </cell>
          <cell r="B697">
            <v>1965</v>
          </cell>
          <cell r="C697" t="str">
            <v>Šumperk</v>
          </cell>
          <cell r="D697" t="str">
            <v>CZ/M</v>
          </cell>
          <cell r="E697" t="str">
            <v>F</v>
          </cell>
          <cell r="F697" t="str">
            <v/>
          </cell>
        </row>
        <row r="698">
          <cell r="A698" t="str">
            <v>Peter Kaspar</v>
          </cell>
          <cell r="B698">
            <v>1980</v>
          </cell>
          <cell r="C698" t="str">
            <v>Vyškov</v>
          </cell>
          <cell r="D698" t="str">
            <v>CZ/M</v>
          </cell>
          <cell r="E698" t="str">
            <v>M</v>
          </cell>
          <cell r="F698" t="str">
            <v/>
          </cell>
        </row>
        <row r="699">
          <cell r="A699" t="str">
            <v>Petr Babak</v>
          </cell>
          <cell r="B699">
            <v>1973</v>
          </cell>
          <cell r="C699" t="str">
            <v>Hořice</v>
          </cell>
          <cell r="D699" t="str">
            <v>CZ/C2</v>
          </cell>
          <cell r="E699" t="str">
            <v>M</v>
          </cell>
          <cell r="F699" t="str">
            <v/>
          </cell>
        </row>
        <row r="700">
          <cell r="A700" t="str">
            <v>Petr Baros</v>
          </cell>
          <cell r="B700">
            <v>1974</v>
          </cell>
          <cell r="C700" t="str">
            <v>Hranice</v>
          </cell>
          <cell r="D700" t="str">
            <v>CZ/M</v>
          </cell>
          <cell r="E700" t="str">
            <v>M</v>
          </cell>
          <cell r="F700" t="str">
            <v/>
          </cell>
        </row>
        <row r="701">
          <cell r="A701" t="str">
            <v>Petr Bartak</v>
          </cell>
          <cell r="B701">
            <v>1984</v>
          </cell>
          <cell r="C701" t="str">
            <v>Letkov</v>
          </cell>
          <cell r="D701" t="str">
            <v>CZ/C1</v>
          </cell>
          <cell r="E701" t="str">
            <v>M</v>
          </cell>
          <cell r="F701" t="str">
            <v/>
          </cell>
        </row>
        <row r="702">
          <cell r="A702" t="str">
            <v>Petr Brezina</v>
          </cell>
          <cell r="B702">
            <v>1963</v>
          </cell>
          <cell r="C702" t="str">
            <v>Frýdlant</v>
          </cell>
          <cell r="D702" t="str">
            <v>CZ/M</v>
          </cell>
          <cell r="E702" t="str">
            <v>M</v>
          </cell>
          <cell r="F702" t="str">
            <v/>
          </cell>
        </row>
        <row r="703">
          <cell r="A703" t="str">
            <v>Petr Benes</v>
          </cell>
          <cell r="B703">
            <v>1980</v>
          </cell>
          <cell r="C703" t="str">
            <v>Raná</v>
          </cell>
          <cell r="D703" t="str">
            <v>CZ/C2</v>
          </cell>
          <cell r="E703" t="str">
            <v>M</v>
          </cell>
          <cell r="F703" t="str">
            <v/>
          </cell>
        </row>
        <row r="704">
          <cell r="A704" t="str">
            <v>Petr Bezdek</v>
          </cell>
          <cell r="B704">
            <v>1965</v>
          </cell>
          <cell r="C704" t="str">
            <v>Letňany</v>
          </cell>
          <cell r="D704" t="str">
            <v>CZ/C1</v>
          </cell>
          <cell r="E704" t="str">
            <v>M</v>
          </cell>
          <cell r="F704" t="str">
            <v/>
          </cell>
        </row>
        <row r="705">
          <cell r="A705" t="str">
            <v>Petr Cernicky</v>
          </cell>
          <cell r="B705">
            <v>1974</v>
          </cell>
          <cell r="C705" t="str">
            <v>Toužim</v>
          </cell>
          <cell r="D705" t="str">
            <v>CZ/C1</v>
          </cell>
          <cell r="E705" t="str">
            <v>M</v>
          </cell>
          <cell r="F705" t="str">
            <v/>
          </cell>
        </row>
        <row r="706">
          <cell r="A706" t="str">
            <v>Petr Doubek</v>
          </cell>
          <cell r="B706">
            <v>1974</v>
          </cell>
          <cell r="C706" t="str">
            <v>Kralupy</v>
          </cell>
          <cell r="D706" t="str">
            <v>CZ/C1</v>
          </cell>
          <cell r="E706" t="str">
            <v>M</v>
          </cell>
          <cell r="F706" t="str">
            <v/>
          </cell>
        </row>
        <row r="707">
          <cell r="A707" t="str">
            <v>Petr Filip</v>
          </cell>
          <cell r="B707">
            <v>1982</v>
          </cell>
          <cell r="C707" t="str">
            <v>Zbraslavice</v>
          </cell>
          <cell r="D707" t="str">
            <v>CZ/C1</v>
          </cell>
          <cell r="E707" t="str">
            <v>M</v>
          </cell>
          <cell r="F707" t="str">
            <v/>
          </cell>
        </row>
        <row r="708">
          <cell r="A708" t="str">
            <v>Petr Fisar</v>
          </cell>
          <cell r="B708">
            <v>1974</v>
          </cell>
          <cell r="C708" t="str">
            <v>Ústí nad Orlicí</v>
          </cell>
          <cell r="D708" t="str">
            <v>CZ/C2</v>
          </cell>
          <cell r="E708" t="str">
            <v>M</v>
          </cell>
          <cell r="F708" t="str">
            <v/>
          </cell>
        </row>
        <row r="709">
          <cell r="A709" t="str">
            <v>Petr Fousek</v>
          </cell>
          <cell r="B709">
            <v>1958</v>
          </cell>
          <cell r="C709" t="str">
            <v>Zbraslavice</v>
          </cell>
          <cell r="D709" t="str">
            <v>CZ/C1</v>
          </cell>
          <cell r="E709" t="str">
            <v>M</v>
          </cell>
          <cell r="F709" t="str">
            <v/>
          </cell>
        </row>
        <row r="710">
          <cell r="A710" t="str">
            <v>Petr Frycek</v>
          </cell>
          <cell r="B710">
            <v>1960</v>
          </cell>
          <cell r="C710" t="str">
            <v>Most</v>
          </cell>
          <cell r="D710" t="str">
            <v>CZ/C2</v>
          </cell>
          <cell r="E710" t="str">
            <v>M</v>
          </cell>
          <cell r="F710" t="str">
            <v/>
          </cell>
        </row>
        <row r="711">
          <cell r="A711" t="str">
            <v>Petr Gebauer</v>
          </cell>
          <cell r="B711">
            <v>1999</v>
          </cell>
          <cell r="C711" t="str">
            <v>Mladá Boleslav</v>
          </cell>
          <cell r="D711" t="str">
            <v>CZ/C1</v>
          </cell>
          <cell r="E711" t="str">
            <v>M</v>
          </cell>
          <cell r="F711" t="str">
            <v>Junior v roce 2024</v>
          </cell>
        </row>
        <row r="712">
          <cell r="A712" t="str">
            <v>Petr Gryc</v>
          </cell>
          <cell r="B712">
            <v>1949</v>
          </cell>
          <cell r="C712" t="str">
            <v>Medlánky</v>
          </cell>
          <cell r="D712" t="str">
            <v>CZ/M</v>
          </cell>
          <cell r="E712" t="str">
            <v>M</v>
          </cell>
          <cell r="F712" t="str">
            <v/>
          </cell>
        </row>
        <row r="713">
          <cell r="A713" t="str">
            <v>Petr Hanacek</v>
          </cell>
          <cell r="B713">
            <v>1962</v>
          </cell>
          <cell r="C713" t="str">
            <v>Jeseník</v>
          </cell>
          <cell r="D713" t="str">
            <v>CZ/M</v>
          </cell>
          <cell r="E713" t="str">
            <v>M</v>
          </cell>
          <cell r="F713" t="str">
            <v/>
          </cell>
        </row>
        <row r="714">
          <cell r="A714" t="str">
            <v>Petr Havelka</v>
          </cell>
          <cell r="B714">
            <v>1997</v>
          </cell>
          <cell r="C714" t="str">
            <v>Zbraslavice</v>
          </cell>
          <cell r="D714" t="str">
            <v>CZ/C1</v>
          </cell>
          <cell r="E714" t="str">
            <v>M</v>
          </cell>
          <cell r="F714" t="str">
            <v/>
          </cell>
        </row>
        <row r="715">
          <cell r="A715" t="str">
            <v>Petr Havrlant</v>
          </cell>
          <cell r="B715">
            <v>1965</v>
          </cell>
          <cell r="C715" t="str">
            <v>Šumperk</v>
          </cell>
          <cell r="D715" t="str">
            <v>CZ/M</v>
          </cell>
          <cell r="E715" t="str">
            <v>M</v>
          </cell>
          <cell r="F715" t="str">
            <v/>
          </cell>
        </row>
        <row r="716">
          <cell r="A716" t="str">
            <v>Petr Herold</v>
          </cell>
          <cell r="B716">
            <v>1970</v>
          </cell>
          <cell r="C716" t="str">
            <v>Vlašim</v>
          </cell>
          <cell r="D716" t="str">
            <v>CZ/C1</v>
          </cell>
          <cell r="E716" t="str">
            <v>M</v>
          </cell>
          <cell r="F716" t="str">
            <v/>
          </cell>
        </row>
        <row r="717">
          <cell r="A717" t="str">
            <v>Petr Hodulak</v>
          </cell>
          <cell r="B717">
            <v>1974</v>
          </cell>
          <cell r="C717" t="str">
            <v>Beroun</v>
          </cell>
          <cell r="D717" t="str">
            <v>CZ/C1</v>
          </cell>
          <cell r="E717" t="str">
            <v>M</v>
          </cell>
          <cell r="F717" t="str">
            <v/>
          </cell>
        </row>
        <row r="718">
          <cell r="A718" t="str">
            <v>Petr Hofman</v>
          </cell>
          <cell r="B718">
            <v>1984</v>
          </cell>
          <cell r="C718" t="str">
            <v>Letňany</v>
          </cell>
          <cell r="D718" t="str">
            <v>CZ/C1</v>
          </cell>
          <cell r="E718" t="str">
            <v>M</v>
          </cell>
          <cell r="F718" t="str">
            <v/>
          </cell>
        </row>
        <row r="719">
          <cell r="A719" t="str">
            <v>Petr Homola</v>
          </cell>
          <cell r="B719">
            <v>1974</v>
          </cell>
          <cell r="C719" t="str">
            <v>GAC Benešov</v>
          </cell>
          <cell r="D719" t="str">
            <v>CZ/C1</v>
          </cell>
          <cell r="E719" t="str">
            <v>M</v>
          </cell>
          <cell r="F719" t="str">
            <v/>
          </cell>
        </row>
        <row r="720">
          <cell r="A720" t="str">
            <v>Petr Hora</v>
          </cell>
          <cell r="B720">
            <v>1948</v>
          </cell>
          <cell r="C720" t="str">
            <v>Hodkovice</v>
          </cell>
          <cell r="D720" t="str">
            <v>CZ/C2</v>
          </cell>
          <cell r="E720" t="str">
            <v>M</v>
          </cell>
          <cell r="F720" t="str">
            <v/>
          </cell>
        </row>
        <row r="721">
          <cell r="A721" t="str">
            <v>Petr Hosek</v>
          </cell>
          <cell r="B721">
            <v>2001</v>
          </cell>
          <cell r="C721" t="str">
            <v>Beroun</v>
          </cell>
          <cell r="D721" t="str">
            <v>CZ/C1</v>
          </cell>
          <cell r="E721" t="str">
            <v>M</v>
          </cell>
          <cell r="F721" t="str">
            <v>Junior v roce 2024</v>
          </cell>
        </row>
        <row r="722">
          <cell r="A722" t="str">
            <v>Petr Hotovy</v>
          </cell>
          <cell r="B722">
            <v>1958</v>
          </cell>
          <cell r="C722" t="str">
            <v>Česká Lípa</v>
          </cell>
          <cell r="D722" t="str">
            <v>CZ/C2</v>
          </cell>
          <cell r="E722" t="str">
            <v>M</v>
          </cell>
          <cell r="F722" t="str">
            <v/>
          </cell>
        </row>
        <row r="723">
          <cell r="A723" t="str">
            <v>Petr Houstek 49</v>
          </cell>
          <cell r="B723">
            <v>1949</v>
          </cell>
          <cell r="C723" t="str">
            <v>Jaroměř</v>
          </cell>
          <cell r="D723" t="str">
            <v>CZ/C2</v>
          </cell>
          <cell r="E723" t="str">
            <v>M</v>
          </cell>
          <cell r="F723" t="str">
            <v/>
          </cell>
        </row>
        <row r="724">
          <cell r="A724" t="str">
            <v>Petr Houstek 79</v>
          </cell>
          <cell r="B724">
            <v>1979</v>
          </cell>
          <cell r="C724" t="str">
            <v>Jaroměř</v>
          </cell>
          <cell r="D724" t="str">
            <v>CZ/C2</v>
          </cell>
          <cell r="E724" t="str">
            <v>M</v>
          </cell>
          <cell r="F724" t="str">
            <v/>
          </cell>
        </row>
        <row r="725">
          <cell r="A725" t="str">
            <v>Petr Hrebec</v>
          </cell>
          <cell r="B725">
            <v>1972</v>
          </cell>
          <cell r="C725" t="str">
            <v>Točná</v>
          </cell>
          <cell r="D725" t="str">
            <v>CZ/C1</v>
          </cell>
          <cell r="E725" t="str">
            <v>M</v>
          </cell>
          <cell r="F725" t="str">
            <v/>
          </cell>
        </row>
        <row r="726">
          <cell r="A726" t="str">
            <v>Petr Humlicek</v>
          </cell>
          <cell r="B726">
            <v>1973</v>
          </cell>
          <cell r="C726" t="str">
            <v>Medlánky</v>
          </cell>
          <cell r="D726" t="str">
            <v>CZ/M</v>
          </cell>
          <cell r="E726" t="str">
            <v>M</v>
          </cell>
          <cell r="F726" t="str">
            <v/>
          </cell>
        </row>
        <row r="727">
          <cell r="A727" t="str">
            <v>Petr Hybner</v>
          </cell>
          <cell r="B727">
            <v>1951</v>
          </cell>
          <cell r="C727" t="str">
            <v>Liberec</v>
          </cell>
          <cell r="D727" t="str">
            <v>CZ/C2</v>
          </cell>
          <cell r="E727" t="str">
            <v>M</v>
          </cell>
          <cell r="F727" t="str">
            <v/>
          </cell>
        </row>
        <row r="728">
          <cell r="A728" t="str">
            <v>Petr Jasan</v>
          </cell>
          <cell r="B728">
            <v>1960</v>
          </cell>
          <cell r="C728" t="str">
            <v>Medlánky</v>
          </cell>
          <cell r="D728" t="str">
            <v>CZ/M</v>
          </cell>
          <cell r="E728" t="str">
            <v>M</v>
          </cell>
          <cell r="F728" t="str">
            <v/>
          </cell>
        </row>
        <row r="729">
          <cell r="A729" t="str">
            <v>Petr Jedlicka</v>
          </cell>
          <cell r="B729">
            <v>1987</v>
          </cell>
          <cell r="C729" t="str">
            <v>Medlánky</v>
          </cell>
          <cell r="D729" t="str">
            <v>CZ/M</v>
          </cell>
          <cell r="E729" t="str">
            <v>M</v>
          </cell>
          <cell r="F729" t="str">
            <v/>
          </cell>
        </row>
        <row r="730">
          <cell r="A730" t="str">
            <v>Petr Jiranek 63</v>
          </cell>
          <cell r="B730">
            <v>1962</v>
          </cell>
          <cell r="C730" t="str">
            <v>Toužim</v>
          </cell>
          <cell r="D730" t="str">
            <v>CZ/C1</v>
          </cell>
          <cell r="E730" t="str">
            <v>M</v>
          </cell>
          <cell r="F730" t="str">
            <v/>
          </cell>
        </row>
        <row r="731">
          <cell r="A731" t="str">
            <v>Petr Jiranek 91</v>
          </cell>
          <cell r="B731">
            <v>1991</v>
          </cell>
          <cell r="C731" t="str">
            <v>Toužim</v>
          </cell>
          <cell r="D731" t="str">
            <v>CZ/C1</v>
          </cell>
          <cell r="E731" t="str">
            <v>M</v>
          </cell>
          <cell r="F731" t="str">
            <v/>
          </cell>
        </row>
        <row r="732">
          <cell r="A732" t="str">
            <v>Petr Jirasek</v>
          </cell>
          <cell r="B732">
            <v>1968</v>
          </cell>
          <cell r="C732" t="str">
            <v>Hronov</v>
          </cell>
          <cell r="D732" t="str">
            <v>CZ/C2</v>
          </cell>
          <cell r="E732" t="str">
            <v>M</v>
          </cell>
          <cell r="F732" t="str">
            <v/>
          </cell>
        </row>
        <row r="733">
          <cell r="A733" t="str">
            <v>Petr Kachlik</v>
          </cell>
          <cell r="B733">
            <v>1954</v>
          </cell>
          <cell r="C733" t="str">
            <v>GAC Benešov</v>
          </cell>
          <cell r="D733" t="str">
            <v>CZ/C1</v>
          </cell>
          <cell r="E733" t="str">
            <v>M</v>
          </cell>
          <cell r="F733" t="str">
            <v/>
          </cell>
        </row>
        <row r="734">
          <cell r="A734" t="str">
            <v>Petr Kapounek</v>
          </cell>
          <cell r="B734">
            <v>1977</v>
          </cell>
          <cell r="C734" t="str">
            <v>Kroměříž</v>
          </cell>
          <cell r="D734" t="str">
            <v>CZ/M</v>
          </cell>
          <cell r="E734" t="str">
            <v>M</v>
          </cell>
          <cell r="F734" t="str">
            <v/>
          </cell>
        </row>
        <row r="735">
          <cell r="A735" t="str">
            <v>Petr Kaufmann</v>
          </cell>
          <cell r="B735">
            <v>1958</v>
          </cell>
          <cell r="C735" t="str">
            <v>Nové Město nad Metují</v>
          </cell>
          <cell r="D735" t="str">
            <v>CZ/C2</v>
          </cell>
          <cell r="E735" t="str">
            <v>M</v>
          </cell>
          <cell r="F735" t="str">
            <v/>
          </cell>
        </row>
        <row r="736">
          <cell r="A736" t="str">
            <v>Petr Kejr</v>
          </cell>
          <cell r="B736">
            <v>1959</v>
          </cell>
          <cell r="C736" t="str">
            <v>Kralupy</v>
          </cell>
          <cell r="D736" t="str">
            <v>CZ/C1</v>
          </cell>
          <cell r="E736" t="str">
            <v>M</v>
          </cell>
          <cell r="F736" t="str">
            <v/>
          </cell>
        </row>
        <row r="737">
          <cell r="A737" t="str">
            <v>Petr Kolacek</v>
          </cell>
          <cell r="B737">
            <v>1965</v>
          </cell>
          <cell r="C737" t="str">
            <v>Šumperk</v>
          </cell>
          <cell r="D737" t="str">
            <v>CZ/M</v>
          </cell>
          <cell r="E737" t="str">
            <v>M</v>
          </cell>
          <cell r="F737" t="str">
            <v/>
          </cell>
        </row>
        <row r="738">
          <cell r="A738" t="str">
            <v>Petr Kolomaznik</v>
          </cell>
          <cell r="B738">
            <v>1981</v>
          </cell>
          <cell r="C738" t="str">
            <v>Šumperk</v>
          </cell>
          <cell r="D738" t="str">
            <v>CZ/M</v>
          </cell>
          <cell r="E738" t="str">
            <v>M</v>
          </cell>
          <cell r="F738" t="str">
            <v/>
          </cell>
        </row>
        <row r="739">
          <cell r="A739" t="str">
            <v>Petr Kotal</v>
          </cell>
          <cell r="B739">
            <v>1975</v>
          </cell>
          <cell r="C739" t="str">
            <v>Točná</v>
          </cell>
          <cell r="D739" t="str">
            <v>CZ/C1</v>
          </cell>
          <cell r="E739" t="str">
            <v>M</v>
          </cell>
          <cell r="F739" t="str">
            <v/>
          </cell>
        </row>
        <row r="740">
          <cell r="A740" t="str">
            <v>Petr Koutny</v>
          </cell>
          <cell r="B740">
            <v>1971</v>
          </cell>
          <cell r="C740" t="str">
            <v>Křižanov</v>
          </cell>
          <cell r="D740" t="str">
            <v>CZ/M</v>
          </cell>
          <cell r="E740" t="str">
            <v>M</v>
          </cell>
          <cell r="F740" t="str">
            <v/>
          </cell>
        </row>
        <row r="741">
          <cell r="A741" t="str">
            <v>Petr Kohr</v>
          </cell>
          <cell r="B741">
            <v>1970</v>
          </cell>
          <cell r="C741" t="str">
            <v>Raná</v>
          </cell>
          <cell r="D741" t="str">
            <v>CZ/C2</v>
          </cell>
          <cell r="E741" t="str">
            <v>M</v>
          </cell>
          <cell r="F741" t="str">
            <v/>
          </cell>
        </row>
        <row r="742">
          <cell r="A742" t="str">
            <v>Petr Krejcirik</v>
          </cell>
          <cell r="B742">
            <v>1960</v>
          </cell>
          <cell r="C742" t="str">
            <v>Hranice</v>
          </cell>
          <cell r="D742" t="str">
            <v>CZ/M</v>
          </cell>
          <cell r="E742" t="str">
            <v>M</v>
          </cell>
          <cell r="F742" t="str">
            <v/>
          </cell>
        </row>
        <row r="743">
          <cell r="A743" t="str">
            <v>Petr Kubik 74</v>
          </cell>
          <cell r="B743">
            <v>1974</v>
          </cell>
          <cell r="C743" t="str">
            <v>Křižanov</v>
          </cell>
          <cell r="D743" t="str">
            <v>CZ/M</v>
          </cell>
          <cell r="E743" t="str">
            <v>M</v>
          </cell>
          <cell r="F743" t="str">
            <v/>
          </cell>
        </row>
        <row r="744">
          <cell r="A744" t="str">
            <v>Petr Kubik 75</v>
          </cell>
          <cell r="B744">
            <v>1975</v>
          </cell>
          <cell r="C744" t="str">
            <v>Moravská Třebová</v>
          </cell>
          <cell r="D744" t="str">
            <v>CZ/M</v>
          </cell>
          <cell r="E744" t="str">
            <v>M</v>
          </cell>
          <cell r="F744" t="str">
            <v/>
          </cell>
        </row>
        <row r="745">
          <cell r="A745" t="str">
            <v>Petr Kyzivat</v>
          </cell>
          <cell r="B745">
            <v>1970</v>
          </cell>
          <cell r="C745" t="str">
            <v>Jičín</v>
          </cell>
          <cell r="D745" t="str">
            <v>CZ/C2</v>
          </cell>
          <cell r="E745" t="str">
            <v>M</v>
          </cell>
          <cell r="F745" t="str">
            <v/>
          </cell>
        </row>
        <row r="746">
          <cell r="A746" t="str">
            <v>Petr Lonsky</v>
          </cell>
          <cell r="B746">
            <v>1965</v>
          </cell>
          <cell r="C746" t="str">
            <v>Toužim</v>
          </cell>
          <cell r="D746" t="str">
            <v>CZ/C1</v>
          </cell>
          <cell r="E746" t="str">
            <v>M</v>
          </cell>
          <cell r="F746" t="str">
            <v/>
          </cell>
        </row>
        <row r="747">
          <cell r="A747" t="str">
            <v>Petr Los</v>
          </cell>
          <cell r="B747">
            <v>1961</v>
          </cell>
          <cell r="C747" t="str">
            <v>Toužim</v>
          </cell>
          <cell r="D747" t="str">
            <v>CZ/C1</v>
          </cell>
          <cell r="E747" t="str">
            <v>M</v>
          </cell>
          <cell r="F747" t="str">
            <v/>
          </cell>
        </row>
        <row r="748">
          <cell r="A748" t="str">
            <v>Petr Macicek</v>
          </cell>
          <cell r="B748">
            <v>1976</v>
          </cell>
          <cell r="C748" t="str">
            <v>Frýdlant</v>
          </cell>
          <cell r="D748" t="str">
            <v>CZ/M</v>
          </cell>
          <cell r="E748" t="str">
            <v>M</v>
          </cell>
          <cell r="F748" t="str">
            <v/>
          </cell>
        </row>
        <row r="749">
          <cell r="A749" t="str">
            <v>Petr Malcek</v>
          </cell>
          <cell r="B749">
            <v>1965</v>
          </cell>
          <cell r="C749" t="str">
            <v>Letňany</v>
          </cell>
          <cell r="D749" t="str">
            <v>CZ/C1</v>
          </cell>
          <cell r="E749" t="str">
            <v>M</v>
          </cell>
          <cell r="F749" t="str">
            <v/>
          </cell>
        </row>
        <row r="750">
          <cell r="A750" t="str">
            <v>Petr Masik</v>
          </cell>
          <cell r="B750">
            <v>2001</v>
          </cell>
          <cell r="C750" t="str">
            <v>Zábřeh</v>
          </cell>
          <cell r="D750" t="str">
            <v>CZ/M</v>
          </cell>
          <cell r="E750" t="str">
            <v>M</v>
          </cell>
          <cell r="F750" t="str">
            <v>Junior v roce 2024</v>
          </cell>
        </row>
        <row r="751">
          <cell r="A751" t="str">
            <v>Petr Mitas</v>
          </cell>
          <cell r="B751">
            <v>1993</v>
          </cell>
          <cell r="C751" t="str">
            <v>Kunovice</v>
          </cell>
          <cell r="D751" t="str">
            <v>CZ/M</v>
          </cell>
          <cell r="E751" t="str">
            <v>M</v>
          </cell>
          <cell r="F751" t="str">
            <v/>
          </cell>
        </row>
        <row r="752">
          <cell r="A752" t="str">
            <v>Petr Omelka</v>
          </cell>
          <cell r="B752">
            <v>1970</v>
          </cell>
          <cell r="C752" t="str">
            <v>Vyškov</v>
          </cell>
          <cell r="D752" t="str">
            <v>CZ/M</v>
          </cell>
          <cell r="E752" t="str">
            <v>M</v>
          </cell>
          <cell r="F752" t="str">
            <v/>
          </cell>
        </row>
        <row r="753">
          <cell r="A753" t="str">
            <v>Petr Panek</v>
          </cell>
          <cell r="B753">
            <v>1975</v>
          </cell>
          <cell r="C753" t="str">
            <v>Dvůr Králové</v>
          </cell>
          <cell r="D753" t="str">
            <v>CZ/C2</v>
          </cell>
          <cell r="E753" t="str">
            <v>M</v>
          </cell>
          <cell r="F753" t="str">
            <v/>
          </cell>
        </row>
        <row r="754">
          <cell r="A754" t="str">
            <v>Petr Petricka</v>
          </cell>
          <cell r="B754">
            <v>1972</v>
          </cell>
          <cell r="C754" t="str">
            <v>Soběslav</v>
          </cell>
          <cell r="D754" t="str">
            <v>CZ/C1</v>
          </cell>
          <cell r="E754" t="str">
            <v>M</v>
          </cell>
          <cell r="F754" t="str">
            <v/>
          </cell>
        </row>
        <row r="755">
          <cell r="A755" t="str">
            <v>Petr Prichystal</v>
          </cell>
          <cell r="B755">
            <v>1973</v>
          </cell>
          <cell r="C755" t="str">
            <v>Moravská Třebová</v>
          </cell>
          <cell r="D755" t="str">
            <v>CZ/M</v>
          </cell>
          <cell r="E755" t="str">
            <v>M</v>
          </cell>
          <cell r="F755" t="str">
            <v/>
          </cell>
        </row>
        <row r="756">
          <cell r="A756" t="str">
            <v>Petr Rajda</v>
          </cell>
          <cell r="B756">
            <v>1970</v>
          </cell>
          <cell r="C756" t="str">
            <v>Křižanov</v>
          </cell>
          <cell r="D756" t="str">
            <v>CZ/M</v>
          </cell>
          <cell r="E756" t="str">
            <v>M</v>
          </cell>
          <cell r="F756" t="str">
            <v/>
          </cell>
        </row>
        <row r="757">
          <cell r="A757" t="str">
            <v>Petr Rozhon</v>
          </cell>
          <cell r="B757">
            <v>1972</v>
          </cell>
          <cell r="C757" t="str">
            <v>Hosín</v>
          </cell>
          <cell r="D757" t="str">
            <v>CZ/C1</v>
          </cell>
          <cell r="E757" t="str">
            <v>M</v>
          </cell>
          <cell r="F757" t="str">
            <v/>
          </cell>
        </row>
        <row r="758">
          <cell r="A758" t="str">
            <v>Petr Rygl</v>
          </cell>
          <cell r="B758">
            <v>1966</v>
          </cell>
          <cell r="C758" t="str">
            <v>Jičín</v>
          </cell>
          <cell r="D758" t="str">
            <v>CZ/C2</v>
          </cell>
          <cell r="E758" t="str">
            <v>M</v>
          </cell>
          <cell r="F758" t="str">
            <v/>
          </cell>
        </row>
        <row r="759">
          <cell r="A759" t="str">
            <v>Petr Seibrt</v>
          </cell>
          <cell r="B759">
            <v>1974</v>
          </cell>
          <cell r="C759" t="str">
            <v>Náchod</v>
          </cell>
          <cell r="D759" t="str">
            <v>CZ/C2</v>
          </cell>
          <cell r="E759" t="str">
            <v>M</v>
          </cell>
          <cell r="F759" t="str">
            <v/>
          </cell>
        </row>
        <row r="760">
          <cell r="A760" t="str">
            <v>Petr Sloupensky</v>
          </cell>
          <cell r="B760">
            <v>1959</v>
          </cell>
          <cell r="C760" t="str">
            <v>Ústí nad Orlicí</v>
          </cell>
          <cell r="D760" t="str">
            <v>CZ/C2</v>
          </cell>
          <cell r="E760" t="str">
            <v>M</v>
          </cell>
          <cell r="F760" t="str">
            <v/>
          </cell>
        </row>
        <row r="761">
          <cell r="A761" t="str">
            <v>Petr Starek</v>
          </cell>
          <cell r="B761">
            <v>1974</v>
          </cell>
          <cell r="C761" t="str">
            <v>Zbraslavice</v>
          </cell>
          <cell r="D761" t="str">
            <v>CZ/C1</v>
          </cell>
          <cell r="E761" t="str">
            <v>M</v>
          </cell>
          <cell r="F761" t="str">
            <v/>
          </cell>
        </row>
        <row r="762">
          <cell r="A762" t="str">
            <v>Petr Striz</v>
          </cell>
          <cell r="B762">
            <v>1980</v>
          </cell>
          <cell r="C762" t="str">
            <v>Točná</v>
          </cell>
          <cell r="D762" t="str">
            <v>CZ/C1</v>
          </cell>
          <cell r="E762" t="str">
            <v>M</v>
          </cell>
          <cell r="F762" t="str">
            <v/>
          </cell>
        </row>
        <row r="763">
          <cell r="A763" t="str">
            <v>Petr Svoboda</v>
          </cell>
          <cell r="B763">
            <v>1988</v>
          </cell>
          <cell r="C763" t="str">
            <v>Letkov</v>
          </cell>
          <cell r="D763" t="str">
            <v>CZ/C1</v>
          </cell>
          <cell r="E763" t="str">
            <v>M</v>
          </cell>
          <cell r="F763" t="str">
            <v/>
          </cell>
        </row>
        <row r="764">
          <cell r="A764" t="str">
            <v>Petr Safar</v>
          </cell>
          <cell r="B764">
            <v>1978</v>
          </cell>
          <cell r="C764" t="str">
            <v>Ústí nad Orlicí</v>
          </cell>
          <cell r="D764" t="str">
            <v>CZ/C2</v>
          </cell>
          <cell r="E764" t="str">
            <v>M</v>
          </cell>
          <cell r="F764" t="str">
            <v/>
          </cell>
        </row>
        <row r="765">
          <cell r="A765" t="str">
            <v>Petr Senkyr</v>
          </cell>
          <cell r="B765">
            <v>1965</v>
          </cell>
          <cell r="C765" t="str">
            <v>Kunovice</v>
          </cell>
          <cell r="D765" t="str">
            <v>CZ/M</v>
          </cell>
          <cell r="E765" t="str">
            <v>M</v>
          </cell>
          <cell r="F765" t="str">
            <v/>
          </cell>
        </row>
        <row r="766">
          <cell r="A766" t="str">
            <v>Petr Setka</v>
          </cell>
          <cell r="B766">
            <v>1971</v>
          </cell>
          <cell r="C766" t="str">
            <v>Letkov</v>
          </cell>
          <cell r="D766" t="str">
            <v>CZ/C1</v>
          </cell>
          <cell r="E766" t="str">
            <v>M</v>
          </cell>
          <cell r="F766" t="str">
            <v/>
          </cell>
        </row>
        <row r="767">
          <cell r="A767" t="str">
            <v>Petr Sindelar 45</v>
          </cell>
          <cell r="B767">
            <v>1945</v>
          </cell>
          <cell r="C767" t="str">
            <v>Rakovník</v>
          </cell>
          <cell r="D767" t="str">
            <v>CZ/C1</v>
          </cell>
          <cell r="E767" t="str">
            <v>M</v>
          </cell>
          <cell r="F767" t="str">
            <v/>
          </cell>
        </row>
        <row r="768">
          <cell r="A768" t="str">
            <v>Petr Sindelar 80</v>
          </cell>
          <cell r="B768">
            <v>1980</v>
          </cell>
          <cell r="C768" t="str">
            <v>Rakovník</v>
          </cell>
          <cell r="D768" t="str">
            <v>CZ/C1</v>
          </cell>
          <cell r="E768" t="str">
            <v>M</v>
          </cell>
          <cell r="F768" t="str">
            <v/>
          </cell>
        </row>
        <row r="769">
          <cell r="A769" t="str">
            <v>Petr Sochor</v>
          </cell>
          <cell r="B769">
            <v>1986</v>
          </cell>
          <cell r="C769" t="str">
            <v>Hosín</v>
          </cell>
          <cell r="D769" t="str">
            <v>CZ/C1</v>
          </cell>
          <cell r="E769" t="str">
            <v>M</v>
          </cell>
          <cell r="F769" t="str">
            <v/>
          </cell>
        </row>
        <row r="770">
          <cell r="A770" t="str">
            <v>Petr Spunar</v>
          </cell>
          <cell r="B770">
            <v>1966</v>
          </cell>
          <cell r="C770" t="str">
            <v>Mladá Boleslav</v>
          </cell>
          <cell r="D770" t="str">
            <v>CZ/C1</v>
          </cell>
          <cell r="E770" t="str">
            <v>M</v>
          </cell>
          <cell r="F770" t="str">
            <v/>
          </cell>
        </row>
        <row r="771">
          <cell r="A771" t="str">
            <v>Petr Stepanek</v>
          </cell>
          <cell r="B771">
            <v>1989</v>
          </cell>
          <cell r="C771" t="str">
            <v>Moravská Třebová</v>
          </cell>
          <cell r="D771" t="str">
            <v>CZ/M</v>
          </cell>
          <cell r="E771" t="str">
            <v>M</v>
          </cell>
          <cell r="F771" t="str">
            <v/>
          </cell>
        </row>
        <row r="772">
          <cell r="A772" t="str">
            <v>Petr Styblo</v>
          </cell>
          <cell r="B772">
            <v>1975</v>
          </cell>
          <cell r="C772" t="str">
            <v>Letňany</v>
          </cell>
          <cell r="D772" t="str">
            <v>CZ/C1</v>
          </cell>
          <cell r="E772" t="str">
            <v>M</v>
          </cell>
          <cell r="F772" t="str">
            <v/>
          </cell>
        </row>
        <row r="773">
          <cell r="A773" t="str">
            <v>Petr Tax</v>
          </cell>
          <cell r="B773">
            <v>1968</v>
          </cell>
          <cell r="C773" t="str">
            <v>Jičín</v>
          </cell>
          <cell r="D773" t="str">
            <v>CZ/C2</v>
          </cell>
          <cell r="E773" t="str">
            <v>M</v>
          </cell>
          <cell r="F773" t="str">
            <v/>
          </cell>
        </row>
        <row r="774">
          <cell r="A774" t="str">
            <v>Petr Tichy</v>
          </cell>
          <cell r="B774">
            <v>1973</v>
          </cell>
          <cell r="C774" t="str">
            <v>Zbraslavice</v>
          </cell>
          <cell r="D774" t="str">
            <v>CZ/C1</v>
          </cell>
          <cell r="E774" t="str">
            <v>M</v>
          </cell>
          <cell r="F774" t="str">
            <v/>
          </cell>
        </row>
        <row r="775">
          <cell r="A775" t="str">
            <v>Petr Traeger</v>
          </cell>
          <cell r="B775">
            <v>1983</v>
          </cell>
          <cell r="C775" t="str">
            <v>Vrchlabí</v>
          </cell>
          <cell r="D775" t="str">
            <v>CZ/C2</v>
          </cell>
          <cell r="E775" t="str">
            <v>M</v>
          </cell>
          <cell r="F775" t="str">
            <v/>
          </cell>
        </row>
        <row r="776">
          <cell r="A776" t="str">
            <v>Petr Uhrincko</v>
          </cell>
          <cell r="B776">
            <v>1969</v>
          </cell>
          <cell r="C776" t="str">
            <v>Kladno</v>
          </cell>
          <cell r="D776" t="str">
            <v>CZ/C1</v>
          </cell>
          <cell r="E776" t="str">
            <v>M</v>
          </cell>
          <cell r="F776" t="str">
            <v/>
          </cell>
        </row>
        <row r="777">
          <cell r="A777" t="str">
            <v>Petr Valenta 94</v>
          </cell>
          <cell r="B777">
            <v>1994</v>
          </cell>
          <cell r="C777" t="str">
            <v>Kunovice</v>
          </cell>
          <cell r="D777" t="str">
            <v>CZ/M</v>
          </cell>
          <cell r="E777" t="str">
            <v>M</v>
          </cell>
          <cell r="F777" t="str">
            <v/>
          </cell>
        </row>
        <row r="778">
          <cell r="A778" t="str">
            <v>Petr Valenta 76</v>
          </cell>
          <cell r="B778">
            <v>1976</v>
          </cell>
          <cell r="C778" t="str">
            <v>Jaroměř</v>
          </cell>
          <cell r="D778" t="str">
            <v>CZ/C2</v>
          </cell>
          <cell r="E778" t="str">
            <v>M</v>
          </cell>
          <cell r="F778" t="str">
            <v/>
          </cell>
        </row>
        <row r="779">
          <cell r="A779" t="str">
            <v>Petr Velek</v>
          </cell>
          <cell r="B779">
            <v>1975</v>
          </cell>
          <cell r="C779" t="str">
            <v>GAC Benešov</v>
          </cell>
          <cell r="D779" t="str">
            <v>CZ/C1</v>
          </cell>
          <cell r="E779" t="str">
            <v>M</v>
          </cell>
          <cell r="F779" t="str">
            <v/>
          </cell>
        </row>
        <row r="780">
          <cell r="A780" t="str">
            <v>Petr Vezda</v>
          </cell>
          <cell r="B780">
            <v>1974</v>
          </cell>
          <cell r="C780" t="str">
            <v>Medlánky</v>
          </cell>
          <cell r="D780" t="str">
            <v>CZ/M</v>
          </cell>
          <cell r="E780" t="str">
            <v>M</v>
          </cell>
          <cell r="F780" t="str">
            <v/>
          </cell>
        </row>
        <row r="781">
          <cell r="A781" t="str">
            <v>Petr Vlasak</v>
          </cell>
          <cell r="B781">
            <v>1974</v>
          </cell>
          <cell r="C781" t="str">
            <v>Medlánky</v>
          </cell>
          <cell r="D781" t="str">
            <v>CZ/M</v>
          </cell>
          <cell r="E781" t="str">
            <v>M</v>
          </cell>
          <cell r="F781" t="str">
            <v/>
          </cell>
        </row>
        <row r="782">
          <cell r="A782" t="str">
            <v>Petr Vodicka</v>
          </cell>
          <cell r="B782">
            <v>1965</v>
          </cell>
          <cell r="C782" t="str">
            <v>Jaroměř</v>
          </cell>
          <cell r="D782" t="str">
            <v>CZ/C2</v>
          </cell>
          <cell r="E782" t="str">
            <v>M</v>
          </cell>
          <cell r="F782" t="str">
            <v/>
          </cell>
        </row>
        <row r="783">
          <cell r="A783" t="str">
            <v>Petr Zajic</v>
          </cell>
          <cell r="B783">
            <v>1962</v>
          </cell>
          <cell r="C783" t="str">
            <v>Liberec</v>
          </cell>
          <cell r="D783" t="str">
            <v>CZ/C2</v>
          </cell>
          <cell r="E783" t="str">
            <v>M</v>
          </cell>
          <cell r="F783" t="str">
            <v/>
          </cell>
        </row>
        <row r="784">
          <cell r="A784" t="str">
            <v>Petra Benesova</v>
          </cell>
          <cell r="B784">
            <v>1985</v>
          </cell>
          <cell r="C784" t="str">
            <v>Beroun</v>
          </cell>
          <cell r="D784" t="str">
            <v>CZ/C1</v>
          </cell>
          <cell r="E784" t="str">
            <v>F</v>
          </cell>
          <cell r="F784" t="str">
            <v/>
          </cell>
        </row>
        <row r="785">
          <cell r="A785" t="str">
            <v>Petra Diepoldova</v>
          </cell>
          <cell r="B785">
            <v>1978</v>
          </cell>
          <cell r="C785" t="str">
            <v>Vysoké Mýto</v>
          </cell>
          <cell r="D785" t="str">
            <v>CZ/C2</v>
          </cell>
          <cell r="E785" t="str">
            <v>F</v>
          </cell>
          <cell r="F785" t="str">
            <v/>
          </cell>
        </row>
        <row r="786">
          <cell r="A786" t="str">
            <v>Petra Piskata</v>
          </cell>
          <cell r="B786">
            <v>1989</v>
          </cell>
          <cell r="C786" t="str">
            <v>Luhačovice</v>
          </cell>
          <cell r="D786" t="str">
            <v>CZ/M</v>
          </cell>
          <cell r="E786" t="str">
            <v>F</v>
          </cell>
          <cell r="F786" t="str">
            <v/>
          </cell>
        </row>
        <row r="787">
          <cell r="A787" t="str">
            <v>Petra Pinkova</v>
          </cell>
          <cell r="B787">
            <v>1988</v>
          </cell>
          <cell r="C787" t="str">
            <v>Letkov</v>
          </cell>
          <cell r="D787" t="str">
            <v>CZ/C1</v>
          </cell>
          <cell r="E787" t="str">
            <v>F</v>
          </cell>
          <cell r="F787" t="str">
            <v/>
          </cell>
        </row>
        <row r="788">
          <cell r="A788" t="str">
            <v>Petra Retamozova</v>
          </cell>
          <cell r="B788">
            <v>1990</v>
          </cell>
          <cell r="C788" t="str">
            <v>Kralupy</v>
          </cell>
          <cell r="D788" t="str">
            <v>CZ/C1</v>
          </cell>
          <cell r="E788" t="str">
            <v>F</v>
          </cell>
          <cell r="F788" t="str">
            <v/>
          </cell>
        </row>
        <row r="789">
          <cell r="A789" t="str">
            <v>Premek Popovsky</v>
          </cell>
          <cell r="B789">
            <v>1966</v>
          </cell>
          <cell r="C789" t="str">
            <v>Kyjov</v>
          </cell>
          <cell r="D789" t="str">
            <v>CZ/M</v>
          </cell>
          <cell r="E789" t="str">
            <v>M</v>
          </cell>
          <cell r="F789" t="str">
            <v/>
          </cell>
        </row>
        <row r="790">
          <cell r="A790" t="str">
            <v>Premysl Chvoj</v>
          </cell>
          <cell r="B790">
            <v>2003</v>
          </cell>
          <cell r="C790" t="str">
            <v>Zbraslavice</v>
          </cell>
          <cell r="D790" t="str">
            <v>CZ/C1</v>
          </cell>
          <cell r="E790" t="str">
            <v>M</v>
          </cell>
          <cell r="F790" t="str">
            <v>Junior v roce 2024</v>
          </cell>
        </row>
        <row r="791">
          <cell r="A791" t="str">
            <v>Premysl Muzik</v>
          </cell>
          <cell r="B791">
            <v>1990</v>
          </cell>
          <cell r="C791" t="str">
            <v>Hosín</v>
          </cell>
          <cell r="D791" t="str">
            <v>CZ/C1</v>
          </cell>
          <cell r="E791" t="str">
            <v>M</v>
          </cell>
          <cell r="F791" t="str">
            <v/>
          </cell>
        </row>
        <row r="792">
          <cell r="A792" t="str">
            <v>Radek Bares</v>
          </cell>
          <cell r="B792">
            <v>1963</v>
          </cell>
          <cell r="C792" t="str">
            <v>Jičín</v>
          </cell>
          <cell r="D792" t="str">
            <v>CZ/C2</v>
          </cell>
          <cell r="E792" t="str">
            <v>M</v>
          </cell>
          <cell r="F792" t="str">
            <v/>
          </cell>
        </row>
        <row r="793">
          <cell r="A793" t="str">
            <v>Radek Bartos</v>
          </cell>
          <cell r="B793">
            <v>1971</v>
          </cell>
          <cell r="C793" t="str">
            <v>Kolín</v>
          </cell>
          <cell r="D793" t="str">
            <v>CZ/C1</v>
          </cell>
          <cell r="E793" t="str">
            <v>M</v>
          </cell>
          <cell r="F793" t="str">
            <v/>
          </cell>
        </row>
        <row r="794">
          <cell r="A794" t="str">
            <v>Radek Gadas</v>
          </cell>
          <cell r="B794">
            <v>1998</v>
          </cell>
          <cell r="C794" t="str">
            <v>Hodkovice</v>
          </cell>
          <cell r="D794" t="str">
            <v>CZ/C2</v>
          </cell>
          <cell r="E794" t="str">
            <v>M</v>
          </cell>
          <cell r="F794" t="str">
            <v/>
          </cell>
        </row>
        <row r="795">
          <cell r="A795" t="str">
            <v>Radek Hamrla</v>
          </cell>
          <cell r="B795">
            <v>1973</v>
          </cell>
          <cell r="C795" t="str">
            <v>Vyškov</v>
          </cell>
          <cell r="D795" t="str">
            <v>CZ/M</v>
          </cell>
          <cell r="E795" t="str">
            <v>M</v>
          </cell>
          <cell r="F795" t="str">
            <v/>
          </cell>
        </row>
        <row r="796">
          <cell r="A796" t="str">
            <v>Radek Hybl</v>
          </cell>
          <cell r="B796">
            <v>1980</v>
          </cell>
          <cell r="C796" t="str">
            <v>Šumperk</v>
          </cell>
          <cell r="D796" t="str">
            <v>CZ/M</v>
          </cell>
          <cell r="E796" t="str">
            <v>M</v>
          </cell>
          <cell r="F796" t="str">
            <v/>
          </cell>
        </row>
        <row r="797">
          <cell r="A797" t="str">
            <v>Radek Chmela</v>
          </cell>
          <cell r="B797">
            <v>1984</v>
          </cell>
          <cell r="C797" t="str">
            <v>Luhačovice</v>
          </cell>
          <cell r="D797" t="str">
            <v>CZ/M</v>
          </cell>
          <cell r="E797" t="str">
            <v>M</v>
          </cell>
          <cell r="F797" t="str">
            <v/>
          </cell>
        </row>
        <row r="798">
          <cell r="A798" t="str">
            <v>Radek Jaksa</v>
          </cell>
          <cell r="B798">
            <v>1979</v>
          </cell>
          <cell r="C798" t="str">
            <v>Prostějov</v>
          </cell>
          <cell r="D798" t="str">
            <v>CZ/M</v>
          </cell>
          <cell r="E798" t="str">
            <v>M</v>
          </cell>
          <cell r="F798" t="str">
            <v/>
          </cell>
        </row>
        <row r="799">
          <cell r="A799" t="str">
            <v>Radek Krejcirik</v>
          </cell>
          <cell r="B799">
            <v>1991</v>
          </cell>
          <cell r="C799" t="str">
            <v>Hranice</v>
          </cell>
          <cell r="D799" t="str">
            <v>CZ/M</v>
          </cell>
          <cell r="E799" t="str">
            <v>M</v>
          </cell>
          <cell r="F799" t="str">
            <v/>
          </cell>
        </row>
        <row r="800">
          <cell r="A800" t="str">
            <v>Radek Kucirek</v>
          </cell>
          <cell r="B800">
            <v>1973</v>
          </cell>
          <cell r="C800" t="str">
            <v>Havlíčkův Brod</v>
          </cell>
          <cell r="D800" t="str">
            <v>CZ/C2</v>
          </cell>
          <cell r="E800" t="str">
            <v>M</v>
          </cell>
          <cell r="F800" t="str">
            <v/>
          </cell>
        </row>
        <row r="801">
          <cell r="A801" t="str">
            <v>Radek Laga</v>
          </cell>
          <cell r="B801">
            <v>1997</v>
          </cell>
          <cell r="C801" t="str">
            <v>Kunovice</v>
          </cell>
          <cell r="D801" t="str">
            <v>CZ/M</v>
          </cell>
          <cell r="E801" t="str">
            <v>M</v>
          </cell>
          <cell r="F801" t="str">
            <v/>
          </cell>
        </row>
        <row r="802">
          <cell r="A802" t="str">
            <v>Radek Munzar</v>
          </cell>
          <cell r="B802">
            <v>1976</v>
          </cell>
          <cell r="C802" t="str">
            <v>Jaroměř</v>
          </cell>
          <cell r="D802" t="str">
            <v>CZ/C2</v>
          </cell>
          <cell r="E802" t="str">
            <v>M</v>
          </cell>
          <cell r="F802" t="str">
            <v/>
          </cell>
        </row>
        <row r="803">
          <cell r="A803" t="str">
            <v>Radek Tobolka</v>
          </cell>
          <cell r="B803">
            <v>1977</v>
          </cell>
          <cell r="C803" t="str">
            <v>Jičín</v>
          </cell>
          <cell r="D803" t="str">
            <v>CZ/C2</v>
          </cell>
          <cell r="E803" t="str">
            <v>M</v>
          </cell>
          <cell r="F803" t="str">
            <v/>
          </cell>
        </row>
        <row r="804">
          <cell r="A804" t="str">
            <v>Radek Trunec</v>
          </cell>
          <cell r="B804">
            <v>1989</v>
          </cell>
          <cell r="C804" t="str">
            <v>Letkov</v>
          </cell>
          <cell r="D804" t="str">
            <v>CZ/C1</v>
          </cell>
          <cell r="E804" t="str">
            <v>M</v>
          </cell>
          <cell r="F804" t="str">
            <v/>
          </cell>
        </row>
        <row r="805">
          <cell r="A805" t="str">
            <v>Radek Vlcek</v>
          </cell>
          <cell r="B805">
            <v>1982</v>
          </cell>
          <cell r="C805" t="str">
            <v>Šumperk</v>
          </cell>
          <cell r="D805" t="str">
            <v>CZ/M</v>
          </cell>
          <cell r="E805" t="str">
            <v>M</v>
          </cell>
          <cell r="F805" t="str">
            <v/>
          </cell>
        </row>
        <row r="806">
          <cell r="A806" t="str">
            <v>Radek Zima 78</v>
          </cell>
          <cell r="B806">
            <v>1978</v>
          </cell>
          <cell r="C806" t="str">
            <v>Hodkovice</v>
          </cell>
          <cell r="D806" t="str">
            <v>CZ/C2</v>
          </cell>
          <cell r="E806" t="str">
            <v>M</v>
          </cell>
          <cell r="F806" t="str">
            <v/>
          </cell>
        </row>
        <row r="807">
          <cell r="A807" t="str">
            <v>Radek Zima 75</v>
          </cell>
          <cell r="B807">
            <v>1975</v>
          </cell>
          <cell r="C807" t="str">
            <v>Břeclav</v>
          </cell>
          <cell r="D807" t="str">
            <v>CZ/M</v>
          </cell>
          <cell r="E807" t="str">
            <v>M</v>
          </cell>
          <cell r="F807" t="str">
            <v/>
          </cell>
        </row>
        <row r="808">
          <cell r="A808" t="str">
            <v>Radim Bradac</v>
          </cell>
          <cell r="B808">
            <v>1995</v>
          </cell>
          <cell r="C808" t="str">
            <v>Letňany</v>
          </cell>
          <cell r="D808" t="str">
            <v>CZ/C1</v>
          </cell>
          <cell r="E808" t="str">
            <v>M</v>
          </cell>
          <cell r="F808" t="str">
            <v/>
          </cell>
        </row>
        <row r="809">
          <cell r="A809" t="str">
            <v>Radim Hahn</v>
          </cell>
          <cell r="B809">
            <v>1972</v>
          </cell>
          <cell r="C809" t="str">
            <v>Zábřeh</v>
          </cell>
          <cell r="D809" t="str">
            <v>CZ/M</v>
          </cell>
          <cell r="E809" t="str">
            <v>M</v>
          </cell>
          <cell r="F809" t="str">
            <v/>
          </cell>
        </row>
        <row r="810">
          <cell r="A810" t="str">
            <v>Radim Hauptmann</v>
          </cell>
          <cell r="B810">
            <v>1963</v>
          </cell>
          <cell r="C810" t="str">
            <v>Jičín</v>
          </cell>
          <cell r="D810" t="str">
            <v>CZ/C2</v>
          </cell>
          <cell r="E810" t="str">
            <v>M</v>
          </cell>
          <cell r="F810" t="str">
            <v/>
          </cell>
        </row>
        <row r="811">
          <cell r="A811" t="str">
            <v>Radim Jordan</v>
          </cell>
          <cell r="B811">
            <v>1976</v>
          </cell>
          <cell r="C811" t="str">
            <v>Žamberk</v>
          </cell>
          <cell r="D811" t="str">
            <v>CZ/C2</v>
          </cell>
          <cell r="E811" t="str">
            <v>M</v>
          </cell>
          <cell r="F811" t="str">
            <v/>
          </cell>
        </row>
        <row r="812">
          <cell r="A812" t="str">
            <v>Radim Krofta</v>
          </cell>
          <cell r="B812">
            <v>1984</v>
          </cell>
          <cell r="C812" t="str">
            <v>Rakovník</v>
          </cell>
          <cell r="D812" t="str">
            <v>CZ/C1</v>
          </cell>
          <cell r="E812" t="str">
            <v>M</v>
          </cell>
          <cell r="F812" t="str">
            <v/>
          </cell>
        </row>
        <row r="813">
          <cell r="A813" t="str">
            <v>Radim Malatek</v>
          </cell>
          <cell r="B813">
            <v>1978</v>
          </cell>
          <cell r="C813" t="str">
            <v>Beroun</v>
          </cell>
          <cell r="D813" t="str">
            <v>CZ/C1</v>
          </cell>
          <cell r="E813" t="str">
            <v>M</v>
          </cell>
          <cell r="F813" t="str">
            <v/>
          </cell>
        </row>
        <row r="814">
          <cell r="A814" t="str">
            <v>Radim Sobek</v>
          </cell>
          <cell r="B814">
            <v>1977</v>
          </cell>
          <cell r="C814" t="str">
            <v>Hranice</v>
          </cell>
          <cell r="D814" t="str">
            <v>CZ/M</v>
          </cell>
          <cell r="E814" t="str">
            <v>M</v>
          </cell>
          <cell r="F814" t="str">
            <v/>
          </cell>
        </row>
        <row r="815">
          <cell r="A815" t="str">
            <v>Radim Tomala</v>
          </cell>
          <cell r="B815">
            <v>1972</v>
          </cell>
          <cell r="C815" t="str">
            <v>Prostějov</v>
          </cell>
          <cell r="D815" t="str">
            <v>CZ/M</v>
          </cell>
          <cell r="E815" t="str">
            <v>M</v>
          </cell>
          <cell r="F815" t="str">
            <v/>
          </cell>
        </row>
        <row r="816">
          <cell r="A816" t="str">
            <v>Radim Vadasz</v>
          </cell>
          <cell r="B816">
            <v>1989</v>
          </cell>
          <cell r="C816" t="str">
            <v>Soběslav</v>
          </cell>
          <cell r="D816" t="str">
            <v>CZ/C1</v>
          </cell>
          <cell r="E816" t="str">
            <v>M</v>
          </cell>
          <cell r="F816" t="str">
            <v/>
          </cell>
        </row>
        <row r="817">
          <cell r="A817" t="str">
            <v>Radim Zielinski</v>
          </cell>
          <cell r="B817">
            <v>1969</v>
          </cell>
          <cell r="C817" t="str">
            <v>Frýdlant</v>
          </cell>
          <cell r="D817" t="str">
            <v>CZ/M</v>
          </cell>
          <cell r="E817" t="str">
            <v>M</v>
          </cell>
          <cell r="F817" t="str">
            <v/>
          </cell>
        </row>
        <row r="818">
          <cell r="A818" t="str">
            <v>Radmila Horacek Filakovska</v>
          </cell>
          <cell r="B818">
            <v>1963</v>
          </cell>
          <cell r="C818" t="str">
            <v>Dvůr Králové</v>
          </cell>
          <cell r="D818" t="str">
            <v>CZ/C2</v>
          </cell>
          <cell r="E818" t="str">
            <v>F</v>
          </cell>
          <cell r="F818" t="str">
            <v/>
          </cell>
        </row>
        <row r="819">
          <cell r="A819" t="str">
            <v>Radoslav Pur</v>
          </cell>
          <cell r="B819">
            <v>1973</v>
          </cell>
          <cell r="C819" t="str">
            <v>Hosín</v>
          </cell>
          <cell r="D819" t="str">
            <v>CZ/C1</v>
          </cell>
          <cell r="E819" t="str">
            <v>M</v>
          </cell>
          <cell r="F819" t="str">
            <v/>
          </cell>
        </row>
        <row r="820">
          <cell r="A820" t="str">
            <v>Radovan Otto</v>
          </cell>
          <cell r="B820">
            <v>1968</v>
          </cell>
          <cell r="C820" t="str">
            <v>Ústí nad Labem</v>
          </cell>
          <cell r="D820" t="str">
            <v>CZ/C2</v>
          </cell>
          <cell r="E820" t="str">
            <v>M</v>
          </cell>
          <cell r="F820" t="str">
            <v/>
          </cell>
        </row>
        <row r="821">
          <cell r="A821" t="str">
            <v>Radovan Sohr</v>
          </cell>
          <cell r="B821">
            <v>1965</v>
          </cell>
          <cell r="C821" t="str">
            <v>Hranice</v>
          </cell>
          <cell r="D821" t="str">
            <v>CZ/M</v>
          </cell>
          <cell r="E821" t="str">
            <v>M</v>
          </cell>
          <cell r="F821" t="str">
            <v/>
          </cell>
        </row>
        <row r="822">
          <cell r="A822" t="str">
            <v>Rene Hudak</v>
          </cell>
          <cell r="B822">
            <v>1972</v>
          </cell>
          <cell r="C822" t="str">
            <v>Kunovice</v>
          </cell>
          <cell r="D822" t="str">
            <v>CZ/M</v>
          </cell>
          <cell r="E822" t="str">
            <v>M</v>
          </cell>
          <cell r="F822" t="str">
            <v/>
          </cell>
        </row>
        <row r="823">
          <cell r="A823" t="str">
            <v>Rene Picha</v>
          </cell>
          <cell r="B823">
            <v>1970</v>
          </cell>
          <cell r="C823" t="str">
            <v>Vlašim</v>
          </cell>
          <cell r="D823" t="str">
            <v>CZ/C1</v>
          </cell>
          <cell r="E823" t="str">
            <v>M</v>
          </cell>
          <cell r="F823" t="str">
            <v/>
          </cell>
        </row>
        <row r="824">
          <cell r="A824" t="str">
            <v>Richard Jensen</v>
          </cell>
          <cell r="B824">
            <v>1965</v>
          </cell>
          <cell r="C824" t="str">
            <v>Zbraslavice</v>
          </cell>
          <cell r="D824" t="str">
            <v>CZ/C1</v>
          </cell>
          <cell r="E824" t="str">
            <v>M</v>
          </cell>
          <cell r="F824" t="str">
            <v/>
          </cell>
        </row>
        <row r="825">
          <cell r="A825" t="str">
            <v>Richard Svarovsky</v>
          </cell>
          <cell r="B825">
            <v>1976</v>
          </cell>
          <cell r="C825" t="str">
            <v>Zábřeh</v>
          </cell>
          <cell r="D825" t="str">
            <v>CZ/M</v>
          </cell>
          <cell r="E825" t="str">
            <v>M</v>
          </cell>
          <cell r="F825" t="str">
            <v/>
          </cell>
        </row>
        <row r="826">
          <cell r="A826" t="str">
            <v>Richard Vlcek</v>
          </cell>
          <cell r="B826">
            <v>1993</v>
          </cell>
          <cell r="C826" t="str">
            <v>Kunovice</v>
          </cell>
          <cell r="D826" t="str">
            <v>CZ/M</v>
          </cell>
          <cell r="E826" t="str">
            <v>M</v>
          </cell>
          <cell r="F826" t="str">
            <v/>
          </cell>
        </row>
        <row r="827">
          <cell r="A827" t="str">
            <v>Robert Jandera</v>
          </cell>
          <cell r="B827">
            <v>1976</v>
          </cell>
          <cell r="C827" t="str">
            <v>Hodkovice</v>
          </cell>
          <cell r="D827" t="str">
            <v>CZ/C2</v>
          </cell>
          <cell r="E827" t="str">
            <v>M</v>
          </cell>
          <cell r="F827" t="str">
            <v/>
          </cell>
        </row>
        <row r="828">
          <cell r="A828" t="str">
            <v>Robert Sima</v>
          </cell>
          <cell r="B828">
            <v>1971</v>
          </cell>
          <cell r="C828" t="str">
            <v>GAC Benešov</v>
          </cell>
          <cell r="D828" t="str">
            <v>CZ/C1</v>
          </cell>
          <cell r="E828" t="str">
            <v>M</v>
          </cell>
          <cell r="F828" t="str">
            <v/>
          </cell>
        </row>
        <row r="829">
          <cell r="A829" t="str">
            <v>Robin Stichenwirth</v>
          </cell>
          <cell r="B829">
            <v>1984</v>
          </cell>
          <cell r="C829" t="str">
            <v>Letkov</v>
          </cell>
          <cell r="D829" t="str">
            <v>CZ/C1</v>
          </cell>
          <cell r="E829" t="str">
            <v>M</v>
          </cell>
          <cell r="F829" t="str">
            <v/>
          </cell>
        </row>
        <row r="830">
          <cell r="A830" t="str">
            <v>Roman Cerny</v>
          </cell>
          <cell r="B830">
            <v>1971</v>
          </cell>
          <cell r="C830" t="str">
            <v>Hranice</v>
          </cell>
          <cell r="D830" t="str">
            <v>CZ/M</v>
          </cell>
          <cell r="E830" t="str">
            <v>M</v>
          </cell>
          <cell r="F830" t="str">
            <v/>
          </cell>
        </row>
        <row r="831">
          <cell r="A831" t="str">
            <v>Roman Huszar</v>
          </cell>
          <cell r="B831">
            <v>1963</v>
          </cell>
          <cell r="C831" t="str">
            <v>Letňany</v>
          </cell>
          <cell r="D831" t="str">
            <v>CZ/C1</v>
          </cell>
          <cell r="E831" t="str">
            <v>M</v>
          </cell>
          <cell r="F831" t="str">
            <v/>
          </cell>
        </row>
        <row r="832">
          <cell r="A832" t="str">
            <v>Roman Jokl</v>
          </cell>
          <cell r="B832">
            <v>1979</v>
          </cell>
          <cell r="C832" t="str">
            <v>Letkov</v>
          </cell>
          <cell r="D832" t="str">
            <v>CZ/C1</v>
          </cell>
          <cell r="E832" t="str">
            <v>M</v>
          </cell>
          <cell r="F832" t="str">
            <v/>
          </cell>
        </row>
        <row r="833">
          <cell r="A833" t="str">
            <v>Roman Konarik</v>
          </cell>
          <cell r="B833">
            <v>1976</v>
          </cell>
          <cell r="C833" t="str">
            <v>Luhačovice</v>
          </cell>
          <cell r="D833" t="str">
            <v>CZ/M</v>
          </cell>
          <cell r="E833" t="str">
            <v>M</v>
          </cell>
          <cell r="F833" t="str">
            <v/>
          </cell>
        </row>
        <row r="834">
          <cell r="A834" t="str">
            <v>Roman Lanzendorf</v>
          </cell>
          <cell r="B834">
            <v>1964</v>
          </cell>
          <cell r="C834" t="str">
            <v>Letkov</v>
          </cell>
          <cell r="D834" t="str">
            <v>CZ/C1</v>
          </cell>
          <cell r="E834" t="str">
            <v>M</v>
          </cell>
          <cell r="F834" t="str">
            <v/>
          </cell>
        </row>
        <row r="835">
          <cell r="A835" t="str">
            <v>Roman Lengal</v>
          </cell>
          <cell r="B835">
            <v>1987</v>
          </cell>
          <cell r="C835" t="str">
            <v>Břeclav</v>
          </cell>
          <cell r="D835" t="str">
            <v>CZ/M</v>
          </cell>
          <cell r="E835" t="str">
            <v>M</v>
          </cell>
          <cell r="F835" t="str">
            <v/>
          </cell>
        </row>
        <row r="836">
          <cell r="A836" t="str">
            <v>Roman Lukes</v>
          </cell>
          <cell r="B836">
            <v>1979</v>
          </cell>
          <cell r="C836" t="str">
            <v>Přibyslav</v>
          </cell>
          <cell r="D836" t="str">
            <v>CZ/C2</v>
          </cell>
          <cell r="E836" t="str">
            <v>M</v>
          </cell>
          <cell r="F836" t="str">
            <v/>
          </cell>
        </row>
        <row r="837">
          <cell r="A837" t="str">
            <v>Roman Michalek</v>
          </cell>
          <cell r="B837">
            <v>1974</v>
          </cell>
          <cell r="C837" t="str">
            <v>Toužim</v>
          </cell>
          <cell r="D837" t="str">
            <v>CZ/C1</v>
          </cell>
          <cell r="E837" t="str">
            <v>M</v>
          </cell>
          <cell r="F837" t="str">
            <v/>
          </cell>
        </row>
        <row r="838">
          <cell r="A838" t="str">
            <v>Roman Mracek</v>
          </cell>
          <cell r="B838">
            <v>1980</v>
          </cell>
          <cell r="C838" t="str">
            <v>Letkov</v>
          </cell>
          <cell r="D838" t="str">
            <v>CZ/C1</v>
          </cell>
          <cell r="E838" t="str">
            <v>M</v>
          </cell>
          <cell r="F838" t="str">
            <v/>
          </cell>
        </row>
        <row r="839">
          <cell r="A839" t="str">
            <v>Roman Schotli</v>
          </cell>
          <cell r="B839">
            <v>1970</v>
          </cell>
          <cell r="C839" t="str">
            <v>Hranice</v>
          </cell>
          <cell r="D839" t="str">
            <v>CZ/M</v>
          </cell>
          <cell r="E839" t="str">
            <v>M</v>
          </cell>
          <cell r="F839" t="str">
            <v/>
          </cell>
        </row>
        <row r="840">
          <cell r="A840" t="str">
            <v>Roman Stoklasa</v>
          </cell>
          <cell r="B840">
            <v>1984</v>
          </cell>
          <cell r="C840" t="str">
            <v>Medlánky</v>
          </cell>
          <cell r="D840" t="str">
            <v>CZ/M</v>
          </cell>
          <cell r="E840" t="str">
            <v>M</v>
          </cell>
          <cell r="F840" t="str">
            <v/>
          </cell>
        </row>
        <row r="841">
          <cell r="A841" t="str">
            <v>Rostislav Broz</v>
          </cell>
          <cell r="B841">
            <v>1968</v>
          </cell>
          <cell r="C841" t="str">
            <v>Vrchlabí</v>
          </cell>
          <cell r="D841" t="str">
            <v>CZ/C2</v>
          </cell>
          <cell r="E841" t="str">
            <v>M</v>
          </cell>
          <cell r="F841" t="str">
            <v/>
          </cell>
        </row>
        <row r="842">
          <cell r="A842" t="str">
            <v>Rostislav Fric</v>
          </cell>
          <cell r="B842">
            <v>1973</v>
          </cell>
          <cell r="C842" t="str">
            <v>Raná</v>
          </cell>
          <cell r="D842" t="str">
            <v>CZ/C2</v>
          </cell>
          <cell r="E842" t="str">
            <v>M</v>
          </cell>
          <cell r="F842" t="str">
            <v/>
          </cell>
        </row>
        <row r="843">
          <cell r="A843" t="str">
            <v>Rostislav Konderla</v>
          </cell>
          <cell r="B843">
            <v>1972</v>
          </cell>
          <cell r="C843" t="str">
            <v>Rakovník</v>
          </cell>
          <cell r="D843" t="str">
            <v>CZ/C1</v>
          </cell>
          <cell r="E843" t="str">
            <v>M</v>
          </cell>
          <cell r="F843" t="str">
            <v/>
          </cell>
        </row>
        <row r="844">
          <cell r="A844" t="str">
            <v>Rostislav Matl</v>
          </cell>
          <cell r="B844">
            <v>1972</v>
          </cell>
          <cell r="C844" t="str">
            <v>Vyškov</v>
          </cell>
          <cell r="D844" t="str">
            <v>CZ/M</v>
          </cell>
          <cell r="E844" t="str">
            <v>M</v>
          </cell>
          <cell r="F844" t="str">
            <v/>
          </cell>
        </row>
        <row r="845">
          <cell r="A845" t="str">
            <v>Rostislav Stryk</v>
          </cell>
          <cell r="B845">
            <v>1972</v>
          </cell>
          <cell r="C845" t="str">
            <v>Frýdlant</v>
          </cell>
          <cell r="D845" t="str">
            <v>CZ/M</v>
          </cell>
          <cell r="E845" t="str">
            <v>M</v>
          </cell>
          <cell r="F845" t="str">
            <v/>
          </cell>
        </row>
        <row r="846">
          <cell r="A846" t="str">
            <v>Rostislav Subert</v>
          </cell>
          <cell r="B846">
            <v>1982</v>
          </cell>
          <cell r="C846" t="str">
            <v>Šumperk</v>
          </cell>
          <cell r="D846" t="str">
            <v>CZ/M</v>
          </cell>
          <cell r="E846" t="str">
            <v>M</v>
          </cell>
          <cell r="F846" t="str">
            <v/>
          </cell>
        </row>
        <row r="847">
          <cell r="A847" t="str">
            <v>Rudolf Ferbar</v>
          </cell>
          <cell r="B847">
            <v>1969</v>
          </cell>
          <cell r="C847" t="str">
            <v>Moravská Třebová</v>
          </cell>
          <cell r="D847" t="str">
            <v>CZ/M</v>
          </cell>
          <cell r="E847" t="str">
            <v>M</v>
          </cell>
          <cell r="F847" t="str">
            <v/>
          </cell>
        </row>
        <row r="848">
          <cell r="A848" t="str">
            <v>Rudolf Jung</v>
          </cell>
          <cell r="B848">
            <v>1954</v>
          </cell>
          <cell r="C848" t="str">
            <v>Zbraslavice</v>
          </cell>
          <cell r="D848" t="str">
            <v>CZ/C1</v>
          </cell>
          <cell r="E848" t="str">
            <v>M</v>
          </cell>
          <cell r="F848" t="str">
            <v/>
          </cell>
        </row>
        <row r="849">
          <cell r="A849" t="str">
            <v>Sabina Vitova</v>
          </cell>
          <cell r="B849">
            <v>1998</v>
          </cell>
          <cell r="C849" t="str">
            <v>Kroměříž</v>
          </cell>
          <cell r="D849" t="str">
            <v>CZ/M</v>
          </cell>
          <cell r="E849" t="str">
            <v>F</v>
          </cell>
          <cell r="F849" t="str">
            <v/>
          </cell>
        </row>
        <row r="850">
          <cell r="A850" t="str">
            <v>Slavomir Piskaty 58</v>
          </cell>
          <cell r="B850">
            <v>1958</v>
          </cell>
          <cell r="C850" t="str">
            <v>Kunovice</v>
          </cell>
          <cell r="D850" t="str">
            <v>CZ/M</v>
          </cell>
          <cell r="E850" t="str">
            <v>M</v>
          </cell>
          <cell r="F850" t="str">
            <v/>
          </cell>
        </row>
        <row r="851">
          <cell r="A851" t="str">
            <v>Slavomir Piskaty 84</v>
          </cell>
          <cell r="B851">
            <v>1984</v>
          </cell>
          <cell r="C851" t="str">
            <v>Kunovice</v>
          </cell>
          <cell r="D851" t="str">
            <v>CZ/M</v>
          </cell>
          <cell r="E851" t="str">
            <v>M</v>
          </cell>
          <cell r="F851" t="str">
            <v/>
          </cell>
        </row>
        <row r="852">
          <cell r="A852" t="str">
            <v>Slavomir Tanglmajer</v>
          </cell>
          <cell r="B852">
            <v>1966</v>
          </cell>
          <cell r="C852" t="str">
            <v>Chomutov</v>
          </cell>
          <cell r="D852" t="str">
            <v>CZ/C2</v>
          </cell>
          <cell r="E852" t="str">
            <v>M</v>
          </cell>
          <cell r="F852" t="str">
            <v/>
          </cell>
        </row>
        <row r="853">
          <cell r="A853" t="str">
            <v>Slavomir Valecko</v>
          </cell>
          <cell r="B853">
            <v>1960</v>
          </cell>
          <cell r="C853" t="str">
            <v>Hranice</v>
          </cell>
          <cell r="D853" t="str">
            <v>CZ/M</v>
          </cell>
          <cell r="E853" t="str">
            <v>M</v>
          </cell>
          <cell r="F853" t="str">
            <v/>
          </cell>
        </row>
        <row r="854">
          <cell r="A854" t="str">
            <v>Sona Fortova</v>
          </cell>
          <cell r="B854">
            <v>1980</v>
          </cell>
          <cell r="C854" t="str">
            <v>GAC Benešov</v>
          </cell>
          <cell r="D854" t="str">
            <v>CZ/C1</v>
          </cell>
          <cell r="E854" t="str">
            <v>F</v>
          </cell>
          <cell r="F854" t="str">
            <v/>
          </cell>
        </row>
        <row r="855">
          <cell r="A855" t="str">
            <v>Stanislav Doskocil</v>
          </cell>
          <cell r="B855">
            <v>1978</v>
          </cell>
          <cell r="C855" t="str">
            <v>Medlánky</v>
          </cell>
          <cell r="D855" t="str">
            <v>CZ/M</v>
          </cell>
          <cell r="E855" t="str">
            <v>M</v>
          </cell>
          <cell r="F855" t="str">
            <v/>
          </cell>
        </row>
        <row r="856">
          <cell r="A856" t="str">
            <v>Stanislav Hanus</v>
          </cell>
          <cell r="B856">
            <v>1970</v>
          </cell>
          <cell r="C856" t="str">
            <v>Vrchlabí</v>
          </cell>
          <cell r="D856" t="str">
            <v>CZ/C2</v>
          </cell>
          <cell r="E856" t="str">
            <v>M</v>
          </cell>
          <cell r="F856" t="str">
            <v/>
          </cell>
        </row>
        <row r="857">
          <cell r="A857" t="str">
            <v>Stanislav Honzatko</v>
          </cell>
          <cell r="B857">
            <v>1952</v>
          </cell>
          <cell r="C857" t="str">
            <v>Slaný</v>
          </cell>
          <cell r="D857" t="str">
            <v>CZ/C1</v>
          </cell>
          <cell r="E857" t="str">
            <v>M</v>
          </cell>
          <cell r="F857" t="str">
            <v/>
          </cell>
        </row>
        <row r="858">
          <cell r="A858" t="str">
            <v>Stanislav John</v>
          </cell>
          <cell r="B858">
            <v>1974</v>
          </cell>
          <cell r="C858" t="str">
            <v>Hosín</v>
          </cell>
          <cell r="D858" t="str">
            <v>CZ/C1</v>
          </cell>
          <cell r="E858" t="str">
            <v>M</v>
          </cell>
          <cell r="F858" t="str">
            <v/>
          </cell>
        </row>
        <row r="859">
          <cell r="A859" t="str">
            <v>Stanislav Kubicek</v>
          </cell>
          <cell r="B859">
            <v>1960</v>
          </cell>
          <cell r="C859" t="str">
            <v>Medlánky</v>
          </cell>
          <cell r="D859" t="str">
            <v>CZ/M</v>
          </cell>
          <cell r="E859" t="str">
            <v>M</v>
          </cell>
          <cell r="F859" t="str">
            <v/>
          </cell>
        </row>
        <row r="860">
          <cell r="A860" t="str">
            <v>Stanislav Poslusny</v>
          </cell>
          <cell r="B860">
            <v>1965</v>
          </cell>
          <cell r="C860" t="str">
            <v>GAC Benešov</v>
          </cell>
          <cell r="D860" t="str">
            <v>CZ/C1</v>
          </cell>
          <cell r="E860" t="str">
            <v>M</v>
          </cell>
          <cell r="F860" t="str">
            <v/>
          </cell>
        </row>
        <row r="861">
          <cell r="A861" t="str">
            <v>Stanislav Vrabec</v>
          </cell>
          <cell r="B861">
            <v>1975</v>
          </cell>
          <cell r="C861" t="str">
            <v>Česká Lípa</v>
          </cell>
          <cell r="D861" t="str">
            <v>CZ/C2</v>
          </cell>
          <cell r="E861" t="str">
            <v>M</v>
          </cell>
          <cell r="F861" t="str">
            <v/>
          </cell>
        </row>
        <row r="862">
          <cell r="A862" t="str">
            <v>Stanislava Zemlickova</v>
          </cell>
          <cell r="B862">
            <v>2000</v>
          </cell>
          <cell r="C862" t="str">
            <v>Vyškov</v>
          </cell>
          <cell r="D862" t="str">
            <v>CZ/M</v>
          </cell>
          <cell r="E862" t="str">
            <v>F</v>
          </cell>
          <cell r="F862" t="str">
            <v>Junior v roce 2024</v>
          </cell>
        </row>
        <row r="863">
          <cell r="A863" t="str">
            <v>Svatopluk Tomsu</v>
          </cell>
          <cell r="B863">
            <v>1973</v>
          </cell>
          <cell r="C863" t="str">
            <v>Jaroměř</v>
          </cell>
          <cell r="D863" t="str">
            <v>CZ/C2</v>
          </cell>
          <cell r="E863" t="str">
            <v>M</v>
          </cell>
          <cell r="F863" t="str">
            <v/>
          </cell>
        </row>
        <row r="864">
          <cell r="A864" t="str">
            <v>Sarka Lochova</v>
          </cell>
          <cell r="B864">
            <v>1966</v>
          </cell>
          <cell r="C864" t="str">
            <v>Šumperk</v>
          </cell>
          <cell r="D864" t="str">
            <v>CZ/M</v>
          </cell>
          <cell r="E864" t="str">
            <v>F</v>
          </cell>
          <cell r="F864" t="str">
            <v/>
          </cell>
        </row>
        <row r="865">
          <cell r="A865" t="str">
            <v>Stefan Uher</v>
          </cell>
          <cell r="B865">
            <v>1968</v>
          </cell>
          <cell r="C865" t="str">
            <v>Turnov</v>
          </cell>
          <cell r="D865" t="str">
            <v>CZ/C2</v>
          </cell>
          <cell r="E865" t="str">
            <v>M</v>
          </cell>
          <cell r="F865" t="str">
            <v/>
          </cell>
        </row>
        <row r="866">
          <cell r="A866" t="str">
            <v>Stepan Bartos</v>
          </cell>
          <cell r="B866">
            <v>2004</v>
          </cell>
          <cell r="C866" t="str">
            <v>Kolín</v>
          </cell>
          <cell r="D866" t="str">
            <v>CZ/C1</v>
          </cell>
          <cell r="E866" t="str">
            <v>M</v>
          </cell>
          <cell r="F866" t="str">
            <v>Junior v roce 2024</v>
          </cell>
        </row>
        <row r="867">
          <cell r="A867" t="str">
            <v>Stepan Capek</v>
          </cell>
          <cell r="B867">
            <v>1960</v>
          </cell>
          <cell r="C867" t="str">
            <v>Jičín</v>
          </cell>
          <cell r="D867" t="str">
            <v>CZ/C2</v>
          </cell>
          <cell r="E867" t="str">
            <v>M</v>
          </cell>
          <cell r="F867" t="str">
            <v/>
          </cell>
        </row>
        <row r="868">
          <cell r="A868" t="str">
            <v>Stepan Filakovsky</v>
          </cell>
          <cell r="B868">
            <v>2005</v>
          </cell>
          <cell r="C868" t="str">
            <v>Medlánky</v>
          </cell>
          <cell r="D868" t="str">
            <v>CZ/M</v>
          </cell>
          <cell r="E868" t="str">
            <v>M</v>
          </cell>
          <cell r="F868" t="str">
            <v>Junior v roce 2024</v>
          </cell>
        </row>
        <row r="869">
          <cell r="A869" t="str">
            <v>Stepan Matous</v>
          </cell>
          <cell r="B869">
            <v>1980</v>
          </cell>
          <cell r="C869" t="str">
            <v>Dvůr Králové</v>
          </cell>
          <cell r="D869" t="str">
            <v>CZ/C2</v>
          </cell>
          <cell r="E869" t="str">
            <v>M</v>
          </cell>
          <cell r="F869" t="str">
            <v/>
          </cell>
        </row>
        <row r="870">
          <cell r="A870" t="str">
            <v>Stepan Obrovsky</v>
          </cell>
          <cell r="B870">
            <v>1990</v>
          </cell>
          <cell r="C870" t="str">
            <v>Frýdlant</v>
          </cell>
          <cell r="D870" t="str">
            <v>CZ/M</v>
          </cell>
          <cell r="E870" t="str">
            <v>M</v>
          </cell>
          <cell r="F870" t="str">
            <v/>
          </cell>
        </row>
        <row r="871">
          <cell r="A871" t="str">
            <v>Teodor Skoda</v>
          </cell>
          <cell r="B871">
            <v>1998</v>
          </cell>
          <cell r="C871" t="str">
            <v>Hronov</v>
          </cell>
          <cell r="D871" t="str">
            <v>CZ/C2</v>
          </cell>
          <cell r="E871" t="str">
            <v>M</v>
          </cell>
          <cell r="F871" t="str">
            <v/>
          </cell>
        </row>
        <row r="872">
          <cell r="A872" t="str">
            <v>Tereza Jirsakova</v>
          </cell>
          <cell r="B872">
            <v>1997</v>
          </cell>
          <cell r="C872" t="str">
            <v>Hronov</v>
          </cell>
          <cell r="D872" t="str">
            <v>CZ/C2</v>
          </cell>
          <cell r="E872" t="str">
            <v>F</v>
          </cell>
          <cell r="F872" t="str">
            <v/>
          </cell>
        </row>
        <row r="873">
          <cell r="A873" t="str">
            <v>Tereza Koubkova</v>
          </cell>
          <cell r="B873">
            <v>1999</v>
          </cell>
          <cell r="C873" t="str">
            <v>Vysoké Mýto</v>
          </cell>
          <cell r="D873" t="str">
            <v>CZ/C2</v>
          </cell>
          <cell r="E873" t="str">
            <v>F</v>
          </cell>
          <cell r="F873" t="str">
            <v>Junior v roce 2024</v>
          </cell>
        </row>
        <row r="874">
          <cell r="A874" t="str">
            <v>Tereza Krcilova Spalenkova</v>
          </cell>
          <cell r="B874">
            <v>1981</v>
          </cell>
          <cell r="C874" t="str">
            <v>Raná</v>
          </cell>
          <cell r="D874" t="str">
            <v>CZ/C2</v>
          </cell>
          <cell r="E874" t="str">
            <v>F</v>
          </cell>
          <cell r="F874" t="str">
            <v/>
          </cell>
        </row>
        <row r="875">
          <cell r="A875" t="str">
            <v>Tereza Ludvikova</v>
          </cell>
          <cell r="B875">
            <v>1997</v>
          </cell>
          <cell r="C875" t="str">
            <v>Jaroměř</v>
          </cell>
          <cell r="D875" t="str">
            <v>CZ/C2</v>
          </cell>
          <cell r="E875" t="str">
            <v>F</v>
          </cell>
          <cell r="F875" t="str">
            <v/>
          </cell>
        </row>
        <row r="876">
          <cell r="A876" t="str">
            <v>Tereza Novakova</v>
          </cell>
          <cell r="B876">
            <v>1993</v>
          </cell>
          <cell r="C876" t="str">
            <v>Chrudim</v>
          </cell>
          <cell r="D876" t="str">
            <v>CZ/C2</v>
          </cell>
          <cell r="E876" t="str">
            <v>F</v>
          </cell>
          <cell r="F876" t="str">
            <v/>
          </cell>
        </row>
        <row r="877">
          <cell r="A877" t="str">
            <v>Tibor Hezina</v>
          </cell>
          <cell r="B877">
            <v>2002</v>
          </cell>
          <cell r="C877" t="str">
            <v>Křižanov</v>
          </cell>
          <cell r="D877" t="str">
            <v>CZ/M</v>
          </cell>
          <cell r="E877" t="str">
            <v>M</v>
          </cell>
          <cell r="F877" t="str">
            <v>Junior v roce 2024</v>
          </cell>
        </row>
        <row r="878">
          <cell r="A878" t="str">
            <v>Tibor Hruza</v>
          </cell>
          <cell r="B878">
            <v>1970</v>
          </cell>
          <cell r="C878" t="str">
            <v>Letkov</v>
          </cell>
          <cell r="D878" t="str">
            <v>CZ/C1</v>
          </cell>
          <cell r="E878" t="str">
            <v>M</v>
          </cell>
          <cell r="F878" t="str">
            <v/>
          </cell>
        </row>
        <row r="879">
          <cell r="A879" t="str">
            <v>Tim Raasch</v>
          </cell>
          <cell r="B879">
            <v>2000</v>
          </cell>
          <cell r="C879" t="str">
            <v>Polička</v>
          </cell>
          <cell r="D879" t="str">
            <v>CZ/C2</v>
          </cell>
          <cell r="E879" t="str">
            <v>M</v>
          </cell>
          <cell r="F879" t="str">
            <v>Junior v roce 2024</v>
          </cell>
        </row>
        <row r="880">
          <cell r="A880" t="str">
            <v>Tomas Barton</v>
          </cell>
          <cell r="B880">
            <v>1982</v>
          </cell>
          <cell r="C880" t="str">
            <v>Hosín</v>
          </cell>
          <cell r="D880" t="str">
            <v>CZ/C1</v>
          </cell>
          <cell r="E880" t="str">
            <v>M</v>
          </cell>
          <cell r="F880" t="str">
            <v/>
          </cell>
        </row>
        <row r="881">
          <cell r="A881" t="str">
            <v>Tomas Buben</v>
          </cell>
          <cell r="B881">
            <v>1971</v>
          </cell>
          <cell r="C881" t="str">
            <v>Jaroměř</v>
          </cell>
          <cell r="D881" t="str">
            <v>CZ/C2</v>
          </cell>
          <cell r="E881" t="str">
            <v>M</v>
          </cell>
          <cell r="F881" t="str">
            <v/>
          </cell>
        </row>
        <row r="882">
          <cell r="A882" t="str">
            <v>Tomas Ditrt</v>
          </cell>
          <cell r="B882">
            <v>1969</v>
          </cell>
          <cell r="C882" t="str">
            <v>Podhořany</v>
          </cell>
          <cell r="D882" t="str">
            <v>CZ/C2</v>
          </cell>
          <cell r="E882" t="str">
            <v>M</v>
          </cell>
          <cell r="F882" t="str">
            <v/>
          </cell>
        </row>
        <row r="883">
          <cell r="A883" t="str">
            <v>Tomas Fiala 72</v>
          </cell>
          <cell r="B883">
            <v>1972</v>
          </cell>
          <cell r="C883" t="str">
            <v>Křižanov</v>
          </cell>
          <cell r="D883" t="str">
            <v>CZ/M</v>
          </cell>
          <cell r="E883" t="str">
            <v>M</v>
          </cell>
          <cell r="F883" t="str">
            <v/>
          </cell>
        </row>
        <row r="884">
          <cell r="A884" t="str">
            <v>Tomas Fiala 77</v>
          </cell>
          <cell r="B884">
            <v>1977</v>
          </cell>
          <cell r="C884" t="str">
            <v>Luhačovice</v>
          </cell>
          <cell r="D884" t="str">
            <v>CZ/M</v>
          </cell>
          <cell r="E884" t="str">
            <v>M</v>
          </cell>
          <cell r="F884" t="str">
            <v/>
          </cell>
        </row>
        <row r="885">
          <cell r="A885" t="str">
            <v>Tomas Fila</v>
          </cell>
          <cell r="B885">
            <v>1987</v>
          </cell>
          <cell r="C885" t="str">
            <v>Beroun</v>
          </cell>
          <cell r="D885" t="str">
            <v>CZ/C1</v>
          </cell>
          <cell r="E885" t="str">
            <v>M</v>
          </cell>
          <cell r="F885" t="str">
            <v/>
          </cell>
        </row>
        <row r="886">
          <cell r="A886" t="str">
            <v>Tomas Flegl</v>
          </cell>
          <cell r="B886">
            <v>1987</v>
          </cell>
          <cell r="C886" t="str">
            <v>Hodkovice</v>
          </cell>
          <cell r="D886" t="str">
            <v>CZ/C2</v>
          </cell>
          <cell r="E886" t="str">
            <v>M</v>
          </cell>
          <cell r="F886" t="str">
            <v/>
          </cell>
        </row>
        <row r="887">
          <cell r="A887" t="str">
            <v>Tomas Frinta</v>
          </cell>
          <cell r="B887">
            <v>1970</v>
          </cell>
          <cell r="C887" t="str">
            <v>Hodkovice</v>
          </cell>
          <cell r="D887" t="str">
            <v>CZ/C2</v>
          </cell>
          <cell r="E887" t="str">
            <v>M</v>
          </cell>
          <cell r="F887" t="str">
            <v/>
          </cell>
        </row>
        <row r="888">
          <cell r="A888" t="str">
            <v>Tomas Hlavacek</v>
          </cell>
          <cell r="B888">
            <v>1984</v>
          </cell>
          <cell r="C888" t="str">
            <v>Mladá Boleslav</v>
          </cell>
          <cell r="D888" t="str">
            <v>CZ/C1</v>
          </cell>
          <cell r="E888" t="str">
            <v>M</v>
          </cell>
          <cell r="F888" t="str">
            <v/>
          </cell>
        </row>
        <row r="889">
          <cell r="A889" t="str">
            <v>Tomas Hlavenka</v>
          </cell>
          <cell r="B889">
            <v>1987</v>
          </cell>
          <cell r="C889" t="str">
            <v>Luhačovice</v>
          </cell>
          <cell r="D889" t="str">
            <v>CZ/M</v>
          </cell>
          <cell r="E889" t="str">
            <v>M</v>
          </cell>
          <cell r="F889" t="str">
            <v/>
          </cell>
        </row>
        <row r="890">
          <cell r="A890" t="str">
            <v>Tomas Holenda</v>
          </cell>
          <cell r="B890">
            <v>1956</v>
          </cell>
          <cell r="C890" t="str">
            <v>Havlíčkův Brod</v>
          </cell>
          <cell r="D890" t="str">
            <v>CZ/C2</v>
          </cell>
          <cell r="E890" t="str">
            <v>M</v>
          </cell>
          <cell r="F890" t="str">
            <v/>
          </cell>
        </row>
        <row r="891">
          <cell r="A891" t="str">
            <v>Tomas Holzapfel</v>
          </cell>
          <cell r="B891">
            <v>1975</v>
          </cell>
          <cell r="C891" t="str">
            <v>Mladá Boleslav</v>
          </cell>
          <cell r="D891" t="str">
            <v>CZ/C1</v>
          </cell>
          <cell r="E891" t="str">
            <v>M</v>
          </cell>
          <cell r="F891" t="str">
            <v/>
          </cell>
        </row>
        <row r="892">
          <cell r="A892" t="str">
            <v>Tomas Hulmak</v>
          </cell>
          <cell r="B892">
            <v>1999</v>
          </cell>
          <cell r="C892" t="str">
            <v>Hosín</v>
          </cell>
          <cell r="D892" t="str">
            <v>CZ/C1</v>
          </cell>
          <cell r="E892" t="str">
            <v>M</v>
          </cell>
          <cell r="F892" t="str">
            <v>Junior v roce 2024</v>
          </cell>
        </row>
        <row r="893">
          <cell r="A893" t="str">
            <v>Tomas Hynek</v>
          </cell>
          <cell r="B893">
            <v>2002</v>
          </cell>
          <cell r="C893" t="str">
            <v>Dvůr Králové</v>
          </cell>
          <cell r="D893" t="str">
            <v>CZ/C2</v>
          </cell>
          <cell r="E893" t="str">
            <v>M</v>
          </cell>
          <cell r="F893" t="str">
            <v>Junior v roce 2024</v>
          </cell>
        </row>
        <row r="894">
          <cell r="A894" t="str">
            <v>Tomas Charvat</v>
          </cell>
          <cell r="B894">
            <v>1981</v>
          </cell>
          <cell r="C894" t="str">
            <v>Vysoké Mýto</v>
          </cell>
          <cell r="D894" t="str">
            <v>CZ/C2</v>
          </cell>
          <cell r="E894" t="str">
            <v>M</v>
          </cell>
          <cell r="F894" t="str">
            <v/>
          </cell>
        </row>
        <row r="895">
          <cell r="A895" t="str">
            <v>Tomas Jakoubek</v>
          </cell>
          <cell r="B895">
            <v>2000</v>
          </cell>
          <cell r="C895" t="str">
            <v>Hronov</v>
          </cell>
          <cell r="D895" t="str">
            <v>CZ/C2</v>
          </cell>
          <cell r="E895" t="str">
            <v>M</v>
          </cell>
          <cell r="F895" t="str">
            <v>Junior v roce 2024</v>
          </cell>
        </row>
        <row r="896">
          <cell r="A896" t="str">
            <v>Tomas Jedlicka</v>
          </cell>
          <cell r="B896">
            <v>1959</v>
          </cell>
          <cell r="C896" t="str">
            <v>Karlštejn</v>
          </cell>
          <cell r="D896" t="str">
            <v>CZ/C1</v>
          </cell>
          <cell r="E896" t="str">
            <v>M</v>
          </cell>
          <cell r="F896" t="str">
            <v/>
          </cell>
        </row>
        <row r="897">
          <cell r="A897" t="str">
            <v>Tomas Jilek</v>
          </cell>
          <cell r="B897">
            <v>1995</v>
          </cell>
          <cell r="C897" t="str">
            <v>Raná</v>
          </cell>
          <cell r="D897" t="str">
            <v>CZ/C2</v>
          </cell>
          <cell r="E897" t="str">
            <v>M</v>
          </cell>
          <cell r="F897" t="str">
            <v/>
          </cell>
        </row>
        <row r="898">
          <cell r="A898" t="str">
            <v>Tomas Jiricny</v>
          </cell>
          <cell r="B898">
            <v>1981</v>
          </cell>
          <cell r="C898" t="str">
            <v>Hodkovice</v>
          </cell>
          <cell r="D898" t="str">
            <v>CZ/C2</v>
          </cell>
          <cell r="E898" t="str">
            <v>M</v>
          </cell>
          <cell r="F898" t="str">
            <v/>
          </cell>
        </row>
        <row r="899">
          <cell r="A899" t="str">
            <v>Tomas Jung</v>
          </cell>
          <cell r="B899">
            <v>1950</v>
          </cell>
          <cell r="C899" t="str">
            <v>Zbraslavice</v>
          </cell>
          <cell r="D899" t="str">
            <v>CZ/C1</v>
          </cell>
          <cell r="E899" t="str">
            <v>M</v>
          </cell>
          <cell r="F899" t="str">
            <v/>
          </cell>
        </row>
        <row r="900">
          <cell r="A900" t="str">
            <v>Tomas Kohout</v>
          </cell>
          <cell r="B900">
            <v>1981</v>
          </cell>
          <cell r="C900" t="str">
            <v>Slaný</v>
          </cell>
          <cell r="D900" t="str">
            <v>CZ/C1</v>
          </cell>
          <cell r="E900" t="str">
            <v>M</v>
          </cell>
          <cell r="F900" t="str">
            <v/>
          </cell>
        </row>
        <row r="901">
          <cell r="A901" t="str">
            <v>Tomas Koutnik</v>
          </cell>
          <cell r="B901">
            <v>1985</v>
          </cell>
          <cell r="C901" t="str">
            <v>Jaroměř</v>
          </cell>
          <cell r="D901" t="str">
            <v>CZ/C2</v>
          </cell>
          <cell r="E901" t="str">
            <v>M</v>
          </cell>
          <cell r="F901" t="str">
            <v/>
          </cell>
        </row>
        <row r="902">
          <cell r="A902" t="str">
            <v>Tomas Kovarik</v>
          </cell>
          <cell r="B902">
            <v>1965</v>
          </cell>
          <cell r="C902" t="str">
            <v>Zbraslavice</v>
          </cell>
          <cell r="D902" t="str">
            <v>CZ/C1</v>
          </cell>
          <cell r="E902" t="str">
            <v>M</v>
          </cell>
          <cell r="F902" t="str">
            <v/>
          </cell>
        </row>
        <row r="903">
          <cell r="A903" t="str">
            <v>Tomas Kubac</v>
          </cell>
          <cell r="B903">
            <v>1993</v>
          </cell>
          <cell r="C903" t="str">
            <v>Roudnice</v>
          </cell>
          <cell r="D903" t="str">
            <v>CZ/C2</v>
          </cell>
          <cell r="E903" t="str">
            <v>M</v>
          </cell>
          <cell r="F903" t="str">
            <v/>
          </cell>
        </row>
        <row r="904">
          <cell r="A904" t="str">
            <v>Tomas Kulhavy</v>
          </cell>
          <cell r="B904">
            <v>2001</v>
          </cell>
          <cell r="C904" t="str">
            <v>Liberec</v>
          </cell>
          <cell r="D904" t="str">
            <v>CZ/C2</v>
          </cell>
          <cell r="E904" t="str">
            <v>M</v>
          </cell>
          <cell r="F904" t="str">
            <v>Junior v roce 2024</v>
          </cell>
        </row>
        <row r="905">
          <cell r="A905" t="str">
            <v>Tomas Lisec</v>
          </cell>
          <cell r="B905">
            <v>1984</v>
          </cell>
          <cell r="C905" t="str">
            <v>Točná</v>
          </cell>
          <cell r="D905" t="str">
            <v>CZ/C1</v>
          </cell>
          <cell r="E905" t="str">
            <v>M</v>
          </cell>
          <cell r="F905" t="str">
            <v/>
          </cell>
        </row>
        <row r="906">
          <cell r="A906" t="str">
            <v>Tomas Magnusek</v>
          </cell>
          <cell r="B906">
            <v>1988</v>
          </cell>
          <cell r="C906" t="str">
            <v>Frýdlant</v>
          </cell>
          <cell r="D906" t="str">
            <v>CZ/M</v>
          </cell>
          <cell r="E906" t="str">
            <v>M</v>
          </cell>
          <cell r="F906" t="str">
            <v/>
          </cell>
        </row>
        <row r="907">
          <cell r="A907" t="str">
            <v>Tomas Malik</v>
          </cell>
          <cell r="B907">
            <v>1972</v>
          </cell>
          <cell r="C907" t="str">
            <v>Letňany</v>
          </cell>
          <cell r="D907" t="str">
            <v>CZ/C1</v>
          </cell>
          <cell r="E907" t="str">
            <v>M</v>
          </cell>
          <cell r="F907" t="str">
            <v/>
          </cell>
        </row>
        <row r="908">
          <cell r="A908" t="str">
            <v>Tomas Malinsky</v>
          </cell>
          <cell r="B908">
            <v>1988</v>
          </cell>
          <cell r="C908" t="str">
            <v>Křižanov</v>
          </cell>
          <cell r="D908" t="str">
            <v>CZ/M</v>
          </cell>
          <cell r="E908" t="str">
            <v>M</v>
          </cell>
          <cell r="F908" t="str">
            <v/>
          </cell>
        </row>
        <row r="909">
          <cell r="A909" t="str">
            <v>Tomas Manasek</v>
          </cell>
          <cell r="B909">
            <v>1980</v>
          </cell>
          <cell r="C909" t="str">
            <v>Kunovice</v>
          </cell>
          <cell r="D909" t="str">
            <v>CZ/M</v>
          </cell>
          <cell r="E909" t="str">
            <v>M</v>
          </cell>
          <cell r="F909" t="str">
            <v/>
          </cell>
        </row>
        <row r="910">
          <cell r="A910" t="str">
            <v>Tomas Mezera</v>
          </cell>
          <cell r="B910">
            <v>1973</v>
          </cell>
          <cell r="C910" t="str">
            <v>Raná</v>
          </cell>
          <cell r="D910" t="str">
            <v>CZ/C2</v>
          </cell>
          <cell r="E910" t="str">
            <v>M</v>
          </cell>
          <cell r="F910" t="str">
            <v/>
          </cell>
        </row>
        <row r="911">
          <cell r="A911" t="str">
            <v>Tomas Michna</v>
          </cell>
          <cell r="B911">
            <v>1989</v>
          </cell>
          <cell r="C911" t="str">
            <v>Šumperk</v>
          </cell>
          <cell r="D911" t="str">
            <v>CZ/M</v>
          </cell>
          <cell r="E911" t="str">
            <v>M</v>
          </cell>
          <cell r="F911" t="str">
            <v/>
          </cell>
        </row>
        <row r="912">
          <cell r="A912" t="str">
            <v>Tomas Moravec</v>
          </cell>
          <cell r="B912">
            <v>2000</v>
          </cell>
          <cell r="C912" t="str">
            <v>Žamberk</v>
          </cell>
          <cell r="D912" t="str">
            <v>CZ/C2</v>
          </cell>
          <cell r="E912" t="str">
            <v>M</v>
          </cell>
          <cell r="F912" t="str">
            <v>Junior v roce 2024</v>
          </cell>
        </row>
        <row r="913">
          <cell r="A913" t="str">
            <v>Tomas Morch</v>
          </cell>
          <cell r="B913">
            <v>1981</v>
          </cell>
          <cell r="C913" t="str">
            <v>Raná</v>
          </cell>
          <cell r="D913" t="str">
            <v>CZ/C2</v>
          </cell>
          <cell r="E913" t="str">
            <v>M</v>
          </cell>
          <cell r="F913" t="str">
            <v/>
          </cell>
        </row>
        <row r="914">
          <cell r="A914" t="str">
            <v>Tomas Novak</v>
          </cell>
          <cell r="B914">
            <v>1974</v>
          </cell>
          <cell r="C914" t="str">
            <v>Česká Lípa</v>
          </cell>
          <cell r="D914" t="str">
            <v>CZ/C2</v>
          </cell>
          <cell r="E914" t="str">
            <v>M</v>
          </cell>
          <cell r="F914" t="str">
            <v/>
          </cell>
        </row>
        <row r="915">
          <cell r="A915" t="str">
            <v>Tomas Ohera</v>
          </cell>
          <cell r="B915">
            <v>1977</v>
          </cell>
          <cell r="C915" t="str">
            <v>Letňany</v>
          </cell>
          <cell r="D915" t="str">
            <v>CZ/C1</v>
          </cell>
          <cell r="E915" t="str">
            <v>M</v>
          </cell>
          <cell r="F915" t="str">
            <v/>
          </cell>
        </row>
        <row r="916">
          <cell r="A916" t="str">
            <v>Tomas Ondrusek</v>
          </cell>
          <cell r="B916">
            <v>1994</v>
          </cell>
          <cell r="C916" t="str">
            <v>Letkov</v>
          </cell>
          <cell r="D916" t="str">
            <v>CZ/C1</v>
          </cell>
          <cell r="E916" t="str">
            <v>M</v>
          </cell>
          <cell r="F916" t="str">
            <v/>
          </cell>
        </row>
        <row r="917">
          <cell r="A917" t="str">
            <v>Tomas Ondrisek</v>
          </cell>
          <cell r="B917">
            <v>1970</v>
          </cell>
          <cell r="C917" t="str">
            <v>Kunovice</v>
          </cell>
          <cell r="D917" t="str">
            <v>CZ/M</v>
          </cell>
          <cell r="E917" t="str">
            <v>M</v>
          </cell>
          <cell r="F917" t="str">
            <v/>
          </cell>
        </row>
        <row r="918">
          <cell r="A918" t="str">
            <v>Tomas Palata</v>
          </cell>
          <cell r="B918">
            <v>1966</v>
          </cell>
          <cell r="C918" t="str">
            <v>Liberec</v>
          </cell>
          <cell r="D918" t="str">
            <v>CZ/C2</v>
          </cell>
          <cell r="E918" t="str">
            <v>M</v>
          </cell>
          <cell r="F918" t="str">
            <v/>
          </cell>
        </row>
        <row r="919">
          <cell r="A919" t="str">
            <v>Tomas Podolak</v>
          </cell>
          <cell r="B919">
            <v>1986</v>
          </cell>
          <cell r="C919" t="str">
            <v>Kralupy</v>
          </cell>
          <cell r="D919" t="str">
            <v>CZ/C1</v>
          </cell>
          <cell r="E919" t="str">
            <v>M</v>
          </cell>
          <cell r="F919" t="str">
            <v/>
          </cell>
        </row>
        <row r="920">
          <cell r="A920" t="str">
            <v>Tomas Profeld</v>
          </cell>
          <cell r="B920">
            <v>1964</v>
          </cell>
          <cell r="C920" t="str">
            <v>Jičín</v>
          </cell>
          <cell r="D920" t="str">
            <v>CZ/C2</v>
          </cell>
          <cell r="E920" t="str">
            <v>M</v>
          </cell>
          <cell r="F920" t="str">
            <v/>
          </cell>
        </row>
        <row r="921">
          <cell r="A921" t="str">
            <v>Tomas Prokop</v>
          </cell>
          <cell r="B921">
            <v>1972</v>
          </cell>
          <cell r="C921" t="str">
            <v>Šumperk</v>
          </cell>
          <cell r="D921" t="str">
            <v>CZ/M</v>
          </cell>
          <cell r="E921" t="str">
            <v>M</v>
          </cell>
          <cell r="F921" t="str">
            <v/>
          </cell>
        </row>
        <row r="922">
          <cell r="A922" t="str">
            <v>Tomas Prikryl</v>
          </cell>
          <cell r="B922">
            <v>1973</v>
          </cell>
          <cell r="C922" t="str">
            <v>Vyškov</v>
          </cell>
          <cell r="D922" t="str">
            <v>CZ/M</v>
          </cell>
          <cell r="E922" t="str">
            <v>M</v>
          </cell>
          <cell r="F922" t="str">
            <v/>
          </cell>
        </row>
        <row r="923">
          <cell r="A923" t="str">
            <v>Tomas Ptacovsky</v>
          </cell>
          <cell r="B923">
            <v>1981</v>
          </cell>
          <cell r="C923" t="str">
            <v>Letňany</v>
          </cell>
          <cell r="D923" t="str">
            <v>CZ/C1</v>
          </cell>
          <cell r="E923" t="str">
            <v>M</v>
          </cell>
          <cell r="F923" t="str">
            <v/>
          </cell>
        </row>
        <row r="924">
          <cell r="A924" t="str">
            <v>Tomas Rendla</v>
          </cell>
          <cell r="B924">
            <v>1973</v>
          </cell>
          <cell r="C924" t="str">
            <v>Zbraslavice</v>
          </cell>
          <cell r="D924" t="str">
            <v>CZ/C1</v>
          </cell>
          <cell r="E924" t="str">
            <v>M</v>
          </cell>
          <cell r="F924" t="str">
            <v/>
          </cell>
        </row>
        <row r="925">
          <cell r="A925" t="str">
            <v>Tomas Rysavy</v>
          </cell>
          <cell r="B925">
            <v>1959</v>
          </cell>
          <cell r="C925" t="str">
            <v>Medlánky</v>
          </cell>
          <cell r="D925" t="str">
            <v>CZ/M</v>
          </cell>
          <cell r="E925" t="str">
            <v>M</v>
          </cell>
          <cell r="F925" t="str">
            <v/>
          </cell>
        </row>
        <row r="926">
          <cell r="A926" t="str">
            <v>Tomas Sedlacek</v>
          </cell>
          <cell r="B926">
            <v>1972</v>
          </cell>
          <cell r="C926" t="str">
            <v>Zbraslavice</v>
          </cell>
          <cell r="D926" t="str">
            <v>CZ/C1</v>
          </cell>
          <cell r="E926" t="str">
            <v>M</v>
          </cell>
          <cell r="F926" t="str">
            <v/>
          </cell>
        </row>
        <row r="927">
          <cell r="A927" t="str">
            <v>Tomas Seifert</v>
          </cell>
          <cell r="B927">
            <v>1972</v>
          </cell>
          <cell r="C927" t="str">
            <v>Raná</v>
          </cell>
          <cell r="D927" t="str">
            <v>CZ/C2</v>
          </cell>
          <cell r="E927" t="str">
            <v>M</v>
          </cell>
          <cell r="F927" t="str">
            <v/>
          </cell>
        </row>
        <row r="928">
          <cell r="A928" t="str">
            <v>Tomas Shrbeny</v>
          </cell>
          <cell r="B928">
            <v>1968</v>
          </cell>
          <cell r="C928" t="str">
            <v>Točná</v>
          </cell>
          <cell r="D928" t="str">
            <v>CZ/C1</v>
          </cell>
          <cell r="E928" t="str">
            <v>M</v>
          </cell>
          <cell r="F928" t="str">
            <v/>
          </cell>
        </row>
        <row r="929">
          <cell r="A929" t="str">
            <v>Tomas Suchanek</v>
          </cell>
          <cell r="B929">
            <v>1964</v>
          </cell>
          <cell r="C929" t="str">
            <v>GAC Benešov</v>
          </cell>
          <cell r="D929" t="str">
            <v>CZ/C1</v>
          </cell>
          <cell r="E929" t="str">
            <v>M</v>
          </cell>
          <cell r="F929" t="str">
            <v/>
          </cell>
        </row>
        <row r="930">
          <cell r="A930" t="str">
            <v>Tomas Talanda</v>
          </cell>
          <cell r="B930">
            <v>1988</v>
          </cell>
          <cell r="C930" t="str">
            <v>Křižanov</v>
          </cell>
          <cell r="D930" t="str">
            <v>CZ/M</v>
          </cell>
          <cell r="E930" t="str">
            <v>M</v>
          </cell>
          <cell r="F930" t="str">
            <v/>
          </cell>
        </row>
        <row r="931">
          <cell r="A931" t="str">
            <v>Tomas Turek</v>
          </cell>
          <cell r="B931">
            <v>1988</v>
          </cell>
          <cell r="C931" t="str">
            <v>Zbraslavice</v>
          </cell>
          <cell r="D931" t="str">
            <v>CZ/C1</v>
          </cell>
          <cell r="E931" t="str">
            <v>M</v>
          </cell>
          <cell r="F931" t="str">
            <v/>
          </cell>
        </row>
        <row r="932">
          <cell r="A932" t="str">
            <v>Tomas Vaclavik</v>
          </cell>
          <cell r="B932">
            <v>1974</v>
          </cell>
          <cell r="C932" t="str">
            <v>Hosín</v>
          </cell>
          <cell r="D932" t="str">
            <v>CZ/C1</v>
          </cell>
          <cell r="E932" t="str">
            <v>M</v>
          </cell>
          <cell r="F932" t="str">
            <v/>
          </cell>
        </row>
        <row r="933">
          <cell r="A933" t="str">
            <v>Tomas Vrbsky</v>
          </cell>
          <cell r="B933">
            <v>1964</v>
          </cell>
          <cell r="C933" t="str">
            <v>Letkov</v>
          </cell>
          <cell r="D933" t="str">
            <v>CZ/C1</v>
          </cell>
          <cell r="E933" t="str">
            <v>M</v>
          </cell>
          <cell r="F933" t="str">
            <v/>
          </cell>
        </row>
        <row r="934">
          <cell r="A934" t="str">
            <v>Tomas Zamecnik</v>
          </cell>
          <cell r="B934">
            <v>1988</v>
          </cell>
          <cell r="C934" t="str">
            <v>Zbraslavice</v>
          </cell>
          <cell r="D934" t="str">
            <v>CZ/C1</v>
          </cell>
          <cell r="E934" t="str">
            <v>M</v>
          </cell>
          <cell r="F934" t="str">
            <v/>
          </cell>
        </row>
        <row r="935">
          <cell r="A935" t="str">
            <v>Ulf Kern</v>
          </cell>
          <cell r="B935">
            <v>1958</v>
          </cell>
          <cell r="C935" t="str">
            <v>Raná</v>
          </cell>
          <cell r="D935" t="str">
            <v>CZ/C2</v>
          </cell>
          <cell r="E935" t="str">
            <v>M</v>
          </cell>
          <cell r="F935" t="str">
            <v/>
          </cell>
        </row>
        <row r="936">
          <cell r="A936" t="str">
            <v>Vaclav Cerny</v>
          </cell>
          <cell r="B936">
            <v>1949</v>
          </cell>
          <cell r="C936" t="str">
            <v>Slaný</v>
          </cell>
          <cell r="D936" t="str">
            <v>CZ/C1</v>
          </cell>
          <cell r="E936" t="str">
            <v>M</v>
          </cell>
          <cell r="F936" t="str">
            <v/>
          </cell>
        </row>
        <row r="937">
          <cell r="A937" t="str">
            <v>Vaclav Halek</v>
          </cell>
          <cell r="B937">
            <v>1966</v>
          </cell>
          <cell r="C937" t="str">
            <v>Toužim</v>
          </cell>
          <cell r="D937" t="str">
            <v>CZ/C1</v>
          </cell>
          <cell r="E937" t="str">
            <v>M</v>
          </cell>
          <cell r="F937" t="str">
            <v/>
          </cell>
        </row>
        <row r="938">
          <cell r="A938" t="str">
            <v>Vaclav Hrdina</v>
          </cell>
          <cell r="B938">
            <v>1984</v>
          </cell>
          <cell r="C938" t="str">
            <v>Letkov</v>
          </cell>
          <cell r="D938" t="str">
            <v>CZ/C1</v>
          </cell>
          <cell r="E938" t="str">
            <v>M</v>
          </cell>
          <cell r="F938" t="str">
            <v/>
          </cell>
        </row>
        <row r="939">
          <cell r="A939" t="str">
            <v>Vaclav Hruza</v>
          </cell>
          <cell r="B939">
            <v>1965</v>
          </cell>
          <cell r="C939" t="str">
            <v>Břeclav</v>
          </cell>
          <cell r="D939" t="str">
            <v>CZ/M</v>
          </cell>
          <cell r="E939" t="str">
            <v>M</v>
          </cell>
          <cell r="F939" t="str">
            <v/>
          </cell>
        </row>
        <row r="940">
          <cell r="A940" t="str">
            <v>Vaclav Koudelka</v>
          </cell>
          <cell r="B940">
            <v>1997</v>
          </cell>
          <cell r="C940" t="str">
            <v>Jičín</v>
          </cell>
          <cell r="D940" t="str">
            <v>CZ/C2</v>
          </cell>
          <cell r="E940" t="str">
            <v>M</v>
          </cell>
          <cell r="F940" t="str">
            <v/>
          </cell>
        </row>
        <row r="941">
          <cell r="A941" t="str">
            <v>Vaclav Krejcar</v>
          </cell>
          <cell r="B941">
            <v>1943</v>
          </cell>
          <cell r="C941" t="str">
            <v>Hořice</v>
          </cell>
          <cell r="D941" t="str">
            <v>CZ/C2</v>
          </cell>
          <cell r="E941" t="str">
            <v>M</v>
          </cell>
          <cell r="F941" t="str">
            <v/>
          </cell>
        </row>
        <row r="942">
          <cell r="A942" t="str">
            <v>Vaclav Kult</v>
          </cell>
          <cell r="B942">
            <v>1973</v>
          </cell>
          <cell r="C942" t="str">
            <v>Broumov</v>
          </cell>
          <cell r="D942" t="str">
            <v>CZ/C2</v>
          </cell>
          <cell r="E942" t="str">
            <v>M</v>
          </cell>
          <cell r="F942" t="str">
            <v/>
          </cell>
        </row>
        <row r="943">
          <cell r="A943" t="str">
            <v>Vaclav Kunasek</v>
          </cell>
          <cell r="B943">
            <v>1987</v>
          </cell>
          <cell r="C943" t="str">
            <v>Zbraslavice</v>
          </cell>
          <cell r="D943" t="str">
            <v>CZ/C1</v>
          </cell>
          <cell r="E943" t="str">
            <v>M</v>
          </cell>
          <cell r="F943" t="str">
            <v/>
          </cell>
        </row>
        <row r="944">
          <cell r="A944" t="str">
            <v>Vaclav Kysilka</v>
          </cell>
          <cell r="B944">
            <v>1979</v>
          </cell>
          <cell r="C944" t="str">
            <v>GAC Benešov</v>
          </cell>
          <cell r="D944" t="str">
            <v>CZ/C1</v>
          </cell>
          <cell r="E944" t="str">
            <v>M</v>
          </cell>
          <cell r="F944" t="str">
            <v/>
          </cell>
        </row>
        <row r="945">
          <cell r="A945" t="str">
            <v>Vaclav Marel</v>
          </cell>
          <cell r="B945">
            <v>1974</v>
          </cell>
          <cell r="C945" t="str">
            <v>Jaroměř</v>
          </cell>
          <cell r="D945" t="str">
            <v>CZ/C2</v>
          </cell>
          <cell r="E945" t="str">
            <v>M</v>
          </cell>
          <cell r="F945" t="str">
            <v/>
          </cell>
        </row>
        <row r="946">
          <cell r="A946" t="str">
            <v>Vaclav Ochotny</v>
          </cell>
          <cell r="B946">
            <v>1966</v>
          </cell>
          <cell r="C946" t="str">
            <v>Kunovice</v>
          </cell>
          <cell r="D946" t="str">
            <v>CZ/M</v>
          </cell>
          <cell r="E946" t="str">
            <v>M</v>
          </cell>
          <cell r="F946" t="str">
            <v/>
          </cell>
        </row>
        <row r="947">
          <cell r="A947" t="str">
            <v>Vaclav Petru</v>
          </cell>
          <cell r="B947">
            <v>1974</v>
          </cell>
          <cell r="C947" t="str">
            <v>Letňany</v>
          </cell>
          <cell r="D947" t="str">
            <v>CZ/C1</v>
          </cell>
          <cell r="E947" t="str">
            <v>M</v>
          </cell>
          <cell r="F947" t="str">
            <v/>
          </cell>
        </row>
        <row r="948">
          <cell r="A948" t="str">
            <v>Vaclav Sehnal</v>
          </cell>
          <cell r="B948">
            <v>1962</v>
          </cell>
          <cell r="C948" t="str">
            <v>Kolín</v>
          </cell>
          <cell r="D948" t="str">
            <v>CZ/C1</v>
          </cell>
          <cell r="E948" t="str">
            <v>M</v>
          </cell>
          <cell r="F948" t="str">
            <v/>
          </cell>
        </row>
        <row r="949">
          <cell r="A949" t="str">
            <v>Vaclav Svoboda</v>
          </cell>
          <cell r="B949">
            <v>1970</v>
          </cell>
          <cell r="C949" t="str">
            <v>Letkov</v>
          </cell>
          <cell r="D949" t="str">
            <v>CZ/C1</v>
          </cell>
          <cell r="E949" t="str">
            <v>M</v>
          </cell>
          <cell r="F949" t="str">
            <v/>
          </cell>
        </row>
        <row r="950">
          <cell r="A950" t="str">
            <v>Vaclav Trnka</v>
          </cell>
          <cell r="B950">
            <v>1939</v>
          </cell>
          <cell r="C950" t="str">
            <v>Ústí nad Orlicí</v>
          </cell>
          <cell r="D950" t="str">
            <v>CZ/C2</v>
          </cell>
          <cell r="E950" t="str">
            <v>M</v>
          </cell>
          <cell r="F950" t="str">
            <v/>
          </cell>
        </row>
        <row r="951">
          <cell r="A951" t="str">
            <v>Vaclav Zeman</v>
          </cell>
          <cell r="B951">
            <v>1984</v>
          </cell>
          <cell r="C951" t="str">
            <v>Zbraslavice</v>
          </cell>
          <cell r="D951" t="str">
            <v>CZ/C1</v>
          </cell>
          <cell r="E951" t="str">
            <v>M</v>
          </cell>
          <cell r="F951" t="str">
            <v/>
          </cell>
        </row>
        <row r="952">
          <cell r="A952" t="str">
            <v>Vaclav Zak</v>
          </cell>
          <cell r="B952">
            <v>1962</v>
          </cell>
          <cell r="C952" t="str">
            <v>GAC Benešov</v>
          </cell>
          <cell r="D952" t="str">
            <v>CZ/C1</v>
          </cell>
          <cell r="E952" t="str">
            <v>M</v>
          </cell>
          <cell r="F952" t="str">
            <v/>
          </cell>
        </row>
        <row r="953">
          <cell r="A953" t="str">
            <v>Vera Vavrinova</v>
          </cell>
          <cell r="B953">
            <v>1949</v>
          </cell>
          <cell r="C953" t="str">
            <v>Vysoké Mýto</v>
          </cell>
          <cell r="D953" t="str">
            <v>CZ/C2</v>
          </cell>
          <cell r="E953" t="str">
            <v>F</v>
          </cell>
          <cell r="F953" t="str">
            <v/>
          </cell>
        </row>
        <row r="954">
          <cell r="A954" t="str">
            <v>Veronika Ambrozova</v>
          </cell>
          <cell r="B954">
            <v>1984</v>
          </cell>
          <cell r="C954" t="str">
            <v>Křižanov</v>
          </cell>
          <cell r="D954" t="str">
            <v>CZ/M</v>
          </cell>
          <cell r="E954" t="str">
            <v>F</v>
          </cell>
          <cell r="F954" t="str">
            <v/>
          </cell>
        </row>
        <row r="955">
          <cell r="A955" t="str">
            <v>Veronika Jezkova</v>
          </cell>
          <cell r="B955">
            <v>1986</v>
          </cell>
          <cell r="C955" t="str">
            <v>Mladá Boleslav</v>
          </cell>
          <cell r="D955" t="str">
            <v>CZ/C1</v>
          </cell>
          <cell r="E955" t="str">
            <v>F</v>
          </cell>
          <cell r="F955" t="str">
            <v/>
          </cell>
        </row>
        <row r="956">
          <cell r="A956" t="str">
            <v>Veronika Mullerova</v>
          </cell>
          <cell r="B956">
            <v>1983</v>
          </cell>
          <cell r="C956" t="str">
            <v>Letňany</v>
          </cell>
          <cell r="D956" t="str">
            <v>CZ/C1</v>
          </cell>
          <cell r="E956" t="str">
            <v>F</v>
          </cell>
          <cell r="F956" t="str">
            <v/>
          </cell>
        </row>
        <row r="957">
          <cell r="A957" t="str">
            <v>Viktor Becan</v>
          </cell>
          <cell r="B957">
            <v>1979</v>
          </cell>
          <cell r="C957" t="str">
            <v>Vlašim</v>
          </cell>
          <cell r="D957" t="str">
            <v>CZ/C1</v>
          </cell>
          <cell r="E957" t="str">
            <v>M</v>
          </cell>
          <cell r="F957" t="str">
            <v/>
          </cell>
        </row>
        <row r="958">
          <cell r="A958" t="str">
            <v>Viktor Tvrdik</v>
          </cell>
          <cell r="B958">
            <v>1977</v>
          </cell>
          <cell r="C958" t="str">
            <v>Rakovník</v>
          </cell>
          <cell r="D958" t="str">
            <v>CZ/C1</v>
          </cell>
          <cell r="E958" t="str">
            <v>M</v>
          </cell>
          <cell r="F958" t="str">
            <v/>
          </cell>
        </row>
        <row r="959">
          <cell r="A959" t="str">
            <v>Viktor Zimcik</v>
          </cell>
          <cell r="B959">
            <v>1976</v>
          </cell>
          <cell r="C959" t="str">
            <v>Kunovice</v>
          </cell>
          <cell r="D959" t="str">
            <v>CZ/M</v>
          </cell>
          <cell r="E959" t="str">
            <v>M</v>
          </cell>
          <cell r="F959" t="str">
            <v/>
          </cell>
        </row>
        <row r="960">
          <cell r="A960" t="str">
            <v>Vilem Riha</v>
          </cell>
          <cell r="B960">
            <v>1990</v>
          </cell>
          <cell r="C960" t="str">
            <v>Letňany</v>
          </cell>
          <cell r="D960" t="str">
            <v>CZ/C1</v>
          </cell>
          <cell r="E960" t="str">
            <v>M</v>
          </cell>
          <cell r="F960" t="str">
            <v/>
          </cell>
        </row>
        <row r="961">
          <cell r="A961" t="str">
            <v>Vit Grossmann</v>
          </cell>
          <cell r="B961">
            <v>1977</v>
          </cell>
          <cell r="C961" t="str">
            <v>Hranice</v>
          </cell>
          <cell r="D961" t="str">
            <v>CZ/M</v>
          </cell>
          <cell r="E961" t="str">
            <v>M</v>
          </cell>
          <cell r="F961" t="str">
            <v/>
          </cell>
        </row>
        <row r="962">
          <cell r="A962" t="str">
            <v>Vit Hrdlicka</v>
          </cell>
          <cell r="B962">
            <v>1960</v>
          </cell>
          <cell r="C962" t="str">
            <v>Medlánky</v>
          </cell>
          <cell r="D962" t="str">
            <v>CZ/M</v>
          </cell>
          <cell r="E962" t="str">
            <v>M</v>
          </cell>
          <cell r="F962" t="str">
            <v/>
          </cell>
        </row>
        <row r="963">
          <cell r="A963" t="str">
            <v>Vit Morkovsky</v>
          </cell>
          <cell r="B963">
            <v>2000</v>
          </cell>
          <cell r="C963" t="str">
            <v>Polička</v>
          </cell>
          <cell r="D963" t="str">
            <v>CZ/C2</v>
          </cell>
          <cell r="E963" t="str">
            <v>M</v>
          </cell>
          <cell r="F963" t="str">
            <v>Junior v roce 2024</v>
          </cell>
        </row>
        <row r="964">
          <cell r="A964" t="str">
            <v>Vit Novak</v>
          </cell>
          <cell r="B964">
            <v>1985</v>
          </cell>
          <cell r="C964" t="str">
            <v>Olomouc</v>
          </cell>
          <cell r="D964" t="str">
            <v>CZ/M</v>
          </cell>
          <cell r="E964" t="str">
            <v>M</v>
          </cell>
          <cell r="F964" t="str">
            <v/>
          </cell>
        </row>
        <row r="965">
          <cell r="A965" t="str">
            <v>Vit Pavelka</v>
          </cell>
          <cell r="B965">
            <v>2004</v>
          </cell>
          <cell r="C965" t="str">
            <v>Moravská Třebová</v>
          </cell>
          <cell r="D965" t="str">
            <v>CZ/M</v>
          </cell>
          <cell r="E965" t="str">
            <v>M</v>
          </cell>
          <cell r="F965" t="str">
            <v>Junior v roce 2024</v>
          </cell>
        </row>
        <row r="966">
          <cell r="A966" t="str">
            <v>Vit Prokop</v>
          </cell>
          <cell r="B966">
            <v>1987</v>
          </cell>
          <cell r="C966" t="str">
            <v>Medlánky</v>
          </cell>
          <cell r="D966" t="str">
            <v>CZ/M</v>
          </cell>
          <cell r="E966" t="str">
            <v>M</v>
          </cell>
          <cell r="F966" t="str">
            <v/>
          </cell>
        </row>
        <row r="967">
          <cell r="A967" t="str">
            <v>Vit Rydl</v>
          </cell>
          <cell r="B967">
            <v>1969</v>
          </cell>
          <cell r="C967" t="str">
            <v>Turnov</v>
          </cell>
          <cell r="D967" t="str">
            <v>CZ/C2</v>
          </cell>
          <cell r="E967" t="str">
            <v>M</v>
          </cell>
          <cell r="F967" t="str">
            <v/>
          </cell>
        </row>
        <row r="968">
          <cell r="A968" t="str">
            <v>Vit Tvrdik</v>
          </cell>
          <cell r="B968">
            <v>2000</v>
          </cell>
          <cell r="C968" t="str">
            <v>Letňany</v>
          </cell>
          <cell r="D968" t="str">
            <v>CZ/C1</v>
          </cell>
          <cell r="E968" t="str">
            <v>M</v>
          </cell>
          <cell r="F968" t="str">
            <v>Junior v roce 2024</v>
          </cell>
        </row>
        <row r="969">
          <cell r="A969" t="str">
            <v>Vladimir Abraham</v>
          </cell>
          <cell r="B969">
            <v>1962</v>
          </cell>
          <cell r="C969" t="str">
            <v>Raná</v>
          </cell>
          <cell r="D969" t="str">
            <v>CZ/C2</v>
          </cell>
          <cell r="E969" t="str">
            <v>M</v>
          </cell>
          <cell r="F969" t="str">
            <v/>
          </cell>
        </row>
        <row r="970">
          <cell r="A970" t="str">
            <v>Vladimir Baran</v>
          </cell>
          <cell r="B970">
            <v>1949</v>
          </cell>
          <cell r="C970" t="str">
            <v>Frýdlant</v>
          </cell>
          <cell r="D970" t="str">
            <v>CZ/M</v>
          </cell>
          <cell r="E970" t="str">
            <v>M</v>
          </cell>
          <cell r="F970" t="str">
            <v/>
          </cell>
        </row>
        <row r="971">
          <cell r="A971" t="str">
            <v>Vladimir Dostal</v>
          </cell>
          <cell r="B971">
            <v>1943</v>
          </cell>
          <cell r="C971" t="str">
            <v>Hronov</v>
          </cell>
          <cell r="D971" t="str">
            <v>CZ/C2</v>
          </cell>
          <cell r="E971" t="str">
            <v>M</v>
          </cell>
          <cell r="F971" t="str">
            <v/>
          </cell>
        </row>
        <row r="972">
          <cell r="A972" t="str">
            <v>Vladimir Fousek</v>
          </cell>
          <cell r="B972">
            <v>1964</v>
          </cell>
          <cell r="C972" t="str">
            <v>Raná</v>
          </cell>
          <cell r="D972" t="str">
            <v>CZ/C2</v>
          </cell>
          <cell r="E972" t="str">
            <v>M</v>
          </cell>
          <cell r="F972" t="str">
            <v/>
          </cell>
        </row>
        <row r="973">
          <cell r="A973" t="str">
            <v>Vladimir Fux</v>
          </cell>
          <cell r="B973">
            <v>1963</v>
          </cell>
          <cell r="C973" t="str">
            <v>Křižanov</v>
          </cell>
          <cell r="D973" t="str">
            <v>CZ/M</v>
          </cell>
          <cell r="E973" t="str">
            <v>M</v>
          </cell>
          <cell r="F973" t="str">
            <v/>
          </cell>
        </row>
        <row r="974">
          <cell r="A974" t="str">
            <v>Vladimir Hammer</v>
          </cell>
          <cell r="B974">
            <v>2000</v>
          </cell>
          <cell r="C974" t="str">
            <v>Letkov</v>
          </cell>
          <cell r="D974" t="str">
            <v>CZ/C1</v>
          </cell>
          <cell r="E974" t="str">
            <v>M</v>
          </cell>
          <cell r="F974" t="str">
            <v>Junior v roce 2024</v>
          </cell>
        </row>
        <row r="975">
          <cell r="A975" t="str">
            <v>Vladimir Hampl</v>
          </cell>
          <cell r="B975">
            <v>1970</v>
          </cell>
          <cell r="C975" t="str">
            <v>Dvůr Králové</v>
          </cell>
          <cell r="D975" t="str">
            <v>CZ/C2</v>
          </cell>
          <cell r="E975" t="str">
            <v>M</v>
          </cell>
          <cell r="F975" t="str">
            <v/>
          </cell>
        </row>
        <row r="976">
          <cell r="A976" t="str">
            <v>Vladimir Jirka</v>
          </cell>
          <cell r="B976">
            <v>1965</v>
          </cell>
          <cell r="C976" t="str">
            <v>Zábřeh</v>
          </cell>
          <cell r="D976" t="str">
            <v>CZ/M</v>
          </cell>
          <cell r="E976" t="str">
            <v>M</v>
          </cell>
          <cell r="F976" t="str">
            <v/>
          </cell>
        </row>
        <row r="977">
          <cell r="A977" t="str">
            <v>Vladimir Kamensky</v>
          </cell>
          <cell r="B977">
            <v>1983</v>
          </cell>
          <cell r="C977" t="str">
            <v>Břeclav</v>
          </cell>
          <cell r="D977" t="str">
            <v>CZ/M</v>
          </cell>
          <cell r="E977" t="str">
            <v>M</v>
          </cell>
          <cell r="F977" t="str">
            <v/>
          </cell>
        </row>
        <row r="978">
          <cell r="A978" t="str">
            <v>Vladimir Kramosil</v>
          </cell>
          <cell r="B978">
            <v>1937</v>
          </cell>
          <cell r="C978" t="str">
            <v>Most</v>
          </cell>
          <cell r="D978" t="str">
            <v>CZ/C2</v>
          </cell>
          <cell r="E978" t="str">
            <v>M</v>
          </cell>
          <cell r="F978" t="str">
            <v/>
          </cell>
        </row>
        <row r="979">
          <cell r="A979" t="str">
            <v>Vladimir Maca</v>
          </cell>
          <cell r="B979">
            <v>1982</v>
          </cell>
          <cell r="C979" t="str">
            <v>Jihlava</v>
          </cell>
          <cell r="D979" t="str">
            <v>CZ/M</v>
          </cell>
          <cell r="E979" t="str">
            <v>M</v>
          </cell>
          <cell r="F979" t="str">
            <v/>
          </cell>
        </row>
        <row r="980">
          <cell r="A980" t="str">
            <v>Vladimir Nemec</v>
          </cell>
          <cell r="B980">
            <v>1976</v>
          </cell>
          <cell r="C980" t="str">
            <v>Jeseník</v>
          </cell>
          <cell r="D980" t="str">
            <v>CZ/M</v>
          </cell>
          <cell r="E980" t="str">
            <v>M</v>
          </cell>
          <cell r="F980" t="str">
            <v/>
          </cell>
        </row>
        <row r="981">
          <cell r="A981" t="str">
            <v>Vladimir Prihoda</v>
          </cell>
          <cell r="B981">
            <v>1953</v>
          </cell>
          <cell r="C981" t="str">
            <v>Kralupy</v>
          </cell>
          <cell r="D981" t="str">
            <v>CZ/C1</v>
          </cell>
          <cell r="E981" t="str">
            <v>M</v>
          </cell>
          <cell r="F981" t="str">
            <v/>
          </cell>
        </row>
        <row r="982">
          <cell r="A982" t="str">
            <v>Vladimir Spilka</v>
          </cell>
          <cell r="B982">
            <v>1940</v>
          </cell>
          <cell r="C982" t="str">
            <v>Hranice</v>
          </cell>
          <cell r="D982" t="str">
            <v>CZ/M</v>
          </cell>
          <cell r="E982" t="str">
            <v>M</v>
          </cell>
          <cell r="F982" t="str">
            <v/>
          </cell>
        </row>
        <row r="983">
          <cell r="A983" t="str">
            <v>Vladislav Cadsky</v>
          </cell>
          <cell r="B983">
            <v>1975</v>
          </cell>
          <cell r="C983" t="str">
            <v>Kolín</v>
          </cell>
          <cell r="D983" t="str">
            <v>CZ/C1</v>
          </cell>
          <cell r="E983" t="str">
            <v>M</v>
          </cell>
          <cell r="F983" t="str">
            <v/>
          </cell>
        </row>
        <row r="984">
          <cell r="A984" t="str">
            <v>Vlastislav Picka</v>
          </cell>
          <cell r="B984">
            <v>1948</v>
          </cell>
          <cell r="C984" t="str">
            <v>Jindřichův Hradec</v>
          </cell>
          <cell r="D984" t="str">
            <v>CZ/C1</v>
          </cell>
          <cell r="E984" t="str">
            <v>M</v>
          </cell>
          <cell r="F984" t="str">
            <v/>
          </cell>
        </row>
        <row r="985">
          <cell r="A985" t="str">
            <v>Vojtech Bartos</v>
          </cell>
          <cell r="B985">
            <v>1970</v>
          </cell>
          <cell r="C985" t="str">
            <v>Medlánky</v>
          </cell>
          <cell r="D985" t="str">
            <v>CZ/M</v>
          </cell>
          <cell r="E985" t="str">
            <v>M</v>
          </cell>
          <cell r="F985" t="str">
            <v/>
          </cell>
        </row>
        <row r="986">
          <cell r="A986" t="str">
            <v>Vojtech Flidr</v>
          </cell>
          <cell r="B986">
            <v>2003</v>
          </cell>
          <cell r="C986" t="str">
            <v>Dvůr Králové</v>
          </cell>
          <cell r="D986" t="str">
            <v>CZ/C2</v>
          </cell>
          <cell r="E986" t="str">
            <v>M</v>
          </cell>
          <cell r="F986" t="str">
            <v>Junior v roce 2024</v>
          </cell>
        </row>
        <row r="987">
          <cell r="A987" t="str">
            <v>Vojtech Hajek</v>
          </cell>
          <cell r="B987">
            <v>1987</v>
          </cell>
          <cell r="C987" t="str">
            <v>Mladá Boleslav</v>
          </cell>
          <cell r="D987" t="str">
            <v>CZ/C1</v>
          </cell>
          <cell r="E987" t="str">
            <v>M</v>
          </cell>
          <cell r="F987" t="str">
            <v/>
          </cell>
        </row>
        <row r="988">
          <cell r="A988" t="str">
            <v>Vojtech Karlik</v>
          </cell>
          <cell r="B988">
            <v>1982</v>
          </cell>
          <cell r="C988" t="str">
            <v>Kunovice</v>
          </cell>
          <cell r="D988" t="str">
            <v>CZ/M</v>
          </cell>
          <cell r="E988" t="str">
            <v>M</v>
          </cell>
          <cell r="F988" t="str">
            <v/>
          </cell>
        </row>
        <row r="989">
          <cell r="A989" t="str">
            <v>Vojtech Kostejn</v>
          </cell>
          <cell r="B989">
            <v>1974</v>
          </cell>
          <cell r="C989" t="str">
            <v>Česká Lípa</v>
          </cell>
          <cell r="D989" t="str">
            <v>CZ/C2</v>
          </cell>
          <cell r="E989" t="str">
            <v>M</v>
          </cell>
          <cell r="F989" t="str">
            <v/>
          </cell>
        </row>
        <row r="990">
          <cell r="A990" t="str">
            <v>Vojtech Labuda</v>
          </cell>
          <cell r="B990">
            <v>1980</v>
          </cell>
          <cell r="C990" t="str">
            <v>Příbram</v>
          </cell>
          <cell r="D990" t="str">
            <v>CZ/C1</v>
          </cell>
          <cell r="E990" t="str">
            <v>M</v>
          </cell>
          <cell r="F990" t="str">
            <v/>
          </cell>
        </row>
        <row r="991">
          <cell r="A991" t="str">
            <v>Vojtech Novotny</v>
          </cell>
          <cell r="B991">
            <v>1992</v>
          </cell>
          <cell r="C991" t="str">
            <v>Kralupy</v>
          </cell>
          <cell r="D991" t="str">
            <v>CZ/C1</v>
          </cell>
          <cell r="E991" t="str">
            <v>M</v>
          </cell>
          <cell r="F991" t="str">
            <v/>
          </cell>
        </row>
        <row r="992">
          <cell r="A992" t="str">
            <v>Vojtech Pavek</v>
          </cell>
          <cell r="B992">
            <v>2000</v>
          </cell>
          <cell r="C992" t="str">
            <v>Medlánky</v>
          </cell>
          <cell r="D992" t="str">
            <v>CZ/M</v>
          </cell>
          <cell r="E992" t="str">
            <v>M</v>
          </cell>
          <cell r="F992" t="str">
            <v>Junior v roce 2024</v>
          </cell>
        </row>
        <row r="993">
          <cell r="A993" t="str">
            <v>Vojtech Petrovicky</v>
          </cell>
          <cell r="B993">
            <v>1986</v>
          </cell>
          <cell r="C993" t="str">
            <v>Mladá Boleslav</v>
          </cell>
          <cell r="D993" t="str">
            <v>CZ/C1</v>
          </cell>
          <cell r="E993" t="str">
            <v>M</v>
          </cell>
          <cell r="F993" t="str">
            <v/>
          </cell>
        </row>
        <row r="994">
          <cell r="A994" t="str">
            <v>Vojtech Pivonka</v>
          </cell>
          <cell r="B994">
            <v>1976</v>
          </cell>
          <cell r="C994" t="str">
            <v>Vrchlabí</v>
          </cell>
          <cell r="D994" t="str">
            <v>CZ/C2</v>
          </cell>
          <cell r="E994" t="str">
            <v>M</v>
          </cell>
          <cell r="F994" t="str">
            <v/>
          </cell>
        </row>
        <row r="995">
          <cell r="A995" t="str">
            <v>Vojtech Sehnal</v>
          </cell>
          <cell r="B995">
            <v>1994</v>
          </cell>
          <cell r="C995" t="str">
            <v>Kolín</v>
          </cell>
          <cell r="D995" t="str">
            <v>CZ/C1</v>
          </cell>
          <cell r="E995" t="str">
            <v>M</v>
          </cell>
          <cell r="F995" t="str">
            <v/>
          </cell>
        </row>
        <row r="996">
          <cell r="A996" t="str">
            <v>Vojtech Stavny</v>
          </cell>
          <cell r="B996">
            <v>1962</v>
          </cell>
          <cell r="C996" t="str">
            <v>Letkov</v>
          </cell>
          <cell r="D996" t="str">
            <v>CZ/C1</v>
          </cell>
          <cell r="E996" t="str">
            <v>M</v>
          </cell>
          <cell r="F996" t="str">
            <v/>
          </cell>
        </row>
        <row r="997">
          <cell r="A997" t="str">
            <v>Vojtech Svoboda</v>
          </cell>
          <cell r="B997">
            <v>1994</v>
          </cell>
          <cell r="C997" t="str">
            <v>Zbraslavice</v>
          </cell>
          <cell r="D997" t="str">
            <v>CZ/C1</v>
          </cell>
          <cell r="E997" t="str">
            <v>M</v>
          </cell>
          <cell r="F997" t="str">
            <v/>
          </cell>
        </row>
        <row r="998">
          <cell r="A998" t="str">
            <v>Vojtech Vach 76</v>
          </cell>
          <cell r="B998">
            <v>1976</v>
          </cell>
          <cell r="C998" t="str">
            <v>Nové Město nad Metují</v>
          </cell>
          <cell r="D998" t="str">
            <v>CZ/C2</v>
          </cell>
          <cell r="E998" t="str">
            <v>M</v>
          </cell>
          <cell r="F998" t="str">
            <v/>
          </cell>
        </row>
        <row r="999">
          <cell r="A999" t="str">
            <v>Vojtech Vach 03</v>
          </cell>
          <cell r="B999">
            <v>2003</v>
          </cell>
          <cell r="C999" t="str">
            <v>Nové Město nad Metují</v>
          </cell>
          <cell r="D999" t="str">
            <v>CZ/C2</v>
          </cell>
          <cell r="E999" t="str">
            <v>M</v>
          </cell>
          <cell r="F999" t="str">
            <v>Junior v roce 2024</v>
          </cell>
        </row>
        <row r="1000">
          <cell r="A1000" t="str">
            <v>Vratislav Orlita</v>
          </cell>
          <cell r="B1000">
            <v>1946</v>
          </cell>
          <cell r="C1000" t="str">
            <v>Kunovice</v>
          </cell>
          <cell r="D1000" t="str">
            <v>CZ/M</v>
          </cell>
          <cell r="E1000" t="str">
            <v>M</v>
          </cell>
          <cell r="F1000" t="str">
            <v/>
          </cell>
        </row>
        <row r="1001">
          <cell r="A1001" t="str">
            <v>Vratislav Sram</v>
          </cell>
          <cell r="B1001">
            <v>1966</v>
          </cell>
          <cell r="C1001" t="str">
            <v>Broumov</v>
          </cell>
          <cell r="D1001" t="str">
            <v>CZ/C2</v>
          </cell>
          <cell r="E1001" t="str">
            <v>M</v>
          </cell>
          <cell r="F1001" t="str">
            <v/>
          </cell>
        </row>
        <row r="1002">
          <cell r="A1002" t="str">
            <v>Wolfgang Sluka</v>
          </cell>
          <cell r="B1002">
            <v>1942</v>
          </cell>
          <cell r="C1002" t="str">
            <v>Liberec</v>
          </cell>
          <cell r="D1002" t="str">
            <v>CZ/C2</v>
          </cell>
          <cell r="E1002" t="str">
            <v>M</v>
          </cell>
          <cell r="F1002" t="str">
            <v/>
          </cell>
        </row>
        <row r="1003">
          <cell r="A1003" t="str">
            <v>Yvona Vyhnankova</v>
          </cell>
          <cell r="B1003">
            <v>1963</v>
          </cell>
          <cell r="C1003" t="str">
            <v>Olomouc</v>
          </cell>
          <cell r="D1003" t="str">
            <v>CZ/M</v>
          </cell>
          <cell r="E1003" t="str">
            <v>F</v>
          </cell>
          <cell r="F1003" t="str">
            <v/>
          </cell>
        </row>
        <row r="1004">
          <cell r="A1004" t="str">
            <v>Zbynek Bican</v>
          </cell>
          <cell r="B1004">
            <v>1961</v>
          </cell>
          <cell r="C1004" t="str">
            <v>Raná</v>
          </cell>
          <cell r="D1004" t="str">
            <v>CZ/C2</v>
          </cell>
          <cell r="E1004" t="str">
            <v>M</v>
          </cell>
          <cell r="F1004" t="str">
            <v/>
          </cell>
        </row>
        <row r="1005">
          <cell r="A1005" t="str">
            <v>Zbynek Fuksa</v>
          </cell>
          <cell r="B1005">
            <v>1956</v>
          </cell>
          <cell r="C1005" t="str">
            <v>Jičín</v>
          </cell>
          <cell r="D1005" t="str">
            <v>CZ/C2</v>
          </cell>
          <cell r="E1005" t="str">
            <v>M</v>
          </cell>
          <cell r="F1005" t="str">
            <v/>
          </cell>
        </row>
        <row r="1006">
          <cell r="A1006" t="str">
            <v>Zbynek Zdrahal</v>
          </cell>
          <cell r="B1006">
            <v>1965</v>
          </cell>
          <cell r="C1006" t="str">
            <v>Medlánky</v>
          </cell>
          <cell r="D1006" t="str">
            <v>CZ/M</v>
          </cell>
          <cell r="E1006" t="str">
            <v>M</v>
          </cell>
          <cell r="F1006" t="str">
            <v/>
          </cell>
        </row>
        <row r="1007">
          <cell r="A1007" t="str">
            <v>Zbynek Koudelka</v>
          </cell>
          <cell r="B1007">
            <v>1991</v>
          </cell>
          <cell r="C1007" t="str">
            <v>Křižanov</v>
          </cell>
          <cell r="D1007" t="str">
            <v>CZ/M</v>
          </cell>
          <cell r="E1007" t="str">
            <v>M</v>
          </cell>
          <cell r="F1007" t="str">
            <v/>
          </cell>
        </row>
        <row r="1008">
          <cell r="A1008" t="str">
            <v>Zbynek Kuchta</v>
          </cell>
          <cell r="B1008">
            <v>1976</v>
          </cell>
          <cell r="C1008" t="str">
            <v>Klatovy</v>
          </cell>
          <cell r="D1008" t="str">
            <v>CZ/C1</v>
          </cell>
          <cell r="E1008" t="str">
            <v>M</v>
          </cell>
          <cell r="F1008" t="str">
            <v/>
          </cell>
        </row>
        <row r="1009">
          <cell r="A1009" t="str">
            <v>Zdenek Balcarek</v>
          </cell>
          <cell r="B1009">
            <v>1967</v>
          </cell>
          <cell r="C1009" t="str">
            <v>Kroměříž</v>
          </cell>
          <cell r="D1009" t="str">
            <v>CZ/M</v>
          </cell>
          <cell r="E1009" t="str">
            <v>M</v>
          </cell>
          <cell r="F1009" t="str">
            <v/>
          </cell>
        </row>
        <row r="1010">
          <cell r="A1010" t="str">
            <v>Zdenek Bohm</v>
          </cell>
          <cell r="B1010">
            <v>1963</v>
          </cell>
          <cell r="C1010" t="str">
            <v>Kolín</v>
          </cell>
          <cell r="D1010" t="str">
            <v>CZ/C1</v>
          </cell>
          <cell r="E1010" t="str">
            <v>M</v>
          </cell>
          <cell r="F1010" t="str">
            <v/>
          </cell>
        </row>
        <row r="1011">
          <cell r="A1011" t="str">
            <v>Zdenek Boruvka 54</v>
          </cell>
          <cell r="B1011">
            <v>1954</v>
          </cell>
          <cell r="C1011" t="str">
            <v>Jičín</v>
          </cell>
          <cell r="D1011" t="str">
            <v>CZ/C2</v>
          </cell>
          <cell r="E1011" t="str">
            <v>M</v>
          </cell>
          <cell r="F1011" t="str">
            <v/>
          </cell>
        </row>
        <row r="1012">
          <cell r="A1012" t="str">
            <v>Zdenek Boruvka 86</v>
          </cell>
          <cell r="B1012">
            <v>1986</v>
          </cell>
          <cell r="C1012" t="str">
            <v>Jičín</v>
          </cell>
          <cell r="D1012" t="str">
            <v>CZ/C2</v>
          </cell>
          <cell r="E1012" t="str">
            <v>M</v>
          </cell>
          <cell r="F1012" t="str">
            <v/>
          </cell>
        </row>
        <row r="1013">
          <cell r="A1013" t="str">
            <v>Zdenek Buben</v>
          </cell>
          <cell r="B1013">
            <v>1978</v>
          </cell>
          <cell r="C1013" t="str">
            <v>Hodkovice</v>
          </cell>
          <cell r="D1013" t="str">
            <v>CZ/C2</v>
          </cell>
          <cell r="E1013" t="str">
            <v>M</v>
          </cell>
          <cell r="F1013" t="str">
            <v/>
          </cell>
        </row>
        <row r="1014">
          <cell r="A1014" t="str">
            <v>Zdenek Kropac</v>
          </cell>
          <cell r="B1014">
            <v>1981</v>
          </cell>
          <cell r="C1014" t="str">
            <v>Kladno</v>
          </cell>
          <cell r="D1014" t="str">
            <v>CZ/C1</v>
          </cell>
          <cell r="E1014" t="str">
            <v>M</v>
          </cell>
          <cell r="F1014" t="str">
            <v/>
          </cell>
        </row>
        <row r="1015">
          <cell r="A1015" t="str">
            <v>Zdenek Krivanek</v>
          </cell>
          <cell r="B1015">
            <v>1967</v>
          </cell>
          <cell r="C1015" t="str">
            <v>Kolín</v>
          </cell>
          <cell r="D1015" t="str">
            <v>CZ/C1</v>
          </cell>
          <cell r="E1015" t="str">
            <v>M</v>
          </cell>
          <cell r="F1015" t="str">
            <v/>
          </cell>
        </row>
        <row r="1016">
          <cell r="A1016" t="str">
            <v>Zdenek Mach</v>
          </cell>
          <cell r="B1016">
            <v>1976</v>
          </cell>
          <cell r="C1016" t="str">
            <v>Broumov</v>
          </cell>
          <cell r="D1016" t="str">
            <v>CZ/C2</v>
          </cell>
          <cell r="E1016" t="str">
            <v>M</v>
          </cell>
          <cell r="F1016" t="str">
            <v/>
          </cell>
        </row>
        <row r="1017">
          <cell r="A1017" t="str">
            <v>Zdenek Parizek</v>
          </cell>
          <cell r="B1017">
            <v>1984</v>
          </cell>
          <cell r="C1017" t="str">
            <v>Raná</v>
          </cell>
          <cell r="D1017" t="str">
            <v>CZ/C2</v>
          </cell>
          <cell r="E1017" t="str">
            <v>M</v>
          </cell>
          <cell r="F1017" t="str">
            <v/>
          </cell>
        </row>
        <row r="1018">
          <cell r="A1018" t="str">
            <v>Zdenek Schenk</v>
          </cell>
          <cell r="B1018">
            <v>1972</v>
          </cell>
          <cell r="C1018" t="str">
            <v>Hranice</v>
          </cell>
          <cell r="D1018" t="str">
            <v>CZ/M</v>
          </cell>
          <cell r="E1018" t="str">
            <v>M</v>
          </cell>
          <cell r="F1018" t="str">
            <v/>
          </cell>
        </row>
        <row r="1019">
          <cell r="A1019" t="str">
            <v>Zdenek Setek</v>
          </cell>
          <cell r="B1019">
            <v>1980</v>
          </cell>
          <cell r="C1019" t="str">
            <v>Kolín</v>
          </cell>
          <cell r="D1019" t="str">
            <v>CZ/C1</v>
          </cell>
          <cell r="E1019" t="str">
            <v>M</v>
          </cell>
          <cell r="F1019" t="str">
            <v/>
          </cell>
        </row>
        <row r="1020">
          <cell r="A1020" t="str">
            <v>Zdenek Spacek</v>
          </cell>
          <cell r="B1020">
            <v>1980</v>
          </cell>
          <cell r="C1020" t="str">
            <v>Přibyslav</v>
          </cell>
          <cell r="D1020" t="str">
            <v>CZ/C2</v>
          </cell>
          <cell r="E1020" t="str">
            <v>M</v>
          </cell>
          <cell r="F1020" t="str">
            <v/>
          </cell>
        </row>
        <row r="1021">
          <cell r="A1021" t="str">
            <v>Zdenek Zabloudil</v>
          </cell>
          <cell r="B1021">
            <v>1962</v>
          </cell>
          <cell r="C1021" t="str">
            <v>Medlánky</v>
          </cell>
          <cell r="D1021" t="str">
            <v>CZ/M</v>
          </cell>
          <cell r="E1021" t="str">
            <v>M</v>
          </cell>
          <cell r="F1021" t="str">
            <v/>
          </cell>
        </row>
        <row r="1022">
          <cell r="A1022" t="str">
            <v>Zdenek Zerzan</v>
          </cell>
          <cell r="B1022">
            <v>1968</v>
          </cell>
          <cell r="C1022" t="str">
            <v>Šumperk</v>
          </cell>
          <cell r="D1022" t="str">
            <v>CZ/M</v>
          </cell>
          <cell r="E1022" t="str">
            <v>M</v>
          </cell>
          <cell r="F1022" t="str">
            <v/>
          </cell>
        </row>
        <row r="1023">
          <cell r="A1023" t="str">
            <v>Zuzana Kutilkova</v>
          </cell>
          <cell r="B1023">
            <v>1993</v>
          </cell>
          <cell r="C1023" t="str">
            <v>Křižanov</v>
          </cell>
          <cell r="D1023" t="str">
            <v>CZ/M</v>
          </cell>
          <cell r="E1023" t="str">
            <v>F</v>
          </cell>
          <cell r="F1023" t="str">
            <v/>
          </cell>
        </row>
        <row r="1024">
          <cell r="A1024" t="str">
            <v>Zuzana Markesova</v>
          </cell>
          <cell r="B1024">
            <v>2001</v>
          </cell>
          <cell r="C1024" t="str">
            <v>Medlánky</v>
          </cell>
          <cell r="D1024" t="str">
            <v>CZ/M</v>
          </cell>
          <cell r="E1024" t="str">
            <v>F</v>
          </cell>
          <cell r="F1024" t="str">
            <v>Junior v roce 2024</v>
          </cell>
        </row>
        <row r="1025">
          <cell r="A1025" t="str">
            <v>Zitomir Krepinsky</v>
          </cell>
          <cell r="B1025">
            <v>1987</v>
          </cell>
          <cell r="C1025" t="str">
            <v>Chrudim</v>
          </cell>
          <cell r="D1025" t="str">
            <v>CZ/C2</v>
          </cell>
          <cell r="E1025" t="str">
            <v>M</v>
          </cell>
          <cell r="F1025" t="str">
            <v/>
          </cell>
        </row>
      </sheetData>
      <sheetData sheetId="4">
        <row r="1">
          <cell r="A1" t="str">
            <v>Aeroklub</v>
          </cell>
          <cell r="B1" t="str">
            <v>Region</v>
          </cell>
        </row>
        <row r="2">
          <cell r="A2" t="str">
            <v>Benešov</v>
          </cell>
          <cell r="B2" t="str">
            <v>CZ/C1</v>
          </cell>
        </row>
        <row r="3">
          <cell r="A3" t="str">
            <v>Beroun</v>
          </cell>
          <cell r="B3" t="str">
            <v>CZ/C1</v>
          </cell>
        </row>
        <row r="4">
          <cell r="A4" t="str">
            <v>Bystřice u Benešova</v>
          </cell>
          <cell r="B4" t="str">
            <v>CZ/C1</v>
          </cell>
        </row>
        <row r="5">
          <cell r="A5" t="str">
            <v>Erpužice</v>
          </cell>
          <cell r="B5" t="str">
            <v>CZ/C1</v>
          </cell>
        </row>
        <row r="6">
          <cell r="A6" t="str">
            <v>GAC Benešov</v>
          </cell>
          <cell r="B6" t="str">
            <v>CZ/C1</v>
          </cell>
        </row>
        <row r="7">
          <cell r="A7" t="str">
            <v>Hořovice</v>
          </cell>
          <cell r="B7" t="str">
            <v>CZ/C1</v>
          </cell>
        </row>
        <row r="8">
          <cell r="A8" t="str">
            <v>Hosín</v>
          </cell>
          <cell r="B8" t="str">
            <v>CZ/C1</v>
          </cell>
        </row>
        <row r="9">
          <cell r="A9" t="str">
            <v>Jindřichův Hradec</v>
          </cell>
          <cell r="B9" t="str">
            <v>CZ/C1</v>
          </cell>
        </row>
        <row r="10">
          <cell r="A10" t="str">
            <v>Karlovy Vary</v>
          </cell>
          <cell r="B10" t="str">
            <v>CZ/C1</v>
          </cell>
        </row>
        <row r="11">
          <cell r="A11" t="str">
            <v>Karlštejn</v>
          </cell>
          <cell r="B11" t="str">
            <v>CZ/C1</v>
          </cell>
        </row>
        <row r="12">
          <cell r="A12" t="str">
            <v>Kladno</v>
          </cell>
          <cell r="B12" t="str">
            <v>CZ/C1</v>
          </cell>
        </row>
        <row r="13">
          <cell r="A13" t="str">
            <v>Klatovy</v>
          </cell>
          <cell r="B13" t="str">
            <v>CZ/C1</v>
          </cell>
        </row>
        <row r="14">
          <cell r="A14" t="str">
            <v>Kolín</v>
          </cell>
          <cell r="B14" t="str">
            <v>CZ/C1</v>
          </cell>
        </row>
        <row r="15">
          <cell r="A15" t="str">
            <v>Kralupy</v>
          </cell>
          <cell r="B15" t="str">
            <v>CZ/C1</v>
          </cell>
        </row>
        <row r="16">
          <cell r="A16" t="str">
            <v>Letkov</v>
          </cell>
          <cell r="B16" t="str">
            <v>CZ/C1</v>
          </cell>
        </row>
        <row r="17">
          <cell r="A17" t="str">
            <v>Letňany</v>
          </cell>
          <cell r="B17" t="str">
            <v>CZ/C1</v>
          </cell>
        </row>
        <row r="18">
          <cell r="A18" t="str">
            <v>Mladá Boleslav</v>
          </cell>
          <cell r="B18" t="str">
            <v>CZ/C1</v>
          </cell>
        </row>
        <row r="19">
          <cell r="A19" t="str">
            <v>Nesvačily</v>
          </cell>
          <cell r="B19" t="str">
            <v>CZ/C1</v>
          </cell>
        </row>
        <row r="20">
          <cell r="A20" t="str">
            <v>Panenský Týnec</v>
          </cell>
          <cell r="B20" t="str">
            <v>CZ/C1</v>
          </cell>
        </row>
        <row r="21">
          <cell r="A21" t="str">
            <v>Plasy</v>
          </cell>
          <cell r="B21" t="str">
            <v>CZ/C1</v>
          </cell>
        </row>
        <row r="22">
          <cell r="A22" t="str">
            <v>Plzeň Bory</v>
          </cell>
          <cell r="B22" t="str">
            <v>CZ/C1</v>
          </cell>
        </row>
        <row r="23">
          <cell r="A23" t="str">
            <v>Prachatice</v>
          </cell>
          <cell r="B23" t="str">
            <v>CZ/C1</v>
          </cell>
        </row>
        <row r="24">
          <cell r="A24" t="str">
            <v>Příbram</v>
          </cell>
          <cell r="B24" t="str">
            <v>CZ/C1</v>
          </cell>
        </row>
        <row r="25">
          <cell r="A25" t="str">
            <v>Rakovník</v>
          </cell>
          <cell r="B25" t="str">
            <v>CZ/C1</v>
          </cell>
        </row>
        <row r="26">
          <cell r="A26" t="str">
            <v>Slaný</v>
          </cell>
          <cell r="B26" t="str">
            <v>CZ/C1</v>
          </cell>
        </row>
        <row r="27">
          <cell r="A27" t="str">
            <v>Soběslav</v>
          </cell>
          <cell r="B27" t="str">
            <v>CZ/C1</v>
          </cell>
        </row>
        <row r="28">
          <cell r="A28" t="str">
            <v>Staňkov</v>
          </cell>
          <cell r="B28" t="str">
            <v>CZ/C1</v>
          </cell>
        </row>
        <row r="29">
          <cell r="A29" t="str">
            <v>Strakonice</v>
          </cell>
          <cell r="B29" t="str">
            <v>CZ/C1</v>
          </cell>
        </row>
        <row r="30">
          <cell r="A30" t="str">
            <v>Tábor</v>
          </cell>
          <cell r="B30" t="str">
            <v>CZ/C1</v>
          </cell>
        </row>
        <row r="31">
          <cell r="A31" t="str">
            <v>Tachov</v>
          </cell>
          <cell r="B31" t="str">
            <v>CZ/C1</v>
          </cell>
        </row>
        <row r="32">
          <cell r="A32" t="str">
            <v>Točná</v>
          </cell>
          <cell r="B32" t="str">
            <v>CZ/C1</v>
          </cell>
        </row>
        <row r="33">
          <cell r="A33" t="str">
            <v>Toužim</v>
          </cell>
          <cell r="B33" t="str">
            <v>CZ/C1</v>
          </cell>
        </row>
        <row r="34">
          <cell r="A34" t="str">
            <v>Vlašim</v>
          </cell>
          <cell r="B34" t="str">
            <v>CZ/C1</v>
          </cell>
        </row>
        <row r="35">
          <cell r="A35" t="str">
            <v>Zbraslavice</v>
          </cell>
          <cell r="B35" t="str">
            <v>CZ/C1</v>
          </cell>
        </row>
        <row r="36">
          <cell r="A36" t="str">
            <v>-</v>
          </cell>
          <cell r="B36" t="str">
            <v>-</v>
          </cell>
        </row>
        <row r="37">
          <cell r="A37" t="str">
            <v>Broumov</v>
          </cell>
          <cell r="B37" t="str">
            <v>CZ/C2</v>
          </cell>
        </row>
        <row r="38">
          <cell r="A38" t="str">
            <v>Česká Lípa</v>
          </cell>
          <cell r="B38" t="str">
            <v>CZ/C2</v>
          </cell>
        </row>
        <row r="39">
          <cell r="A39" t="str">
            <v>Dvůr Králové</v>
          </cell>
          <cell r="B39" t="str">
            <v>CZ/C2</v>
          </cell>
        </row>
        <row r="40">
          <cell r="A40" t="str">
            <v>Havlíčkův Brod</v>
          </cell>
          <cell r="B40" t="str">
            <v>CZ/C2</v>
          </cell>
        </row>
        <row r="41">
          <cell r="A41" t="str">
            <v>Hodkovice</v>
          </cell>
          <cell r="B41" t="str">
            <v>CZ/C2</v>
          </cell>
        </row>
        <row r="42">
          <cell r="A42" t="str">
            <v>Hořice</v>
          </cell>
          <cell r="B42" t="str">
            <v>CZ/C2</v>
          </cell>
        </row>
        <row r="43">
          <cell r="A43" t="str">
            <v>Hradčany</v>
          </cell>
          <cell r="B43" t="str">
            <v>CZ/C2</v>
          </cell>
        </row>
        <row r="44">
          <cell r="A44" t="str">
            <v>Hronov</v>
          </cell>
          <cell r="B44" t="str">
            <v>CZ/C2</v>
          </cell>
        </row>
        <row r="45">
          <cell r="A45" t="str">
            <v>Chomutov</v>
          </cell>
          <cell r="B45" t="str">
            <v>CZ/C2</v>
          </cell>
        </row>
        <row r="46">
          <cell r="A46" t="str">
            <v>Chotěboř</v>
          </cell>
          <cell r="B46" t="str">
            <v>CZ/C2</v>
          </cell>
        </row>
        <row r="47">
          <cell r="A47" t="str">
            <v>Chrudim</v>
          </cell>
          <cell r="B47" t="str">
            <v>CZ/C2</v>
          </cell>
        </row>
        <row r="48">
          <cell r="A48" t="str">
            <v>Jaroměř</v>
          </cell>
          <cell r="B48" t="str">
            <v>CZ/C2</v>
          </cell>
        </row>
        <row r="49">
          <cell r="A49" t="str">
            <v>Jičín</v>
          </cell>
          <cell r="B49" t="str">
            <v>CZ/C2</v>
          </cell>
        </row>
        <row r="50">
          <cell r="A50" t="str">
            <v>Letecká společnost na Vysočině</v>
          </cell>
          <cell r="B50" t="str">
            <v>CZ/C2</v>
          </cell>
        </row>
        <row r="51">
          <cell r="A51" t="str">
            <v>Liberec</v>
          </cell>
          <cell r="B51" t="str">
            <v>CZ/C2</v>
          </cell>
        </row>
        <row r="52">
          <cell r="A52" t="str">
            <v>Mnichovo Hradiště</v>
          </cell>
          <cell r="B52" t="str">
            <v>CZ/C2</v>
          </cell>
        </row>
        <row r="53">
          <cell r="A53" t="str">
            <v>Most</v>
          </cell>
          <cell r="B53" t="str">
            <v>CZ/C2</v>
          </cell>
        </row>
        <row r="54">
          <cell r="A54" t="str">
            <v>Náchod</v>
          </cell>
          <cell r="B54" t="str">
            <v>CZ/C2</v>
          </cell>
        </row>
        <row r="55">
          <cell r="A55" t="str">
            <v>Nové Město nad Metují</v>
          </cell>
          <cell r="B55" t="str">
            <v>CZ/C2</v>
          </cell>
        </row>
        <row r="56">
          <cell r="A56" t="str">
            <v>Pardubice</v>
          </cell>
          <cell r="B56" t="str">
            <v>CZ/C2</v>
          </cell>
        </row>
        <row r="57">
          <cell r="A57" t="str">
            <v>Podhořany</v>
          </cell>
          <cell r="B57" t="str">
            <v>CZ/C2</v>
          </cell>
        </row>
        <row r="58">
          <cell r="A58" t="str">
            <v>Polička</v>
          </cell>
          <cell r="B58" t="str">
            <v>CZ/C2</v>
          </cell>
        </row>
        <row r="59">
          <cell r="A59" t="str">
            <v>Přibyslav</v>
          </cell>
          <cell r="B59" t="str">
            <v>CZ/C2</v>
          </cell>
        </row>
        <row r="60">
          <cell r="A60" t="str">
            <v>Raná</v>
          </cell>
          <cell r="B60" t="str">
            <v>CZ/C2</v>
          </cell>
        </row>
        <row r="61">
          <cell r="A61" t="str">
            <v>Roudnice</v>
          </cell>
          <cell r="B61" t="str">
            <v>CZ/C2</v>
          </cell>
        </row>
        <row r="62">
          <cell r="A62" t="str">
            <v>Skuteč</v>
          </cell>
          <cell r="B62" t="str">
            <v>CZ/C2</v>
          </cell>
        </row>
        <row r="63">
          <cell r="A63" t="str">
            <v>Turnov</v>
          </cell>
          <cell r="B63" t="str">
            <v>CZ/C2</v>
          </cell>
        </row>
        <row r="64">
          <cell r="A64" t="str">
            <v>Ústí nad Labem</v>
          </cell>
          <cell r="B64" t="str">
            <v>CZ/C2</v>
          </cell>
        </row>
        <row r="65">
          <cell r="A65" t="str">
            <v>Ústí nad Orlicí</v>
          </cell>
          <cell r="B65" t="str">
            <v>CZ/C2</v>
          </cell>
        </row>
        <row r="66">
          <cell r="A66" t="str">
            <v>Vrchlabí</v>
          </cell>
          <cell r="B66" t="str">
            <v>CZ/C2</v>
          </cell>
        </row>
        <row r="67">
          <cell r="A67" t="str">
            <v>Vysoké Mýto</v>
          </cell>
          <cell r="B67" t="str">
            <v>CZ/C2</v>
          </cell>
        </row>
        <row r="68">
          <cell r="A68" t="str">
            <v>Žamberk</v>
          </cell>
          <cell r="B68" t="str">
            <v>CZ/C2</v>
          </cell>
        </row>
        <row r="69">
          <cell r="A69" t="str">
            <v>-</v>
          </cell>
          <cell r="B69" t="str">
            <v>-</v>
          </cell>
        </row>
        <row r="70">
          <cell r="A70" t="str">
            <v>Bohuňovice</v>
          </cell>
          <cell r="B70" t="str">
            <v>CZ/M</v>
          </cell>
        </row>
        <row r="71">
          <cell r="A71" t="str">
            <v>Břeclav</v>
          </cell>
          <cell r="B71" t="str">
            <v>CZ/M</v>
          </cell>
        </row>
        <row r="72">
          <cell r="A72" t="str">
            <v>LK Břeclav</v>
          </cell>
          <cell r="B72" t="str">
            <v>CZ/M</v>
          </cell>
        </row>
        <row r="73">
          <cell r="A73" t="str">
            <v>Frýdlant</v>
          </cell>
          <cell r="B73" t="str">
            <v>CZ/M</v>
          </cell>
        </row>
        <row r="74">
          <cell r="A74" t="str">
            <v>Hranice</v>
          </cell>
          <cell r="B74" t="str">
            <v>CZ/M</v>
          </cell>
        </row>
        <row r="75">
          <cell r="A75" t="str">
            <v>Jeseník</v>
          </cell>
          <cell r="B75" t="str">
            <v>CZ/M</v>
          </cell>
        </row>
        <row r="76">
          <cell r="A76" t="str">
            <v>Jihlava</v>
          </cell>
          <cell r="B76" t="str">
            <v>CZ/M</v>
          </cell>
        </row>
        <row r="77">
          <cell r="A77" t="str">
            <v>Krnov</v>
          </cell>
          <cell r="B77" t="str">
            <v>CZ/M</v>
          </cell>
        </row>
        <row r="78">
          <cell r="A78" t="str">
            <v>Kroměříž</v>
          </cell>
          <cell r="B78" t="str">
            <v>CZ/M</v>
          </cell>
        </row>
        <row r="79">
          <cell r="A79" t="str">
            <v>Křižanov</v>
          </cell>
          <cell r="B79" t="str">
            <v>CZ/M</v>
          </cell>
        </row>
        <row r="80">
          <cell r="A80" t="str">
            <v>Kunovice</v>
          </cell>
          <cell r="B80" t="str">
            <v>CZ/M</v>
          </cell>
        </row>
        <row r="81">
          <cell r="A81" t="str">
            <v>Kyjov</v>
          </cell>
          <cell r="B81" t="str">
            <v>CZ/M</v>
          </cell>
        </row>
        <row r="82">
          <cell r="A82" t="str">
            <v>Luhačovice</v>
          </cell>
          <cell r="B82" t="str">
            <v>CZ/M</v>
          </cell>
        </row>
        <row r="83">
          <cell r="A83" t="str">
            <v>Medlánky</v>
          </cell>
          <cell r="B83" t="str">
            <v>CZ/M</v>
          </cell>
        </row>
        <row r="84">
          <cell r="A84" t="str">
            <v>Moravská Třebová</v>
          </cell>
          <cell r="B84" t="str">
            <v>CZ/M</v>
          </cell>
        </row>
        <row r="85">
          <cell r="A85" t="str">
            <v>Olomouc</v>
          </cell>
          <cell r="B85" t="str">
            <v>CZ/M</v>
          </cell>
        </row>
        <row r="86">
          <cell r="A86" t="str">
            <v>Prostějov</v>
          </cell>
          <cell r="B86" t="str">
            <v>CZ/M</v>
          </cell>
        </row>
        <row r="87">
          <cell r="A87" t="str">
            <v>Slatina</v>
          </cell>
          <cell r="B87" t="str">
            <v>CZ/M</v>
          </cell>
        </row>
        <row r="88">
          <cell r="A88" t="str">
            <v>Slavičín</v>
          </cell>
          <cell r="B88" t="str">
            <v>CZ/M</v>
          </cell>
        </row>
        <row r="89">
          <cell r="A89" t="str">
            <v>Stichovice</v>
          </cell>
          <cell r="B89" t="str">
            <v>CZ/M</v>
          </cell>
        </row>
        <row r="90">
          <cell r="A90" t="str">
            <v>Šumperk</v>
          </cell>
          <cell r="B90" t="str">
            <v>CZ/M</v>
          </cell>
        </row>
        <row r="91">
          <cell r="A91" t="str">
            <v>Vyškov</v>
          </cell>
          <cell r="B91" t="str">
            <v>CZ/M</v>
          </cell>
        </row>
        <row r="92">
          <cell r="A92" t="str">
            <v>Zábřeh</v>
          </cell>
          <cell r="B92" t="str">
            <v>CZ/M</v>
          </cell>
        </row>
        <row r="94">
          <cell r="A94" t="str">
            <v>Aalborg</v>
          </cell>
          <cell r="B94" t="str">
            <v>DK</v>
          </cell>
        </row>
        <row r="95">
          <cell r="A95" t="str">
            <v>Air Sympatia</v>
          </cell>
          <cell r="B95" t="str">
            <v>SK</v>
          </cell>
        </row>
        <row r="96">
          <cell r="A96" t="str">
            <v>Akaflieg Dresden</v>
          </cell>
          <cell r="B96" t="str">
            <v>DE</v>
          </cell>
        </row>
        <row r="97">
          <cell r="A97" t="str">
            <v>Bad Nauheim</v>
          </cell>
          <cell r="B97" t="str">
            <v>DE</v>
          </cell>
        </row>
        <row r="98">
          <cell r="A98" t="str">
            <v>Bratislava</v>
          </cell>
          <cell r="B98" t="str">
            <v>SK</v>
          </cell>
        </row>
        <row r="99">
          <cell r="A99" t="str">
            <v>Dánsko</v>
          </cell>
          <cell r="B99" t="str">
            <v>DK</v>
          </cell>
        </row>
        <row r="100">
          <cell r="A100" t="str">
            <v>Greiz</v>
          </cell>
          <cell r="B100" t="str">
            <v>DE</v>
          </cell>
        </row>
        <row r="101">
          <cell r="A101" t="str">
            <v>Japonsko</v>
          </cell>
          <cell r="B101" t="str">
            <v>JP</v>
          </cell>
        </row>
        <row r="102">
          <cell r="A102" t="str">
            <v>Jelenia Góra</v>
          </cell>
          <cell r="B102" t="str">
            <v>PL</v>
          </cell>
        </row>
        <row r="103">
          <cell r="A103" t="str">
            <v>Martin</v>
          </cell>
          <cell r="B103" t="str">
            <v>SK</v>
          </cell>
        </row>
        <row r="104">
          <cell r="A104" t="str">
            <v>Německo</v>
          </cell>
          <cell r="B104" t="str">
            <v>DE</v>
          </cell>
        </row>
        <row r="105">
          <cell r="A105" t="str">
            <v>Nitra</v>
          </cell>
          <cell r="B105" t="str">
            <v>SK</v>
          </cell>
        </row>
        <row r="106">
          <cell r="A106" t="str">
            <v>Novo Mesto</v>
          </cell>
          <cell r="B106" t="str">
            <v>SI</v>
          </cell>
        </row>
        <row r="107">
          <cell r="A107" t="str">
            <v>Poprad</v>
          </cell>
          <cell r="B107" t="str">
            <v>SK</v>
          </cell>
        </row>
        <row r="108">
          <cell r="A108" t="str">
            <v>Prešov</v>
          </cell>
          <cell r="B108" t="str">
            <v>SK</v>
          </cell>
        </row>
        <row r="109">
          <cell r="A109" t="str">
            <v>Prievidza</v>
          </cell>
          <cell r="B109" t="str">
            <v>SK</v>
          </cell>
        </row>
        <row r="110">
          <cell r="A110" t="str">
            <v>Rakousko</v>
          </cell>
          <cell r="B110" t="str">
            <v>AT</v>
          </cell>
        </row>
        <row r="111">
          <cell r="A111" t="str">
            <v>Ružomberok</v>
          </cell>
          <cell r="B111" t="str">
            <v>SK</v>
          </cell>
        </row>
        <row r="112">
          <cell r="A112" t="str">
            <v>SGC Martin</v>
          </cell>
          <cell r="B112" t="str">
            <v>SK</v>
          </cell>
        </row>
        <row r="113">
          <cell r="A113" t="str">
            <v>Slovinsko</v>
          </cell>
          <cell r="B113" t="str">
            <v>SI</v>
          </cell>
        </row>
        <row r="114">
          <cell r="A114" t="str">
            <v>Trenčín</v>
          </cell>
          <cell r="B114" t="str">
            <v>SK</v>
          </cell>
        </row>
        <row r="115">
          <cell r="A115" t="str">
            <v>Trnava</v>
          </cell>
          <cell r="B115" t="str">
            <v>SK</v>
          </cell>
        </row>
        <row r="116">
          <cell r="A116" t="str">
            <v>Žilina</v>
          </cell>
          <cell r="B116" t="str">
            <v>SK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rastai\Downloads\Zebrik.PK.AeCR.2025.xlsm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tr Koutny" refreshedDate="46004.607449074072" createdVersion="8" refreshedVersion="8" minRefreshableVersion="3" recordCount="2826" xr:uid="{DD18EE4E-E5BC-4D7C-8100-6F1495C89F9A}">
  <cacheSource type="worksheet">
    <worksheetSource ref="A6:S10000" sheet="Data" r:id="rId2"/>
  </cacheSource>
  <cacheFields count="19">
    <cacheField name="Jméno" numFmtId="0">
      <sharedItems containsBlank="1" count="1235">
        <s v="Jaroslav Tomana"/>
        <s v="Pavel Trybenekr"/>
        <s v="Ivan Harasta 65"/>
        <s v="Lukas Kriz"/>
        <s v="Mark Travner"/>
        <s v="David Darnady"/>
        <s v="Martin Urban"/>
        <s v="Michal Lesinger"/>
        <s v="Jan Stastny"/>
        <s v="Tomas Hynek"/>
        <s v="David Sachl"/>
        <s v="Jan Smekal"/>
        <s v="Petr Havelka"/>
        <s v="Viktor Becan"/>
        <s v="Lukas Hynek"/>
        <s v="Frantisek Komarek"/>
        <s v="Martin Kriz"/>
        <s v="David Vrchota"/>
        <s v="Vaclav Sehnal"/>
        <s v="Petr Vodicka"/>
        <s v="Tomas Zamecnik"/>
        <s v="Ales Holoubek"/>
        <s v="Jan Kristof"/>
        <s v="Petr Brezina"/>
        <s v="David Popovsky"/>
        <s v="Vladimir Hammer"/>
        <s v="Jiri Hodan"/>
        <s v="Radek Krejcirik"/>
        <s v="Petr Krejcirik"/>
        <s v="Radek Kucirek"/>
        <s v="Petr Tichy"/>
        <s v="Vladimir Foltin"/>
        <s v="Ivan Novak"/>
        <s v="Ondrej Dupal"/>
        <s v="Danes Grula"/>
        <s v="Jan Boruvka"/>
        <s v="Jan Kantor"/>
        <s v="Alena Netusilova"/>
        <s v="Karel Novak"/>
        <s v="Petr Starek"/>
        <s v="Michal Posluzny"/>
        <s v="Jan Kotan"/>
        <s v="Hana Treslova"/>
        <s v="Radek Zima 78"/>
        <s v="Jan Dersak 69"/>
        <s v="Zdenek Boruvka 86"/>
        <s v="Jan Ratz"/>
        <s v="Jaroslav Potmesil"/>
        <s v="Richard Jensen"/>
        <s v="Ivo Burda"/>
        <s v="Karel Krobath"/>
        <s v="Jana Treslova"/>
        <s v="Zdenek Boruvka 54"/>
        <s v="Michaela Rendlova"/>
        <s v="Dana Novakova"/>
        <s v="Tomas Suchanek"/>
        <s v="Matous Schmidt"/>
        <s v="Pavel Svrcek"/>
        <s v="Tomas Rendla"/>
        <s v="Rostislav Stryk"/>
        <s v="Jan Mareth"/>
        <s v="Adam Sugl"/>
        <s v="Jan Sustr 76"/>
        <s v="Stepan Obrovsky"/>
        <s v="Jan Mrozek"/>
        <s v="Ludek Mikl"/>
        <s v="Jiri Koudela"/>
        <s v="Frantisek Vancura"/>
        <s v="Pavel Foldyna"/>
        <s v="Martin Suchy"/>
        <s v="Zdenek Balcarek"/>
        <s v="Michal Cechmanek"/>
        <s v="Vladimir Jirka"/>
        <s v="Lumir Motyka"/>
        <s v="Zdenek Schenk"/>
        <s v="Milos Matejka"/>
        <s v="Antonin Kutalek"/>
        <s v="Jaroslav Buryan"/>
        <s v="Pavel Handl"/>
        <s v="Roman Cerny"/>
        <s v="Josef Novotny"/>
        <s v="Jindrich Svorc"/>
        <s v="Rene Hudak"/>
        <s v="Jiri Prochazka"/>
        <s v="Josef Novak"/>
        <s v="Antonin Novotny"/>
        <s v="Martin Urner"/>
        <s v="Jan Zezula"/>
        <s v="Jan Podhrazsky"/>
        <s v="Martin Ficnar"/>
        <s v="Radim Sobek"/>
        <s v="Petr Havrlant"/>
        <s v="Martin Svarc"/>
        <s v="Karel Horalek"/>
        <s v="Jakub Kohn"/>
        <s v="Martin Hejny"/>
        <s v="Petr Lonsky"/>
        <s v="Jan Florian"/>
        <s v="Radim Tomala"/>
        <s v="Roman Schotli"/>
        <s v="Petr Masik"/>
        <s v="Jaromir Vlk"/>
        <s v="Petr Kolomaznik"/>
        <s v="Yvona Vyhnankova"/>
        <s v="Jan Sobotka"/>
        <s v="Albert Schneider"/>
        <s v="Radek Jaksa"/>
        <s v="Lukas Zach"/>
        <s v="Michal Linhart"/>
        <s v="Petr Omelka"/>
        <s v="Jiri Steiger"/>
        <s v="Radek Hybl"/>
        <s v="Jan Simon"/>
        <s v="Pavel Haluza"/>
        <s v="Olga Mokosova"/>
        <s v="Beat Albrecht"/>
        <s v="Tomas Prikryl"/>
        <s v="Miroslav Sklenar"/>
        <s v="Lukas Petrzela"/>
        <s v="Miroslav Koci"/>
        <s v="Vit Grossmann"/>
        <s v="Tomas Profeld"/>
        <s v="Vladimir Spilka"/>
        <s v="Pavel Rericha"/>
        <s v="Jan Louda"/>
        <s v="Marek Svancara"/>
        <s v="Jan Smaha"/>
        <s v="Petr Rozhon"/>
        <s v="Pavel Koudelka"/>
        <s v="Jiri Krofta"/>
        <s v="Michal Vranek"/>
        <s v="Miloslav Hulmak"/>
        <s v="Daniel Marek"/>
        <s v="Frantisek Suna"/>
        <s v="Radoslav Pur"/>
        <s v="Jiri Holcman"/>
        <s v="Petr Sochor"/>
        <s v="Jaromir Macoun"/>
        <s v="Josef Busek"/>
        <s v="Theo Manfredi"/>
        <s v="Jaromir Pauer"/>
        <s v="Michael Fik"/>
        <s v="Karel Mares"/>
        <s v="Peter Janoska"/>
        <s v="Michal Hemrle"/>
        <s v="Tomas Vaclavik"/>
        <s v="Vit Morkovsky"/>
        <s v="Alexandre Fierain"/>
        <s v="Jan Beran"/>
        <s v="Victor Mallick"/>
        <s v="Lukas Maly"/>
        <s v="Gaël Pischedda"/>
        <s v="Stepan Bartos"/>
        <s v="Stepan Filakovsky"/>
        <s v="Theo Napoleon"/>
        <s v="Matej Bartos"/>
        <s v="Vojtech Vach 03"/>
        <s v="Tibor Hezina"/>
        <s v="Katerina Vancurova"/>
        <s v="Martin Stastny"/>
        <s v="Jan Svestka"/>
        <s v="Eliska Kudejova"/>
        <s v="Tim Raasch"/>
        <s v="Fabian Curda"/>
        <s v="Adam Hepal"/>
        <s v="Vojtech Pavek"/>
        <s v="Marie Vesela"/>
        <s v="Tomas Kulhavy"/>
        <s v="Marek Kornec"/>
        <s v="Vojtech Pivonka"/>
        <s v="Filip Mrstny"/>
        <s v="Wolfgang Sluka"/>
        <s v="Jaroslav Sima"/>
        <s v="Jan Hybner"/>
        <s v="Ondrej Teichman"/>
        <s v="Martin Cicvarek"/>
        <s v="Krzysztof Pienkowski"/>
        <s v="Karel Policky"/>
        <s v="Alex Gulich"/>
        <s v="Aleksander Jedrosz"/>
        <s v="Leos Nosek"/>
        <s v="Martin Benesovsky"/>
        <s v="Ryszard Bendkowski"/>
        <s v="Jerzy Mikolajczyk"/>
        <s v="Martin Markl"/>
        <s v="Krzystof Kostka"/>
        <s v="Vladislav Cadsky"/>
        <s v="Pavel Derda"/>
        <s v="Karel Ertl"/>
        <s v="Jiri Tomicek"/>
        <s v="Radek Bares"/>
        <s v="Jan Pazour"/>
        <s v="Tomas Ditrt"/>
        <s v="Ladislav Prokes"/>
        <s v="Milan Meisner"/>
        <s v="Slavomir Tanglmajer"/>
        <s v="Jiri Veprek"/>
        <s v="Josef Plechac"/>
        <s v="Roman Jokl"/>
        <s v="Lukas Koukal"/>
        <s v="Michal Cupak"/>
        <s v="Lukas Plocek"/>
        <s v="Daniel Dvorak"/>
        <s v="Michal Drab"/>
        <s v="Jan Zanda"/>
        <s v="Jan Muknsnabl"/>
        <s v="Rudolf Jung"/>
        <s v="Martin Valenta"/>
        <s v="Martin Fric"/>
        <s v="Tomas Jung"/>
        <s v="Tomas Seifert"/>
        <s v="Jaroslav Hot"/>
        <s v="Petr Cernicky"/>
        <s v="Frantisek Brozman"/>
        <s v="Pavel Jiranek"/>
        <s v="Martin Hrivna"/>
        <s v="Jan Viskot"/>
        <s v="Petr Hotovy"/>
        <s v="Martin Zahalka"/>
        <s v="Vratislav Sram"/>
        <s v="Petr Bartak"/>
        <s v="Frantisek Myska"/>
        <s v="Petr Jiranek 91"/>
        <s v="Roman Lanzendorf"/>
        <s v="Vaclav Svoboda"/>
        <s v="Karl Schiffleithner"/>
        <s v="Jakub Hlavacek"/>
        <s v="Vit Prokop"/>
        <s v="David Zapletal"/>
        <s v="Milos Pajr"/>
        <s v="Petr Jiranek 63"/>
        <s v="Jaroslav Sefc"/>
        <s v="Roman Michalek"/>
        <s v="Frantisek Kriz"/>
        <s v="Michal Navratil"/>
        <s v="Jiri Hula"/>
        <s v="Jiri Fousek"/>
        <s v="Katerina Vojtova"/>
        <s v="Jan Hruska"/>
        <s v="Jan Hejret"/>
        <s v="Jan Sponer"/>
        <s v="Jan Platenik"/>
        <s v="Matej Krestes"/>
        <s v="Vojtech Hajek"/>
        <s v="Jan Zahradka"/>
        <s v="Martin Piskacek"/>
        <s v="Jan Pavlik"/>
        <s v="Ondrej Bordovsky"/>
        <s v="Michal Kratochvil"/>
        <s v="Jakub Malik"/>
        <s v="Petr Hofman"/>
        <s v="Lukas Capek"/>
        <s v="Vaclav Marel"/>
        <s v="Josef Kolman"/>
        <s v="Pavel Liska"/>
        <s v="Milan Svoboda 80"/>
        <s v="David Tejnora"/>
        <s v="Jiri Slemr"/>
        <s v="Radek Zima 75"/>
        <s v="Tereza Ludvikova"/>
        <s v="Lukas Hykl"/>
        <s v="Petr Styblo"/>
        <s v="Jiri Janda"/>
        <s v="David Benda"/>
        <s v="Filip Sirc"/>
        <s v="Vaclav Petru"/>
        <s v="Filip Malik"/>
        <s v="Petr Malcek"/>
        <s v="Jiri Donat"/>
        <s v="Tereza Novakova"/>
        <s v="Radek Bartos"/>
        <s v="Tomas Holenda"/>
        <s v="Ivan Kuzelka"/>
        <s v="Milos Hrabe"/>
        <s v="Milan Bado"/>
        <s v="Lubomir Doupal"/>
        <s v="Petr Babak"/>
        <s v="Marek Blatak"/>
        <s v="Ales Vyhnal"/>
        <s v="Tomas Ptacovsky"/>
        <s v="Martin Holik"/>
        <s v="Vaclav Hruza"/>
        <s v="Edmund Schuller"/>
        <s v="Petr Stepanek"/>
        <s v="Jan Kovalcik"/>
        <s v="Martin Stepanek"/>
        <s v="Pavlina Horackova"/>
        <s v="Pavel Louzecky"/>
        <s v="Miloslav Cink"/>
        <s v="Jiri Stepanek"/>
        <s v="Jan Hrbatsch"/>
        <s v="Jiri Kusbach"/>
        <s v="Lukas Benedikt"/>
        <s v="Dusan Gadas"/>
        <s v="Ferenc Tamas"/>
        <s v="Stanislaw Wujczak"/>
        <s v="Alin Simion"/>
        <s v="Marek Herbreder"/>
        <s v="Martin Sabľa"/>
        <s v="Slavomir Piskaty 84"/>
        <s v="Mariusz Rachwal"/>
        <s v="Petra Piskata"/>
        <s v="Tudor Bajenaru"/>
        <s v="Ryszard Pachla"/>
        <s v="Lukasz Florkowski"/>
        <s v="Attila Korom"/>
        <s v="Wojciech Kubiak"/>
        <s v="Peter Gonczi"/>
        <s v="Andrzej Ogonowski"/>
        <s v="Aleksandar Diklic"/>
        <s v="Christoph Matkowski"/>
        <s v="Jerzy Mikołajczyk"/>
        <s v="Peter Kassai"/>
        <s v="Sebastian Kawa"/>
        <s v="Maximilian SEIS"/>
        <s v="Barbora Moravcova"/>
        <s v="Julien Duboc"/>
        <s v="Victor-Alex POP"/>
        <s v="Aurelien Doriat"/>
        <s v="Adam Woolley"/>
        <s v="Maros Divok"/>
        <s v="Kevin Faur"/>
        <s v="Lukasz Blaszczyk"/>
        <s v="Piotr Jarysz"/>
        <s v="Adam Czeladzki"/>
        <s v="Arturas Klimasauskas"/>
        <s v="Pavel Trojan"/>
        <s v="Norbert Scarlat"/>
        <s v="Ionut Tudor"/>
        <s v="Maciej Walasek"/>
        <s v="Slavomir Valecko"/>
        <s v="Dariusz Czech"/>
        <s v="Wojciech Domanski"/>
        <s v="Joanna Biedermann"/>
        <s v="Pawel Frackowiak"/>
        <s v="Benedikt Laho"/>
        <s v="Konrad Jaczkowski"/>
        <s v="Andrzej SZCZERBA"/>
        <s v="David Mach"/>
        <s v="Karol Staryszak"/>
        <s v="Andre Weidlich"/>
        <s v="Andreas Kessler"/>
        <s v="Bernd Goretzki"/>
        <s v="Zdislaw Bednarczuk"/>
        <s v="Andy Smielkiewicz"/>
        <s v="Tomasz Dul"/>
        <s v="Arkadiusz Downar"/>
        <s v="Lukasz Kornacki"/>
        <s v="Leszek Staryszak"/>
        <s v="Petr Panek"/>
        <s v="Marek Sawczuk"/>
        <s v="Kornel NEGRO"/>
        <s v="Oliver Sven"/>
        <s v="Jan Divok"/>
        <s v="Mate Meszaros"/>
        <s v="Ľubik Jakubcak"/>
        <s v="Zsolt Osi"/>
        <s v="Janos Sindely"/>
        <s v="Kapuy &amp; Csonka"/>
        <s v="Tomasz Chudoment"/>
        <s v="Oldrich Bartonik"/>
        <s v="Andrzej Majewski"/>
        <s v="Istvan Reti"/>
        <s v="Gabriela Belakova"/>
        <s v="Jerzy Kolasinski"/>
        <s v="Arkadiusz Stefańczyk"/>
        <s v="Erazem Polutnik"/>
        <s v="Botond Szabadfi"/>
        <s v="Klaus Kalmbach"/>
        <s v="Jan Keher"/>
        <s v="Dariusz Pietraszkiewicz"/>
        <s v="Jan Granvig Dahl"/>
        <s v="Jan Horak"/>
        <s v="Milan SUROVCIK"/>
        <s v="Tibor FRATRIK"/>
        <s v="Tomas SATRAPA"/>
        <s v="Marek SEMAN"/>
        <s v="Lubomir BELUSKO"/>
        <s v="Peter GASPAROVIC"/>
        <s v="Gabor BORS"/>
        <s v="Oldrich Kounovsky"/>
        <s v="Peter SEDMAK"/>
        <s v="Albert HACKL"/>
        <s v="Martin MARINCAK"/>
        <s v="Rastislav KRAK"/>
        <s v="Peter USIAK"/>
        <s v="Peter ZIAK"/>
        <s v="Viliam KUBOVCIK"/>
        <s v="Martin FURJES"/>
        <s v="Marek STRAKA"/>
        <s v="Tibor NOGA"/>
        <s v="Branislav JESENSKY"/>
        <s v="BELIANSKY &amp; KNOSKO"/>
        <s v="Lubomir JAKUBCAK"/>
        <s v="KROMKA &amp; KOLLAR"/>
        <s v="Petr Jedlicka"/>
        <s v="Petar ABONYI"/>
        <s v="Milan LOJDL"/>
        <s v="BERKO &amp; SUBA"/>
        <s v="Ivan BAJANA"/>
        <s v="Petr Setka"/>
        <s v="Jan Paepke"/>
        <s v="Osi Zsolt"/>
        <s v="Louise Rodriguez"/>
        <s v="Michaela Krizova"/>
        <s v="Daniela Wilden"/>
        <s v="Tereza Koubkova"/>
        <s v="Carolin Rothhardt"/>
        <s v="Aude Grangeray"/>
        <s v="Elena Fergnani"/>
        <s v="Paula Drazul"/>
        <s v="Alizee Petit"/>
        <s v="Claudia Hill"/>
        <s v="Ulrike Teichmann"/>
        <s v="Alison Mulder"/>
        <s v="Sylvia Grandstaff"/>
        <s v="Kathy Fosha"/>
        <s v="Christina Solberg Hansen"/>
        <s v="Olena Yakymchuk"/>
        <s v="Carol Marshall"/>
        <s v="Valeria Caselato"/>
        <s v="Aude Untersee"/>
        <s v="Marilyne Abadie-Berard"/>
        <s v="Sabrina Vogt"/>
        <s v="Anais Gaubert"/>
        <s v="Cornelia Schaich"/>
        <s v="Lucia Esteban Loring"/>
        <s v="Francesca Roberts"/>
        <s v="Lizzy van Zomeren"/>
        <s v="Karen Wilken"/>
        <s v="Barbara Kuttel"/>
        <s v="Ilka Elster-Back"/>
        <s v="Delia Flury"/>
        <s v="Melanie Gadoulet"/>
        <s v="Anne Ducarouge"/>
        <s v="Katrin Senne"/>
        <s v="Liz Sparrow"/>
        <s v="Sandra Malzacher"/>
        <s v="Astrid Galaret"/>
        <s v="Anja Barfuss"/>
        <s v="Ayala Truelove"/>
        <s v="Maria Lisa Martin Perez"/>
        <s v="Łukasz Wójcik"/>
        <s v="Peter Millenaar"/>
        <s v="Wolfgang Janowitsch"/>
        <s v="Michael Reiner"/>
        <s v="Arne Boye-Møller"/>
        <s v="Lukasz Grabowski"/>
        <s v="Bert Schmelzer"/>
        <s v="Boris Zorz"/>
        <s v="Yves Gerster"/>
        <s v="Dennis Huybreckx"/>
        <s v="Peter Szabo"/>
        <s v="Sebastian Huhmann"/>
        <s v="Aku Jaakkola"/>
        <s v="Petr Koutny"/>
        <s v="Russell Cheetham"/>
        <s v="Gvidas Sabeckis"/>
        <s v="Steven Raimond"/>
        <s v="Werner Amann"/>
        <s v="Christoph Nacke"/>
        <s v="Alberto Pozzi"/>
        <s v="Yacine Vigourel"/>
        <s v="Giancarlo Grinza"/>
        <s v="Gary Stingemore"/>
        <s v="Peter Eriksen"/>
        <s v="Mikko Nurminen"/>
        <s v="Kato Kvitne"/>
        <s v="Viktoras Kukcikaitis"/>
        <s v="Takeshi Maruyama"/>
        <s v="Joze Verdev"/>
        <s v="Zoltan Hamar"/>
        <s v="George Schuit"/>
        <s v="Rune Hovda"/>
        <s v="Ulf Ringertz"/>
        <s v="Markus Frank"/>
        <s v="Tomasz Rubaj"/>
        <s v="Sylvain Gerbaud"/>
        <s v="Francois Jeremiasse"/>
        <s v="Oliver Binder"/>
        <s v="Andrew Davis"/>
        <s v="Tim Jenkinson"/>
        <s v="Sami Rissanen"/>
        <s v="Teet Jagomägi"/>
        <s v="Zdzisław Bednarczuk"/>
        <s v="Laszlo Kapuy"/>
        <s v="Laszlo Istvan Bano"/>
        <s v="Kettunen &amp; Sorri"/>
        <s v="Harvey &amp; Dawes"/>
        <s v="Coppin &amp; Jones"/>
        <s v="Borgmann &amp; Wolff"/>
        <s v="Muller &amp; Hörber"/>
        <s v="Gmelin &amp; Grote"/>
        <s v="Gulyas &amp; Korom"/>
        <s v="de Pechy &amp; Bouderlique"/>
        <s v="Bielen &amp; Snyers"/>
        <s v="Bjøro &amp; Bjøro"/>
        <s v="Ørskov &amp; Mix"/>
        <s v="Czeladzki &amp; Biela"/>
        <s v="Hirvola &amp; Ganszauge"/>
        <s v="Niko &amp; Bobok"/>
        <s v="Brigliadori &amp; Schiavotto"/>
        <s v="Prodorutti &amp; Montemaggi"/>
        <s v="Jørgensen &amp; Nielsen"/>
        <s v="Käppeli &amp; Hirt"/>
        <s v="Barszcz &amp; Kornacki"/>
        <s v="Kiss &amp; Rehus"/>
        <s v="Kim Toppari"/>
        <s v="Toby Freeland"/>
        <s v="Matthieu Henin"/>
        <s v="Lars van Breemen"/>
        <s v="Simon Siska"/>
        <s v="Gerrit Neugebauer"/>
        <s v="Jakub Kaczorowski"/>
        <s v="Maciej Kowalski"/>
        <s v="Johannes Beyer"/>
        <s v="Miles Chalk Kjær"/>
        <s v="Jens Andersen"/>
        <s v="Nils Heck"/>
        <s v="Alessandro Bassalti"/>
        <s v="Elias Severholt Fourati"/>
        <s v="Tim Kremers"/>
        <s v="Sara Salonen"/>
        <s v="Wout Sliedregt"/>
        <s v="Mikko Ylihärsilä"/>
        <s v="Titas Jovaisa"/>
        <s v="Wiktor Czubski"/>
        <s v="Matteo Merk"/>
        <s v="Jakob Prior"/>
        <s v="George White"/>
        <s v="Dylan Osolian"/>
        <s v="Lilla Szamosujvari"/>
        <s v="Valeria Huber"/>
        <s v="Ludvig Jauring"/>
        <s v="Guillaume Ottolini"/>
        <s v="Robbe Van Brandt"/>
        <s v="Jokubas Motuza"/>
        <s v="Oskar Minds"/>
        <s v="Lasse Edslev"/>
        <s v="Jacob Bøgelund Lassen"/>
        <s v="Niels van Nieuwland"/>
        <s v="Freddie Turner"/>
        <s v="Mathias Valentin"/>
        <s v="Clemens Berger"/>
        <s v="Ben Edkins"/>
        <s v="Philippe LATA"/>
        <s v="Wiktor Lacinski"/>
        <s v="Nuno Ferreira"/>
        <s v="Áron Érseki"/>
        <s v="Jan-Lucas Aberle"/>
        <s v="Claudio Etterli"/>
        <s v="Tomasz Kurowski"/>
        <s v="Sönke Ahlborn"/>
        <s v="Raphael Lutz"/>
        <s v="Stefan Langer"/>
        <s v="Erik Borgmann"/>
        <s v="Hermann Leucker"/>
        <s v="Tilo Holighaus"/>
        <s v="Alberto Sironi"/>
        <s v="Mike Young"/>
        <s v="Thomas Gostner"/>
        <s v="Giorgio Galetto"/>
        <s v="Gilles Navas"/>
        <s v="Dirk Windmuller"/>
        <s v="Jon Gatfield"/>
        <s v="Luka Znidarsic"/>
        <s v="Didier Hauss"/>
        <s v="Henrik Bieler"/>
        <s v="Steffen Goettler"/>
        <s v="Jeroen Verkuijl"/>
        <s v="Philip Jones"/>
        <s v="Uys Jonker"/>
        <s v="Christophe Abadie"/>
        <s v="Tobias Geiger"/>
        <s v="Francois Delfosse"/>
        <s v="Riccardo Brigliadori"/>
        <s v="Derren Francis"/>
        <s v="Andre Litt"/>
        <s v="Tim Taylor"/>
        <s v="Linas Miezlaiskis"/>
        <s v="Remy Hirt"/>
        <s v="Erkki Heinonen"/>
        <s v="Poul Larsen"/>
        <s v="Rick Indrebo"/>
        <s v="Abraham Kotze"/>
        <s v="James Nugent"/>
        <s v="Uwe Wahlig"/>
        <s v="Rasmus Orskov"/>
        <s v="Jacek Flis"/>
        <s v="Tim Milner"/>
        <s v="Roelof Corporaal"/>
        <s v="Adrien Henry"/>
        <s v="Hugo Corbille"/>
        <s v="Daniel Summers"/>
        <s v="John Roberts"/>
        <s v="Mikolaj Zdun"/>
        <s v="Mike Westbrook"/>
        <s v="Michael Mix"/>
        <s v="Michael Strathern"/>
        <s v="Istvan Balog"/>
        <s v="Szabolcs Veigli"/>
        <s v="Igor Gapanovich"/>
        <s v="Tony Condon"/>
        <s v="Guido Dalla RosaPrati"/>
        <s v="Luca Urbani"/>
        <s v="Thies Bruins"/>
        <s v="Diana Schuit"/>
        <s v="Dani Zaninovic"/>
        <s v="Frane Franic"/>
        <s v="Tom Arscott"/>
        <s v="Gregory Beecroft"/>
        <s v="Enrique Levin"/>
        <s v="Simon Schröder"/>
        <s v="Phillip Jonker"/>
        <s v="Sjaak Selen"/>
        <s v="Makoto Ichikawa"/>
        <s v="Paul Fritche"/>
        <s v="Laurence Hardman"/>
        <s v="Sarah Arnold"/>
        <s v="Bruce Taylor"/>
        <s v="Joris Vainius"/>
        <s v="Andrius Tamulenas"/>
        <s v="Tom Holloran"/>
        <s v="Eduard Supersperger"/>
        <s v="Friedrich Hofinger"/>
        <s v="Koppler &amp; Barth"/>
        <s v="Alessandro Giaiotti"/>
        <s v="Stefanie Brockelt"/>
        <s v="Ute Baranowski"/>
        <s v="Kavalic &amp; Salehar"/>
        <s v="Florian Forcher"/>
        <s v="Herwig Wagner"/>
        <s v="Philipp Wittwer"/>
        <s v="Klaus Porod"/>
        <s v="Ladislav Jozsa"/>
        <s v="Tomasz Królik"/>
        <s v="Gösta Worf"/>
        <s v="Pawel Witkowski"/>
        <s v="Heimo Demmerer"/>
        <s v="Michael Rass"/>
        <s v="Thomas Wolf"/>
        <s v="Sven Kolb"/>
        <s v="Pirker &amp; Pirker"/>
        <s v="Guido Achleitner"/>
        <s v="Bernhard Leitner"/>
        <s v="Thomas Hynek"/>
        <s v="Christoph Limpert"/>
        <s v="Reinhard Haggenmuller"/>
        <s v="Matthias Hölzl"/>
        <s v="Thomas Kruger"/>
        <s v="Michael Wolff"/>
        <s v="Krobath &amp; Sram"/>
        <s v="Volker Polhaus"/>
        <s v="Erich Niedl"/>
        <s v="Radim Hahn"/>
        <s v="Franz Salomon"/>
        <s v="Joachim Hirt"/>
        <s v="Rene Schönmann"/>
        <s v="Josef Strobl"/>
        <s v="Martin Picka"/>
        <s v="Matej Plch"/>
        <s v="Daniel Novak"/>
        <s v="Lubomir Svoboda"/>
        <s v="Petr Sindelar 80"/>
        <s v="Jan Vozeh"/>
        <s v="Vojtech Novotny"/>
        <s v="Jakub Safar"/>
        <s v="Josef Hlusek"/>
        <s v="David Kraus"/>
        <s v="Jan Kohout"/>
        <s v="Kamil Sohr"/>
        <s v="Martin Sabla"/>
        <s v="Amelie Boulanger"/>
        <s v="Louis Janzam"/>
        <s v="Frantisek Pycha"/>
        <s v="Premysl Muzik"/>
        <s v="Ales Nestrojil"/>
        <s v="Miguel Schwan"/>
        <s v="Milos Srank"/>
        <s v="Miha Berginc"/>
        <s v="Peter Pirc"/>
        <s v="Jan Krobath"/>
        <s v="Leos Strnadek"/>
        <s v="Jaromir Jedlicka"/>
        <s v="Petra Ctibor"/>
        <s v="Nicolas Caudrelier"/>
        <s v="George Downing"/>
        <s v="Jan Vavrin"/>
        <s v="Eldrine Marque"/>
        <s v="Neil McLaughlin"/>
        <s v="Karel Benisek 76"/>
        <s v="Radovan Otto"/>
        <s v="Anna Piotrowska"/>
        <s v="Michal Kares"/>
        <s v="Jiri Maier 66"/>
        <s v="Stanislav Poslusny"/>
        <s v="Vaclav Zak"/>
        <s v="David Riha"/>
        <s v="Michal Fortik"/>
        <s v="Petr Weinhauer"/>
        <s v="Eva Klapkova"/>
        <s v="Daniel Devecka"/>
        <s v="Pavel Svetlik"/>
        <s v="Zdenek Buben"/>
        <s v="Ondrej Dvorak 87"/>
        <s v="Vit Tvrdik"/>
        <s v="Agathe Moro"/>
        <s v="Ivan Morkovsky"/>
        <s v="Marek Novotny"/>
        <s v="Martin Neuvirt"/>
        <s v="Michal Prochazka"/>
        <s v="Ondrej Hurina"/>
        <s v="Petr Hosek"/>
        <s v="Vit Pavelka"/>
        <s v="Jiri Maier 99"/>
        <s v="Filip Riabec"/>
        <s v="Vojtech Bystricky"/>
        <s v="Jan Hlavacek 04"/>
        <s v="Jan Matejovsky"/>
        <s v="Zdenek Mach"/>
        <s v="Jiri Pelucha"/>
        <s v="Daniel Suchy"/>
        <s v="Milos Dedera"/>
        <s v="Jiri Vondracek"/>
        <s v="Tomas Talanda"/>
        <s v="Jiri Cincera"/>
        <s v="Jan Vacik"/>
        <s v="Miroslav Odlozilik"/>
        <s v="Lubomir Motl"/>
        <s v="Gerald Moser-Furst"/>
        <s v="Anna Lanzendorfova"/>
        <s v="Jiri Pajer"/>
        <s v="Daniel Ryba"/>
        <s v="Jan Gohl"/>
        <s v="Krzysztof Kostka"/>
        <s v="Leszek Karczewski"/>
        <s v="Stanislaw Buchman"/>
        <s v="Romuald Dorofiejczyk"/>
        <s v="Milan Dvorak"/>
        <s v="Tomas Bobok"/>
        <s v="Eduard Niko"/>
        <s v="Milos Mach"/>
        <s v="Juraj Dudas"/>
        <s v="Petr Benes"/>
        <s v="Frantisek Filandr"/>
        <s v="Dalibor Pek"/>
        <s v="Adam Laburda"/>
        <s v="Vojtech Kostejn"/>
        <s v="Tomas Novak"/>
        <s v="Tomas Mezera"/>
        <s v="Rostislav Fric"/>
        <s v="Jana Mezerova"/>
        <s v="Sarka Lochova"/>
        <s v="Pavel Melichar"/>
        <s v="Petr Rygl"/>
        <s v="Petr Tax"/>
        <s v="Jan Sobek"/>
        <s v="Radek Tobolka"/>
        <s v="Dusan Patocka"/>
        <s v="Ondrej Stepan"/>
        <s v="Martin Stransky"/>
        <s v="Boris Guic"/>
        <s v="Jan Karas"/>
        <s v="Jiri Pixa"/>
        <s v="Ondrej Dostal"/>
        <s v="Pavel Schejbal"/>
        <s v="Jakub KmoSek"/>
        <s v="Jan Hlavacek 65"/>
        <s v="Miroslav Macik"/>
        <s v="Jan Konecny"/>
        <s v="Josef Beran"/>
        <s v="Lubomir Mekota"/>
        <s v="Jan Heroudek"/>
        <s v="Roman Bradac"/>
        <s v="Karel Mrazek"/>
        <s v="Tapio Tourula"/>
        <s v="Ringaudas Kikalas"/>
        <s v="Gyorgy Gulyas"/>
        <s v="Josef Kozar"/>
        <s v="James Ewence"/>
        <s v="Marcus Dawert"/>
        <s v="Uwe Melzer"/>
        <s v="Lapo Alessandro Busi"/>
        <s v="Uffe Edslev"/>
        <s v="Simon Gantner"/>
        <s v="Christer Mjøs"/>
        <s v="Robert Alin Simion"/>
        <s v="Giacomo Dall'Olio"/>
        <s v="Yves Muller"/>
        <s v="Nicolas Bernhard"/>
        <s v="Alexandre Melot"/>
        <s v="Alex Pop"/>
        <s v="Felipe Cvitanich"/>
        <s v="Sondre Bjøro"/>
        <s v="Jelle Vandebeeck"/>
        <s v="Jaume Prats"/>
        <s v="Samuel Richardson"/>
        <s v="Robin Sittmann"/>
        <s v="Henry Inigo-Jones"/>
        <s v="Simon Briel"/>
        <s v="Robin Smit"/>
        <s v="Jeroen Jennen"/>
        <s v="Jan-Ola Nordh"/>
        <s v="Frank Hiemstra"/>
        <s v="Antti Koskiniemi"/>
        <s v="Davide Giovanelli"/>
        <s v="Geza Toth"/>
        <s v="Jef Kell"/>
        <s v="Erik Døssing"/>
        <s v="Grozdan Meglaj"/>
        <s v="Lorenzo Monti"/>
        <s v="Pawel Wojciechowski"/>
        <s v="Marius Pluscauskas"/>
        <s v="Stephan Grunder"/>
        <s v="Filip Bojanowski"/>
        <s v="Marc Schick"/>
        <s v="Owen McCormack"/>
        <s v="Thomas Leduc"/>
        <s v="Rasmus Ørskov"/>
        <s v="Sikko Vermeer"/>
        <s v="Tamas Vamosi"/>
        <s v="Lorenzo Fornari"/>
        <s v="Vladas Motuza"/>
        <s v="Eric Garnier"/>
        <s v="Daan Spruyt"/>
        <s v="Elek Czigler"/>
        <s v="Paul Bernhard"/>
        <s v="Mark Käppeli"/>
        <s v="Peter Cutting"/>
        <s v="Martin Krizovic"/>
        <s v="Jakub Sachl"/>
        <s v="Jiri Bergman"/>
        <s v="Jiri Bartunek"/>
        <s v="Jan Zapletal"/>
        <s v="Martin Soucek"/>
        <s v="Libor Bednarik"/>
        <s v="Martijn Eerdekens"/>
        <s v="Nils Zitzelsberger"/>
        <s v="Jokūbas Motūza"/>
        <s v="Andrea Paganin"/>
        <s v="Clement de Pechy"/>
        <s v="Florian Kraja"/>
        <s v="Moriz Urwyler"/>
        <s v="David Neumann"/>
        <s v="Michał Okoń"/>
        <s v="Jakob Schreiber"/>
        <s v="Mike Tiffin"/>
        <s v="Kengo Matsumoto"/>
        <s v="Terje Lindtveit"/>
        <s v="Jacob Barnes jr."/>
        <s v="Matthias Feitzinger"/>
        <s v="David McMaster"/>
        <s v="Steven Tellmann"/>
        <s v="Eirik Brenner Marthins"/>
        <s v="Gionata Donati"/>
        <s v="Austėja Urbanaviciūtė"/>
        <s v="Frida Bjørø"/>
        <s v="Ghazi Satriando Humaid Junior"/>
        <s v="Max Maslak"/>
        <s v="Thomas Greenhill"/>
        <s v="Nils Schlautmann"/>
        <s v="Jan Schulz"/>
        <s v="Jasper Jansen"/>
        <s v="Lucas Oyaux"/>
        <s v="Henry Richard Daly"/>
        <s v="Noud Kaaij"/>
        <s v="Oliver Ramsay"/>
        <s v="Wiktor Łaciński"/>
        <s v="Raphael Gramer"/>
        <s v="Pavol Klein"/>
        <s v="Martin Snirc"/>
        <s v="Pawel Glowacki"/>
        <s v="Juraj Sidor"/>
        <s v="Filip Pechac"/>
        <s v="Jozef Duc"/>
        <s v="Marek Pechanec"/>
        <s v="Jernej Lokovsek"/>
        <s v="Bogdan Dorozko"/>
        <s v="Matsumoto &amp; Hupka"/>
        <s v="Werner Danz"/>
        <s v="Szabo &amp; Szabo"/>
        <s v="Milan Surovcik Jr."/>
        <s v="Daniel Smolka"/>
        <s v="Jozef Kozar"/>
        <s v="Jakub Kos"/>
        <s v="Oskar Glegola"/>
        <s v="Julia Walowska"/>
        <s v="Filip Durda"/>
        <s v="Michal Okon"/>
        <s v="Peter Ronai"/>
        <s v="Aneta Chabora"/>
        <s v="Gabor Erseki"/>
        <s v="Antonio Rudolf Kalik"/>
        <s v="Michaela Soltysova"/>
        <s v="Adam Sabla"/>
        <s v="Lukas Kostovcik"/>
        <s v="Pavol Cerny"/>
        <s v="Kovalcik &amp; Manka"/>
        <s v="Roman Petro"/>
        <s v="Lubik Jakubcak"/>
        <s v="Mathias Muench"/>
        <s v="Miroslav Puffler"/>
        <s v="Peter Pokorny"/>
        <s v="Peter Abonyi"/>
        <s v="Anton Zelenaj"/>
        <s v="Divok &amp; Divokova"/>
        <s v="Jakubcak &amp; Kollarova"/>
        <s v="Kovalcik &amp; Varsik"/>
        <s v="Kollar &amp; Kromka"/>
        <s v="Viktoria Divokova"/>
        <s v="Mayr &amp; Seischab"/>
        <s v="Trapp &amp; Reiß"/>
        <s v="Arne Kerlin"/>
        <s v="Hezel &amp; Hezel"/>
        <s v="Wagner &amp; Muller"/>
        <s v="Pfennig &amp; Klossok"/>
        <s v="Sommer &amp; Zettier"/>
        <s v="Stahf &amp; Stahf"/>
        <s v="Bick &amp; Danders"/>
        <s v="Dengel &amp; Dengel"/>
        <s v="Frank Fröhlich"/>
        <s v="Dellinger &amp; Dellinger"/>
        <s v="Meinecke &amp; Nitt"/>
        <s v="Hafner &amp; Pawel"/>
        <s v="Leismann &amp; Ditzel"/>
        <s v="Bornfleth &amp; Bornfleth"/>
        <s v="Wroblewski &amp; Walter"/>
        <s v="Buhlmann &amp; Stewing"/>
        <s v="Horn &amp; Holighaus"/>
        <s v="Altmann &amp; Freiheit"/>
        <s v="Schreyer &amp; Samson"/>
        <s v="Meyer &amp; Labusga"/>
        <s v="Dennis Dost"/>
        <s v="Habertag &amp; Gottscheck"/>
        <s v="Köster &amp; Depil"/>
        <s v="Schneider &amp; Reinshagen"/>
        <s v="Kai Lindenberg"/>
        <s v="Bouderlique &amp; de Pechy"/>
        <s v="Sommer &amp; Gall"/>
        <s v="Hillebrand &amp; Kopsieker"/>
        <s v="Schramme &amp; Schramme"/>
        <s v="Huhmann &amp; Kharadi"/>
        <s v="Dierschke &amp; Ferreira"/>
        <s v="Delfosse &amp; De Broqueville"/>
        <s v="Jones &amp; Coppin"/>
        <s v="Lutz &amp; Janowitsch"/>
        <s v="Christiaan Bielen"/>
        <s v="Laurenz Theisinger"/>
        <s v="Martin Theisinger"/>
        <s v="Steffen Clement"/>
        <s v="Tim Schneider"/>
        <s v="Elias Weber"/>
        <s v="Krauss &amp; Schweizer"/>
        <s v="Puttmann &amp; Hauser"/>
        <s v="Bernhard &amp; Nicolas"/>
        <s v="Matthew Scutter"/>
        <s v="JD Barrois"/>
        <s v="Arne J Boye-Møller"/>
        <s v="Sean Fidler"/>
        <s v="Ian MacArthur"/>
        <s v="Lumpy Paterson"/>
        <s v="Manu Litt"/>
        <s v="Peter Harvey"/>
        <s v="Jerzy Szemplinski"/>
        <s v="Stefano Ghiorzo"/>
        <s v="Dawid Pretorius"/>
        <s v="Sergei Morozov"/>
        <s v="Sean Murphy"/>
        <s v="Lukasz Wojcik"/>
        <s v="Jan Hasslid"/>
        <s v="Werner Ruegger"/>
        <s v="Renato Stefanuto"/>
        <s v="Arnold &amp; Striedieck"/>
        <s v="Rubaj &amp; Matkowski"/>
        <s v="Woolley &amp; Gateley"/>
        <s v="Borgmann &amp; Van Houweninge"/>
        <s v="Theisinger &amp; Frey"/>
        <s v="Pulkkinen &amp; Teronen"/>
        <s v="Negro &amp; Bano"/>
        <s v="Brunazzo &amp; Acquaderni"/>
        <s v="Denner &amp; Coetzee"/>
        <s v="Essex &amp; Rossi"/>
        <s v="Felipe Levin"/>
        <s v="Michael Sommer"/>
        <s v="Laurent Aboulin"/>
        <s v="François Jeremiasse"/>
        <s v="Jim Lee"/>
        <s v="Attie Jonker"/>
        <s v="Zoran Frenc"/>
        <s v="Oscar Goudriaan"/>
        <s v="Bas Seijffert"/>
        <s v="Keith Baugh"/>
        <s v="Geoffrey (Geoff) Brown"/>
        <s v="Claudio Schmidt"/>
        <s v="Darius Gudziunas"/>
        <s v="Daniel Eliott"/>
        <s v="Edita Skalskiene"/>
        <s v="Austeja Urbanaviciute"/>
        <s v="Carlos Iucci"/>
        <s v="Balazs Endrodi"/>
        <s v="Louis Bouderlique"/>
        <s v="Klara Teichmannova"/>
        <s v="Melanie Desbois Gadoulet"/>
        <s v="Martin Viteznik"/>
        <s v="Jakubcak Kutlak"/>
        <s v="Peter Kaspar"/>
        <s v="Jakub Vlk"/>
        <s v="Milan Minarik"/>
        <s v="Vladislav Panek"/>
        <s v="Dominik Jancik"/>
        <s v="Peter Skrabalek"/>
        <s v="Dalibor Bucha"/>
        <s v="Radim Zielinski"/>
        <s v="Pavel Zakravsky"/>
        <s v="Timothy Fletcher"/>
        <s v="Karolis Mikalauskas"/>
        <s v="Jeroen van Dijk"/>
        <s v="Felipe Girado"/>
        <s v="Thomas De Bruyn"/>
        <s v="Javier Gaude"/>
        <s v="Jeremy Hood"/>
        <s v="Jakub Barszcz"/>
        <s v="Kristian Roine"/>
        <s v="Philipp Lauer"/>
        <s v="Robin Selfslagh"/>
        <s v="Max Lukas Maslak"/>
        <s v="Robbie Seton"/>
        <s v="Jan Kretzschmar"/>
        <s v="Hadriaan van Nes"/>
        <s v="Anton Minskiy"/>
        <s v="Allan Barnes"/>
        <s v="Dino German Ghioni"/>
        <s v="Howard Jones"/>
        <s v="Bruno Quinteros"/>
        <s v="Raphael Luski"/>
        <s v="Leigh Wells"/>
        <s v="Jean-Denis Barrois"/>
        <s v="Henrique Navarro"/>
        <s v="Michael Sorenson"/>
        <s v="Steffen Schwarzer"/>
        <s v="Lucas Goldenzweig"/>
        <s v="A. M. Litt"/>
        <s v="Damian Goldenzweig"/>
        <s v="Jared Granzow"/>
        <s v="Lucio Bordin"/>
        <s v="Roberto Pinato"/>
        <s v="Henrik A. Breidahl"/>
        <s v="Gustavo Shigueno"/>
        <s v="Jonathan Sverre Bulow-Olsen"/>
        <s v="David Jansen"/>
        <s v="Lukas Volek"/>
        <s v="Andrzej Sznajder"/>
        <s v="Francziszek Mazur"/>
        <s v="Adela Vachova"/>
        <s v="Marek Hlavaty"/>
        <s v="Piotr Lobozewicz"/>
        <s v="Oskar Wengrzyn"/>
        <s v="Josef Kreutzer"/>
        <s v="Jakub Jezek"/>
        <s v="Lubos Muknsnabl"/>
        <s v="Jaroslav Koudelka 95"/>
        <s v="Lukas Kotek"/>
        <s v="Martin Marek"/>
        <s v="Ales Valenta"/>
        <s v="Benedikt &amp; Kubovciik"/>
        <s v="Ronald E. Sanders"/>
        <s v="Petr Herold"/>
        <s v="Stanislav Vrabec"/>
        <s v="Miroslav Kus"/>
        <s v="Jan Hirs"/>
        <s v="Ales Sokolik"/>
        <s v="Bohus Marcinik"/>
        <s v="Matyas John"/>
        <s v="Zdenek Votava"/>
        <s v="Viktorie Kusa"/>
        <s v="David Brunclik"/>
        <s v="Daniel Sirmer"/>
        <s v="Zuzana Novakova"/>
        <s v="Judit Murati"/>
        <s v="Jane Nash"/>
        <s v="Anne Soltow"/>
        <s v="Mulder Alison"/>
        <s v="Karin Lindgren"/>
        <s v="Anaïs Gaubert"/>
        <s v="Rositsa Ivanova"/>
        <s v="Judyta Czyz"/>
        <s v="Melanie Desbois-Gadoulet"/>
        <s v="Kinga Tchorz"/>
        <s v="Christine Grote"/>
        <s v="Jan McCoshim"/>
        <s v="Sophie Curio"/>
        <s v="Jana Konitzer"/>
        <s v="Anja Barfuß"/>
        <s v="Oldrich Slavicek"/>
        <s v="Miroslav Burdych"/>
        <s v="Michal Janda"/>
        <s v="Miroslav Stepan"/>
        <s v="Jiri Vojta"/>
        <s v="Miroslav Mitrus"/>
        <s v="Tomas Meier"/>
        <s v="Michal Nutil"/>
        <s v="Petr Vezda"/>
        <s v="Oldrich Hlavacek"/>
        <s v="Miroslav Major"/>
        <s v="Petr Seibrt"/>
        <s v="Timo Jakl"/>
        <s v="Michal Maly"/>
        <s v="Vaclav Kult"/>
        <s v="Milos Nyvlt"/>
        <s v="Martin Koci"/>
        <s v="Petr Fisar"/>
        <s v="Pilotky z UO/ G.Jakl"/>
        <s v="Antonin Klika"/>
        <s v="Miloslav Cindr"/>
        <s v="Pavel Mracek"/>
        <s v="Petr Houstek 79"/>
        <s v="Tomas Knoz"/>
        <s v="Vladimir Abraham"/>
        <s v="Michal Ondracek"/>
        <s v="Jiri Lenik"/>
        <s v="Krystof Mimra"/>
        <s v="Karel Lang"/>
        <s v="Zbynek Bican"/>
        <s v="Karol Muller"/>
        <s v="Vytautas Rasimavicius"/>
        <s v="Georg Downing"/>
        <s v="Lilian Fröhlich"/>
        <s v="Vytautas Maciulis"/>
        <s v="Antoni Zawirski"/>
        <s v="Karol Pawlicki"/>
        <s v="Nicolas Douchet"/>
        <s v="Tomasz Bajkowski"/>
        <s v="Gonczi &amp; Ujhelyi"/>
        <s v="Piotr Ligwinski"/>
        <s v="Marcin Bernaszuk"/>
        <s v="Czeladzki &amp; Czerwinski"/>
        <s v="Marius Stelzer"/>
        <s v="Björn Gintzel"/>
        <s v="Grabowski &amp; Czyz"/>
        <s v="Jan Knischewski"/>
        <s v="Marek Niewiadomy"/>
        <s v="Beneditk Weagele"/>
        <s v="David-Matthäus Dill"/>
        <s v="Niko &amp; Kardosova"/>
        <s v="Oscar Butlin"/>
        <s v="Robert Toth"/>
        <s v="Noah Lichter"/>
        <s v="Stanislaw Biela"/>
        <s v="Andrzej Smielkiewicz"/>
        <s v="Kessler &amp; Fernanda"/>
        <s v="Nuutti Kankare"/>
        <s v="Centka &amp; Chudoment"/>
        <s v="Lan Lokovsek"/>
        <s v="Kamil Wojcik"/>
        <s v="Wojciech Kos"/>
        <s v="Andras Bodzsar"/>
        <s v="Christophe Delort d'Exea"/>
        <s v="Arkadiusz Stefanczyk"/>
        <s v="Jan Wojewoda"/>
        <s v="Radoslaw Nogal"/>
        <s v="Jakub Piasecki"/>
        <s v="Piotr Cioch"/>
        <s v="Samuel Rybar"/>
        <s v="Jan Simko"/>
        <s v="Matus Krasula"/>
        <s v="Beliansky &amp; Karolyiova"/>
        <s v="Petro &amp; Snirc"/>
        <s v="Hackl &amp; Suranyi"/>
        <s v="Peter Varsik"/>
        <s v="Ivan Chabada"/>
        <s v="Karol Jan Muller"/>
        <s v="John Bartels"/>
        <s v="Lilian Mathilda Fröhlich"/>
        <s v="Markus Uhlig"/>
        <s v="Miha Premrl"/>
        <s v="Ulrich Luta"/>
        <s v="Maximilian Goormann"/>
        <s v="Felix Kries"/>
        <s v="Benedikt Waegele"/>
        <s v="Schwan &amp; Janowitsch"/>
        <s v="Dierschke &amp; Lippert"/>
        <s v="Benoist &amp; Triebel"/>
        <s v="Ferreira &amp; Lubstorf"/>
        <s v="Reineke &amp; Fecker"/>
        <s v="Uros Krasovic"/>
        <s v="Jens Kammerer"/>
        <s v="Geza Molnar"/>
        <s v="Nikolai Pontoppidan"/>
        <s v="Barna Hadi"/>
        <s v="Roland Veronyak"/>
        <s v="Jules Mathay"/>
        <s v="Frida Bjoro"/>
        <s v="Manon Kuttel"/>
        <s v="Paul Schwarz"/>
        <s v="Patrick Benoist"/>
        <s v="François-Xavier Poisson"/>
        <s v="Enguerrand Virol"/>
        <s v="Matthew Davis"/>
        <s v="Matthias Sturm"/>
        <s v="Arne J. Boye-Møller"/>
        <s v="Jurg Haas"/>
        <s v="Thomas Dantoft"/>
        <s v="Markus Ganev"/>
        <s v="Luca Castelli"/>
        <s v="Ronny Eriksson"/>
        <s v="Oscar Marques"/>
        <s v="Mauro Brunazzo"/>
        <s v="Andy Davis"/>
        <s v="Bence Bodis"/>
        <s v="Kawa &amp; Matkowski"/>
        <s v="Janowitsch &amp; Lutz"/>
        <s v="Biela &amp; Czeladzki"/>
        <s v="Hartmann &amp; Starkl"/>
        <s v="de Pechy &amp; Peronnet"/>
        <s v="Harvey &amp; Pentecost"/>
        <s v="Kassai &amp; Meszaros"/>
        <s v="Hillebrand &amp; Meyer"/>
        <s v="Akkermans &amp; Gernaey"/>
        <s v="Svobodny &amp; Doriat"/>
        <s v="Costa &amp; Etalle"/>
        <s v="Cronjaeger &amp; Halter"/>
        <s v="Sibanc &amp; Travner"/>
        <s v="Weber &amp; Tóth"/>
        <s v="Znidarsic &amp; Lokovsek"/>
        <s v="Jakubcak &amp; Sulirova"/>
        <s v="Kovalcik &amp; Schuller"/>
        <s v="Dalibor Daricek"/>
        <s v="Robin Stichenwirth"/>
        <s v="Markus Zingerle"/>
        <s v="Jan Manhal"/>
        <s v="Tomas Wodeckij"/>
        <s v="Jaroslav Simek"/>
        <s v="Jaroslav Dvorak"/>
        <s v="Lubos Stiburek"/>
        <m/>
      </sharedItems>
    </cacheField>
    <cacheField name="Rok narození" numFmtId="0">
      <sharedItems containsString="0" containsBlank="1" containsNumber="1" containsInteger="1" minValue="0" maxValue="2008" count="66">
        <n v="1975"/>
        <n v="1990"/>
        <n v="1965"/>
        <n v="2003"/>
        <m/>
        <n v="1971"/>
        <n v="1966"/>
        <n v="2002"/>
        <n v="1978"/>
        <n v="1976"/>
        <n v="1997"/>
        <n v="1979"/>
        <n v="1985"/>
        <n v="1968"/>
        <n v="1962"/>
        <n v="1988"/>
        <n v="1963"/>
        <n v="2000"/>
        <n v="1959"/>
        <n v="1991"/>
        <n v="1960"/>
        <n v="1973"/>
        <n v="1961"/>
        <n v="1984"/>
        <n v="1983"/>
        <n v="1970"/>
        <n v="1993"/>
        <n v="1974"/>
        <n v="1982"/>
        <n v="1969"/>
        <n v="1986"/>
        <n v="1987"/>
        <n v="1964"/>
        <n v="1954"/>
        <n v="2004"/>
        <n v="1981"/>
        <n v="1972"/>
        <n v="1967"/>
        <n v="1955"/>
        <n v="1956"/>
        <n v="1943"/>
        <n v="1953"/>
        <n v="1977"/>
        <n v="1992"/>
        <n v="2001"/>
        <n v="1980"/>
        <n v="1940"/>
        <n v="1958"/>
        <n v="1999"/>
        <n v="1998"/>
        <n v="2005"/>
        <n v="2006"/>
        <n v="1957"/>
        <n v="1942"/>
        <n v="1950"/>
        <n v="1952"/>
        <n v="1939"/>
        <n v="1947"/>
        <n v="1995"/>
        <n v="1945"/>
        <n v="1989"/>
        <n v="1994"/>
        <n v="2008"/>
        <n v="0"/>
        <n v="1900"/>
        <n v="2007"/>
      </sharedItems>
    </cacheField>
    <cacheField name="M/F" numFmtId="0">
      <sharedItems containsBlank="1" count="4">
        <s v="M"/>
        <m/>
        <s v="F"/>
        <e v="#N/A" u="1"/>
      </sharedItems>
    </cacheField>
    <cacheField name="Aeroklub" numFmtId="0">
      <sharedItems containsBlank="1" containsMixedTypes="1" containsNumber="1" containsInteger="1" minValue="0" maxValue="0" count="336">
        <s v="Zbraslavice"/>
        <s v="Hořice"/>
        <s v="Toužim"/>
        <s v="Křižanov"/>
        <s v="Aeroklub Celje"/>
        <s v="SGC Martin"/>
        <s v="Frýdlant"/>
        <s v="Moravská Třebová"/>
        <s v="Medlánky"/>
        <s v="Dvůr Králové"/>
        <s v="Kralupy"/>
        <s v="ALC Lesce"/>
        <s v="Přibyslav"/>
        <s v="Jaroměř"/>
        <s v="Kolín"/>
        <s v="Jičín"/>
        <s v="Rakovník"/>
        <s v="Letkov"/>
        <s v="Hranice"/>
        <s v="Havlíčkův Brod"/>
        <s v="Nitra SK"/>
        <s v="Mladá Boleslav"/>
        <s v="GAC Benešov"/>
        <s v="Letňany"/>
        <s v="Raná"/>
        <s v="Hodkovice"/>
        <s v="FRA"/>
        <s v="Vyškov"/>
        <s v="Šumperk"/>
        <s v="Kroměříž"/>
        <s v="Zábřeh"/>
        <s v="Beroun"/>
        <s v="Kunovice"/>
        <s v="Luhačovice"/>
        <s v="Olomouc"/>
        <s v="Prostějov"/>
        <s v="Jihlava"/>
        <s v="Žamberk"/>
        <s v="Česká Lípa"/>
        <s v="Hosín"/>
        <s v="Association Aéronautique du Val d\'Oise"/>
        <s v="Strakonice"/>
        <s v="Slaný"/>
        <s v="Nitra"/>
        <s v="Polička"/>
        <s v="Abbeville"/>
        <s v="Kladno"/>
        <s v="Sarreguemines"/>
        <s v="Vysoké Mýto"/>
        <s v="Vinon"/>
        <s v="AVCASA"/>
        <s v="Vrchlabí"/>
        <s v="Staňkov"/>
        <s v="Liberec"/>
        <s v="Chomutov"/>
        <m/>
        <s v="LK Břeclav"/>
        <s v="Podhořany"/>
        <s v="Hronov"/>
        <s v="Tachov"/>
        <s v="Břeclav"/>
        <s v="Broumov"/>
        <s v="Most"/>
        <s v="SFC Tulln"/>
        <s v="Tábor"/>
        <s v="Krnov"/>
        <s v="Roudnice"/>
        <s v="Chrudim"/>
        <s v="Lucenec"/>
        <s v="Bratislava"/>
        <s v="AK Trnava"/>
        <s v="DAC 1930 (Szeged)"/>
        <s v="LESCZYNSKI AEROKLUB"/>
        <s v="Romanian Airclub"/>
        <s v="Aeroklub Warszawski\Szybowcowy Szczecin"/>
        <s v="SNV"/>
        <s v="Ziemi Zamojskiej"/>
        <s v="Aeroclubul Romaniei"/>
        <s v="Czestochowski"/>
        <s v="Ostrowski"/>
        <s v="HUN"/>
        <s v="Aeroklub Krakowski"/>
        <s v="Malév"/>
        <s v="Aeroclub Nadwislanski"/>
        <s v="Zrenjanin"/>
        <s v="Gliwice"/>
        <s v="AZM"/>
        <s v="Warszawa"/>
        <s v="Bialsko Biala"/>
        <s v="Polé France/AAA Bordeaux / AAVA Vinon sur Verdon"/>
        <s v="Polé France,TGV Condom"/>
        <s v="ACP Poitiers"/>
        <s v="Kingaroy Soaring Club"/>
        <s v="Spišská Nová Ves"/>
        <s v="Aeroclub de l\'Ariege"/>
        <s v="Ostrow"/>
        <s v="Aeroklub Leszczyński"/>
        <s v="Warszawski"/>
        <s v="Pociunai"/>
        <s v="AAVO Chérence"/>
        <s v="Stalowowolski"/>
        <s v="PL/KSS/Nowy Targ"/>
        <s v="Aeroklub Poznanski"/>
        <s v="Trnava"/>
        <s v="Nadwislamski"/>
        <s v="LSV Ruhr-Lenne Iserlohn"/>
        <s v="LSV Rinteln"/>
        <s v="Bielsko-Biala"/>
        <s v="Leszno"/>
        <s v="LSV Dinslaken"/>
        <s v="Warminsko Mazurski"/>
        <s v="Aeroklub Ziemi Mazowieckiej"/>
        <s v="Aeroklub Warszawski"/>
        <s v="Alföldi Repülőklub"/>
        <s v="Cape Gliding Club"/>
        <s v="Aero Club Szolnok, Hungary"/>
        <s v="G6AX,ACFH"/>
        <s v="Alfoldi Repülőklub"/>
        <s v="WARMIŃSKO-MAZURSKI"/>
        <s v="Prievidza"/>
        <s v="Poznań/KKGT"/>
        <s v="Aeroklub Kielecki/SGT"/>
        <s v="Aeroclub Celje"/>
        <s v="ARK"/>
        <s v="FSV Tübingen e.V."/>
        <s v="Szczecin Szybovcovy"/>
        <s v="MSF"/>
        <s v="AK LUCENEC"/>
        <s v="AK ZILINA"/>
        <s v="AK BRATISLAVA"/>
        <s v="AK PRESOV"/>
        <s v="AK OPITZ NANDOR REPULOKLUB"/>
        <s v="AK MARTIN"/>
        <s v="AK POPRAD"/>
        <s v="AK BANSKA BYSTRICA"/>
        <s v="AK DUBNICA NAD VAHOM"/>
        <s v="SGC MARTIN ZEMEPAN"/>
        <s v="AK RUZOMBEROK"/>
        <s v="AK SPISSKA NOVA VES"/>
        <s v="Magyarország Alfoldi"/>
        <s v="Dubnica"/>
        <s v="SFC Riesa-Canitz e.V. / Prievidza"/>
        <s v="Magyarország ACFH"/>
        <s v="SNA"/>
        <s v="Aeroklub Prievidza"/>
        <s v="Aeroklub Martin"/>
        <s v="Poprad"/>
        <s v="France"/>
        <s v="Germany"/>
        <s v="Italy"/>
        <s v="Argentina"/>
        <s v="United Kingdom"/>
        <s v="United States of America"/>
        <s v="Denmark"/>
        <s v="Ukraine"/>
        <s v="Brazil"/>
        <s v="Spain"/>
        <s v="Netherlands"/>
        <s v="Poland"/>
        <s v="Switzerland"/>
        <s v="Finland"/>
        <s v="Slovakia"/>
        <s v="Sweden"/>
        <s v="Lithuania"/>
        <s v="Austria"/>
        <s v="Hungary"/>
        <s v="Belgium"/>
        <s v="Great Britain"/>
        <s v="South Africa"/>
        <s v="Australia"/>
        <s v="United States"/>
        <s v="New Zealand"/>
        <s v="Luxembourg"/>
        <s v="Croatia"/>
        <s v="Japan"/>
        <s v="SMBC Kirchdorf Micheldorf"/>
        <s v="Österreich"/>
        <s v="Sportflieger Steyr"/>
        <s v="CVNE Enemonzo"/>
        <s v="KSS/Aeroklub Nowy Targ"/>
        <s v="SFG Werdenfels"/>
        <s v="AFZ Unterwössen"/>
        <s v="Steirische Flugsportunion"/>
        <s v="Nasz Aeroklub"/>
        <s v="LSR Aalen"/>
        <s v="Aeroklub Nowy Targ"/>
        <s v="FRA-Wr.Neustadt"/>
        <s v="SFC Mariazell"/>
        <s v="St. Johann in Tirol"/>
        <s v="SFZ Königsdorf"/>
        <s v="VS"/>
        <s v="FAS-Wien"/>
        <s v="FC St. Johann in Tirol"/>
        <s v="ISV"/>
        <s v="ASKÖ Flugschule Wien"/>
        <s v="Slovenia"/>
        <s v="SFG Hohenems"/>
        <s v="Rhönflug Gersfeld"/>
        <s v="Deutschland"/>
        <s v="ÖAC Direktmitglied"/>
        <s v="FRA Wr. Neustadt"/>
        <s v="FSVOR"/>
        <s v="KSV Kapfenberg"/>
        <s v="LSB Donaueschingen"/>
        <s v="SGBF"/>
        <s v="FC St. Johann"/>
        <s v="Grenoble"/>
        <s v="Grenoble Vol à Voile"/>
        <s v="Aarhus Svæveflyveklub"/>
        <s v="Bailleau"/>
        <s v="Aeroclub Landau"/>
        <s v="TGV Condom"/>
        <s v="Planeurs d'Ille-et-Vilaine"/>
        <s v="P2B - Ploërmel"/>
        <s v="Nové Zámky"/>
        <s v="Ústí nad Labem"/>
        <s v="Ústí nad Orlicí"/>
        <s v="Vlašim"/>
        <s v="Točná"/>
        <s v="Les ailes du Maine planeur"/>
        <s v="Kyjov"/>
        <s v="USFC Krems"/>
        <s v="AZM/KSS"/>
        <s v="Wroclaw"/>
        <s v="Jelenia Góra"/>
        <s v="Podhalaňski"/>
        <s v="KSS"/>
        <s v="Aeroklub Dubnica nad Váhom"/>
        <n v="0"/>
        <s v="Plasy"/>
        <s v="Norway"/>
        <s v="Romania"/>
        <s v="SFC Ried"/>
        <s v="AK Holic"/>
        <s v="Aeroklub ALC Lesce"/>
        <s v="Aeroklub Nitra"/>
        <s v="Ak Postojna"/>
        <s v="SGBF Segelfluggruppe Basel Fricktal"/>
        <s v="Aeroclub"/>
        <s v="Malev Aeroclub LHDK"/>
        <s v="Spišská Nová Ves/Future Fly Bidovce"/>
        <s v="AK Sp.Nová Ves"/>
        <s v="Alfoldi"/>
        <s v="AK Dubnica nad Váhom"/>
        <s v="AK Prievidza"/>
        <s v="Spišska Nová Ves"/>
        <s v="FRA-Wiener Neustadt"/>
        <s v="KaCk"/>
        <s v="DJK Landau"/>
        <s v="DJK Segelfluggemeinschaft Landau e.V."/>
        <s v="Fliegergruppe Neckartal Köngen"/>
        <s v="Sfc Hirzenhain e.V"/>
        <s v="Aero Club Stuttgart e.V."/>
        <s v="SCS"/>
        <s v="Fayence"/>
        <s v="USA"/>
        <s v="Canada"/>
        <s v="Serbia"/>
        <s v="Segelfluggruppe Bensheim e.V."/>
        <s v="Vilniaus Aeroklubas"/>
        <s v="Chérence"/>
        <s v="ATVV Grauhlet"/>
        <s v="KAASK"/>
        <s v="Vilnius aeroclub"/>
        <s v="LSC Bad Homburg"/>
        <s v="MÁV SE"/>
        <s v="Amiens"/>
        <s v="Condom"/>
        <s v="AK ALC Lesce"/>
        <s v="Warszawski/Medimur"/>
        <s v="AK Celje"/>
        <s v="Aeroklub Prešov"/>
        <s v="Aeroklub Sp. Nova Ves"/>
        <s v="Aeroklub Bratislava"/>
        <s v="Leszczyňski"/>
        <s v="AZL"/>
        <s v="Varšava"/>
        <s v="Nowy Targ"/>
        <s v="Stuttgart"/>
        <s v="Aeroklub Nové Zámky"/>
        <s v="Outback Soaring"/>
        <s v="Příbram"/>
        <s v="Sweeden"/>
        <s v="Nové Město nad Metují"/>
        <s v="Náchod"/>
        <s v="AK Pivo"/>
        <s v="Aeroklub Nadwislanski"/>
        <s v="Aeroklub Ostrowski"/>
        <s v="Opitz Nandor REK"/>
        <s v="TBD"/>
        <s v="Aeroklub Kielecki, Politechnika Swietokrzyska"/>
        <s v="Opitz Nandor Repuloklub"/>
        <s v="AK Dubnica n. V."/>
        <s v="AK SNV"/>
        <s v="ASW/AOS"/>
        <s v="Aeroklub Poprad"/>
        <s v="Žilina"/>
        <s v="AK Dubnica n/V"/>
        <s v="AK Nove Zamky"/>
        <s v="Aeroclub Ostrowski"/>
        <s v="Opitz Nándor Repuloklub"/>
        <s v="SFG GIULINI.E.V."/>
        <s v="SFG Donauwörth Mohnheim"/>
        <s v="LSF Dahlemer Binz"/>
        <s v="AeroClub von Lübeck"/>
        <s v="FC Grossrückerswalde"/>
        <s v="Soaring Association of Miyagi"/>
        <s v="LV Aachen"/>
        <s v="AK Prešov"/>
        <s v="Aero-Club Trier und Konz e.V"/>
        <s v="Wolds gliding Club"/>
        <s v="DAeC"/>
        <s v="Oxford Gliding Club"/>
        <s v="Aero Club Lichtenfels"/>
        <s v="Aeroclub Bonn-Hangelar e.V."/>
        <s v="FG Wolf-Hirth Kirchheim"/>
        <s v="LSG Amberg"/>
        <s v="London Gliding Club"/>
        <s v="Aeroclub Stuttgart"/>
        <s v="Alföldi Repülő és Vitorlás Klub SE"/>
        <s v="Flugschule ASKÖ Wien"/>
        <s v="Alpenflugzentrum Unterwossen"/>
        <s v="FC Kamenz"/>
        <s v="NLD"/>
        <s v="GER"/>
        <s v="FIN"/>
        <s v="POL"/>
        <s v="NOR"/>
        <s v="ITA"/>
        <s v="CHE"/>
        <s v="GBR"/>
        <s v="JPL"/>
        <s v="SVK"/>
        <s v="LUX"/>
        <s v="DEN"/>
        <s v="Innsbrucker Segelflieger Vereinigung"/>
      </sharedItems>
    </cacheField>
    <cacheField name="Region" numFmtId="0">
      <sharedItems containsBlank="1" count="15">
        <s v="CZ/C1"/>
        <s v="CZ/C2"/>
        <s v="CZ/M"/>
        <m/>
        <s v="SK"/>
        <s v="SLO"/>
        <s v="FR"/>
        <s v="SE"/>
        <s v="DE"/>
        <s v="SL"/>
        <s v="AT"/>
        <s v="UK"/>
        <s v="PL"/>
        <s v="CZ"/>
        <e v="#N/A" u="1"/>
      </sharedItems>
    </cacheField>
    <cacheField name="Soutěž" numFmtId="0">
      <sharedItems containsBlank="1"/>
    </cacheField>
    <cacheField name="Stát" numFmtId="0">
      <sharedItems containsBlank="1"/>
    </cacheField>
    <cacheField name="Rok" numFmtId="0">
      <sharedItems containsString="0" containsBlank="1" containsNumber="1" containsInteger="1" minValue="2023" maxValue="2025"/>
    </cacheField>
    <cacheField name="Pořadí ve třídě" numFmtId="3">
      <sharedItems containsBlank="1" containsMixedTypes="1" containsNumber="1" containsInteger="1" minValue="1" maxValue="47"/>
    </cacheField>
    <cacheField name="Body ve třídě" numFmtId="3">
      <sharedItems containsString="0" containsBlank="1" containsNumber="1" minValue="0" maxValue="10887"/>
    </cacheField>
    <cacheField name="Kinp" numFmtId="0">
      <sharedItems containsString="0" containsBlank="1" containsNumber="1" minValue="0" maxValue="1.135"/>
    </cacheField>
    <cacheField name="Bi" numFmtId="3">
      <sharedItems containsString="0" containsBlank="1" containsNumber="1" containsInteger="1" minValue="0" maxValue="10000"/>
    </cacheField>
    <cacheField name="Bi×Kinp" numFmtId="3">
      <sharedItems containsString="0" containsBlank="1" containsNumber="1" containsInteger="1" minValue="0" maxValue="11350"/>
    </cacheField>
    <cacheField name="G" numFmtId="3">
      <sharedItems containsBlank="1" count="2">
        <m/>
        <s v="x"/>
      </sharedItems>
    </cacheField>
    <cacheField name="W" numFmtId="3">
      <sharedItems containsBlank="1" count="2">
        <m/>
        <s v="x"/>
      </sharedItems>
    </cacheField>
    <cacheField name="Typ" numFmtId="0">
      <sharedItems containsBlank="1"/>
    </cacheField>
    <cacheField name="CN" numFmtId="0">
      <sharedItems containsBlank="1" containsMixedTypes="1" containsNumber="1" containsInteger="1" minValue="0" maxValue="8436"/>
    </cacheField>
    <cacheField name="Junior" numFmtId="0">
      <sharedItems containsBlank="1"/>
    </cacheField>
    <cacheField name="Poznámk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6">
  <r>
    <x v="0"/>
    <x v="0"/>
    <x v="0"/>
    <x v="0"/>
    <x v="0"/>
    <s v="AZ Cup 2023 - Klub"/>
    <s v="CZ"/>
    <n v="2023"/>
    <n v="1"/>
    <n v="8564"/>
    <n v="0.95500000000000007"/>
    <n v="10000"/>
    <n v="9550"/>
    <x v="0"/>
    <x v="0"/>
    <s v="Pegase-101 BC"/>
    <s v="RT"/>
    <s v=""/>
    <m/>
  </r>
  <r>
    <x v="1"/>
    <x v="1"/>
    <x v="0"/>
    <x v="1"/>
    <x v="1"/>
    <s v="AZ Cup 2023 - Klub"/>
    <s v="CZ"/>
    <n v="2023"/>
    <n v="2"/>
    <n v="8430"/>
    <n v="0.95500000000000007"/>
    <n v="9775"/>
    <n v="9335"/>
    <x v="1"/>
    <x v="0"/>
    <s v="LS-4"/>
    <s v="PF"/>
    <s v=""/>
    <m/>
  </r>
  <r>
    <x v="2"/>
    <x v="2"/>
    <x v="0"/>
    <x v="2"/>
    <x v="0"/>
    <s v="AZ Cup 2023 - Klub"/>
    <s v="CZ"/>
    <n v="2023"/>
    <n v="3"/>
    <n v="8364"/>
    <n v="0.95500000000000007"/>
    <n v="9606"/>
    <n v="9174"/>
    <x v="1"/>
    <x v="0"/>
    <s v="LS-4B"/>
    <s v="IX"/>
    <s v=""/>
    <m/>
  </r>
  <r>
    <x v="3"/>
    <x v="3"/>
    <x v="0"/>
    <x v="3"/>
    <x v="2"/>
    <s v="AZ Cup 2023 - Klub"/>
    <s v="CZ"/>
    <n v="2023"/>
    <n v="4"/>
    <n v="8061"/>
    <n v="0.95500000000000007"/>
    <n v="9243"/>
    <n v="8827"/>
    <x v="0"/>
    <x v="0"/>
    <s v="LS-4B"/>
    <s v="6L"/>
    <s v="Junior v roce 2026"/>
    <m/>
  </r>
  <r>
    <x v="4"/>
    <x v="4"/>
    <x v="1"/>
    <x v="4"/>
    <x v="3"/>
    <s v="AZ Cup 2023 - Klub"/>
    <s v="CZ"/>
    <n v="2023"/>
    <n v="5"/>
    <n v="7999"/>
    <n v="0.95500000000000007"/>
    <n v="9077"/>
    <n v="8669"/>
    <x v="0"/>
    <x v="0"/>
    <s v="SZD-55"/>
    <s v="NX"/>
    <s v="Není v databázi"/>
    <m/>
  </r>
  <r>
    <x v="5"/>
    <x v="4"/>
    <x v="0"/>
    <x v="5"/>
    <x v="4"/>
    <s v="AZ Cup 2023 - Klub"/>
    <s v="CZ"/>
    <n v="2023"/>
    <n v="6"/>
    <n v="7968"/>
    <n v="0.95500000000000007"/>
    <n v="8936"/>
    <n v="8534"/>
    <x v="0"/>
    <x v="0"/>
    <s v="ASW-20"/>
    <n v="311"/>
    <s v="Není v databázi"/>
    <m/>
  </r>
  <r>
    <x v="6"/>
    <x v="5"/>
    <x v="0"/>
    <x v="6"/>
    <x v="2"/>
    <s v="AZ Cup 2023 - Klub"/>
    <s v="CZ"/>
    <n v="2023"/>
    <n v="7"/>
    <n v="7764"/>
    <n v="0.95500000000000007"/>
    <n v="8654"/>
    <n v="8265"/>
    <x v="1"/>
    <x v="0"/>
    <s v="LS-3A"/>
    <s v="SJ"/>
    <s v=""/>
    <m/>
  </r>
  <r>
    <x v="7"/>
    <x v="6"/>
    <x v="0"/>
    <x v="7"/>
    <x v="2"/>
    <s v="AZ Cup 2023 - Klub"/>
    <s v="CZ"/>
    <n v="2023"/>
    <n v="8"/>
    <n v="7615"/>
    <n v="0.95500000000000007"/>
    <n v="8417"/>
    <n v="8038"/>
    <x v="0"/>
    <x v="0"/>
    <s v="ASW-20A"/>
    <s v="LL"/>
    <s v=""/>
    <m/>
  </r>
  <r>
    <x v="8"/>
    <x v="3"/>
    <x v="0"/>
    <x v="8"/>
    <x v="2"/>
    <s v="AZ Cup 2023 - Klub"/>
    <s v="CZ"/>
    <n v="2023"/>
    <n v="9"/>
    <n v="7586"/>
    <n v="0.95500000000000007"/>
    <n v="8278"/>
    <n v="7905"/>
    <x v="0"/>
    <x v="0"/>
    <s v="ASW-20A"/>
    <s v="CX"/>
    <s v="Junior v roce 2026"/>
    <m/>
  </r>
  <r>
    <x v="9"/>
    <x v="7"/>
    <x v="0"/>
    <x v="9"/>
    <x v="1"/>
    <s v="AZ Cup 2023 - Klub"/>
    <s v="CZ"/>
    <n v="2023"/>
    <n v="10"/>
    <n v="7489"/>
    <n v="0.95500000000000007"/>
    <n v="8083"/>
    <n v="7719"/>
    <x v="0"/>
    <x v="0"/>
    <s v="ASW-20C"/>
    <s v="VW"/>
    <s v="Junior v roce 2026"/>
    <m/>
  </r>
  <r>
    <x v="10"/>
    <x v="8"/>
    <x v="0"/>
    <x v="10"/>
    <x v="0"/>
    <s v="AZ Cup 2023 - Klub"/>
    <s v="CZ"/>
    <n v="2023"/>
    <n v="11"/>
    <n v="6944"/>
    <n v="0.95500000000000007"/>
    <n v="7522"/>
    <n v="7184"/>
    <x v="1"/>
    <x v="0"/>
    <s v="DG-300 Elan"/>
    <s v="BK"/>
    <s v=""/>
    <m/>
  </r>
  <r>
    <x v="11"/>
    <x v="9"/>
    <x v="0"/>
    <x v="0"/>
    <x v="0"/>
    <s v="AZ Cup 2023 - Klub"/>
    <s v="CZ"/>
    <n v="2023"/>
    <n v="12"/>
    <n v="6703"/>
    <n v="0.95500000000000007"/>
    <n v="7210"/>
    <n v="6886"/>
    <x v="1"/>
    <x v="0"/>
    <s v="AWS-20"/>
    <s v="NW"/>
    <s v=""/>
    <m/>
  </r>
  <r>
    <x v="12"/>
    <x v="10"/>
    <x v="0"/>
    <x v="0"/>
    <x v="0"/>
    <s v="AZ Cup 2023 - Klub"/>
    <s v="CZ"/>
    <n v="2023"/>
    <n v="13"/>
    <n v="6583"/>
    <n v="0.95500000000000007"/>
    <n v="6996"/>
    <n v="6681"/>
    <x v="1"/>
    <x v="0"/>
    <s v="ASW-19B"/>
    <s v="PH"/>
    <s v=""/>
    <m/>
  </r>
  <r>
    <x v="13"/>
    <x v="4"/>
    <x v="1"/>
    <x v="11"/>
    <x v="5"/>
    <s v="AZ Cup 2023 - Klub"/>
    <s v="CZ"/>
    <n v="2023"/>
    <n v="14"/>
    <n v="6233"/>
    <n v="0.95500000000000007"/>
    <n v="6595"/>
    <n v="6298"/>
    <x v="0"/>
    <x v="0"/>
    <s v="ASW-20 L WL"/>
    <s v="CP"/>
    <s v="Není v databázi"/>
    <m/>
  </r>
  <r>
    <x v="14"/>
    <x v="11"/>
    <x v="0"/>
    <x v="9"/>
    <x v="1"/>
    <s v="AZ Cup 2023 - Klub"/>
    <s v="CZ"/>
    <n v="2023"/>
    <n v="15"/>
    <n v="6125"/>
    <n v="0.95500000000000007"/>
    <n v="6391"/>
    <n v="6103"/>
    <x v="0"/>
    <x v="0"/>
    <s v="DG-200"/>
    <s v="HL"/>
    <s v=""/>
    <m/>
  </r>
  <r>
    <x v="15"/>
    <x v="12"/>
    <x v="0"/>
    <x v="0"/>
    <x v="0"/>
    <s v="AZ Cup 2023 - Klub"/>
    <s v="CZ"/>
    <n v="2023"/>
    <n v="16"/>
    <n v="5966"/>
    <n v="0.95500000000000007"/>
    <n v="6146"/>
    <n v="5869"/>
    <x v="1"/>
    <x v="0"/>
    <s v="ASW-19B"/>
    <s v="PM"/>
    <s v=""/>
    <m/>
  </r>
  <r>
    <x v="16"/>
    <x v="13"/>
    <x v="0"/>
    <x v="12"/>
    <x v="1"/>
    <s v="AZ Cup 2023 - Klub"/>
    <s v="CZ"/>
    <n v="2023"/>
    <n v="17"/>
    <n v="5839"/>
    <n v="0.95500000000000007"/>
    <n v="5926"/>
    <n v="5659"/>
    <x v="0"/>
    <x v="0"/>
    <s v="ASW-20"/>
    <n v="67"/>
    <s v=""/>
    <m/>
  </r>
  <r>
    <x v="17"/>
    <x v="9"/>
    <x v="0"/>
    <x v="13"/>
    <x v="1"/>
    <s v="AZ Cup 2023 - Klub"/>
    <s v="CZ"/>
    <n v="2023"/>
    <n v="18"/>
    <n v="5791"/>
    <n v="0.95500000000000007"/>
    <n v="5772"/>
    <n v="5512"/>
    <x v="0"/>
    <x v="0"/>
    <s v="Std.Cirrus 16m"/>
    <s v="CO"/>
    <s v=""/>
    <m/>
  </r>
  <r>
    <x v="18"/>
    <x v="14"/>
    <x v="0"/>
    <x v="14"/>
    <x v="0"/>
    <s v="AZ Cup 2023 - Klub"/>
    <s v="CZ"/>
    <n v="2023"/>
    <n v="19"/>
    <n v="5493"/>
    <n v="0.95500000000000007"/>
    <n v="5413"/>
    <n v="5169"/>
    <x v="1"/>
    <x v="0"/>
    <s v="JANTAR STD2"/>
    <s v="VS"/>
    <s v=""/>
    <m/>
  </r>
  <r>
    <x v="19"/>
    <x v="2"/>
    <x v="0"/>
    <x v="13"/>
    <x v="1"/>
    <s v="AZ Cup 2023 - Klub"/>
    <s v="CZ"/>
    <n v="2023"/>
    <n v="20"/>
    <n v="5043"/>
    <n v="0.95500000000000007"/>
    <n v="4930"/>
    <n v="4708"/>
    <x v="1"/>
    <x v="0"/>
    <s v="JANUS B"/>
    <s v="BV"/>
    <s v=""/>
    <m/>
  </r>
  <r>
    <x v="20"/>
    <x v="15"/>
    <x v="0"/>
    <x v="0"/>
    <x v="0"/>
    <s v="AZ Cup 2023 - Klub"/>
    <s v="CZ"/>
    <n v="2023"/>
    <n v="21"/>
    <n v="4797"/>
    <n v="0.95500000000000007"/>
    <n v="4613"/>
    <n v="4405"/>
    <x v="1"/>
    <x v="0"/>
    <s v="ASW-19B"/>
    <s v="O2"/>
    <s v=""/>
    <m/>
  </r>
  <r>
    <x v="21"/>
    <x v="6"/>
    <x v="0"/>
    <x v="15"/>
    <x v="1"/>
    <s v="AZ Cup 2023 - Klub"/>
    <s v="CZ"/>
    <n v="2023"/>
    <n v="22"/>
    <n v="4506"/>
    <n v="0.95500000000000007"/>
    <n v="4260"/>
    <n v="4068"/>
    <x v="1"/>
    <x v="0"/>
    <s v="ASW-15B"/>
    <s v="T"/>
    <s v=""/>
    <m/>
  </r>
  <r>
    <x v="22"/>
    <x v="14"/>
    <x v="0"/>
    <x v="6"/>
    <x v="2"/>
    <s v="AZ Cup 2023 - Klub"/>
    <s v="CZ"/>
    <n v="2023"/>
    <n v="23"/>
    <n v="3381"/>
    <n v="0.95500000000000007"/>
    <n v="3225"/>
    <n v="3080"/>
    <x v="1"/>
    <x v="0"/>
    <s v="LS-3"/>
    <s v="TX"/>
    <s v=""/>
    <m/>
  </r>
  <r>
    <x v="23"/>
    <x v="16"/>
    <x v="0"/>
    <x v="6"/>
    <x v="2"/>
    <s v="AZ Cup 2023 - Klub"/>
    <s v="CZ"/>
    <n v="2023"/>
    <n v="24"/>
    <n v="3327"/>
    <n v="0.95500000000000007"/>
    <n v="3066"/>
    <n v="2928"/>
    <x v="1"/>
    <x v="0"/>
    <s v="DG-200"/>
    <s v="AK"/>
    <s v=""/>
    <m/>
  </r>
  <r>
    <x v="24"/>
    <x v="9"/>
    <x v="0"/>
    <x v="16"/>
    <x v="0"/>
    <s v="AZ Cup 2023 - Klub"/>
    <s v="CZ"/>
    <n v="2023"/>
    <n v="25"/>
    <n v="2248"/>
    <n v="0.95500000000000007"/>
    <n v="2068"/>
    <n v="1975"/>
    <x v="1"/>
    <x v="0"/>
    <s v="ASW-24"/>
    <n v="76"/>
    <s v=""/>
    <m/>
  </r>
  <r>
    <x v="25"/>
    <x v="17"/>
    <x v="0"/>
    <x v="17"/>
    <x v="0"/>
    <s v="AZ Cup 2023 - Klub"/>
    <s v="CZ"/>
    <n v="2023"/>
    <n v="26"/>
    <n v="1910"/>
    <n v="0.95500000000000007"/>
    <n v="1677"/>
    <n v="1602"/>
    <x v="0"/>
    <x v="0"/>
    <s v="DISCUS B"/>
    <s v="SJI"/>
    <s v=""/>
    <m/>
  </r>
  <r>
    <x v="26"/>
    <x v="18"/>
    <x v="0"/>
    <x v="0"/>
    <x v="0"/>
    <s v="AZ Cup 2023 - Klub"/>
    <s v="CZ"/>
    <n v="2023"/>
    <n v="27"/>
    <n v="1627"/>
    <n v="0.95500000000000007"/>
    <n v="1330"/>
    <n v="1270"/>
    <x v="1"/>
    <x v="0"/>
    <s v="ASTIR G103 III"/>
    <s v="RB"/>
    <s v=""/>
    <m/>
  </r>
  <r>
    <x v="27"/>
    <x v="19"/>
    <x v="0"/>
    <x v="18"/>
    <x v="2"/>
    <s v="AZ Cup 2023 - Kombi "/>
    <s v="CZ"/>
    <n v="2023"/>
    <n v="1"/>
    <n v="8289"/>
    <n v="1"/>
    <n v="10000"/>
    <n v="10000"/>
    <x v="0"/>
    <x v="0"/>
    <s v="AS-33 ES"/>
    <n v="12"/>
    <s v=""/>
    <m/>
  </r>
  <r>
    <x v="28"/>
    <x v="20"/>
    <x v="0"/>
    <x v="18"/>
    <x v="2"/>
    <s v="AZ Cup 2023 - Kombi "/>
    <s v="CZ"/>
    <n v="2023"/>
    <n v="2"/>
    <n v="7812"/>
    <n v="1"/>
    <n v="9500"/>
    <n v="9500"/>
    <x v="1"/>
    <x v="0"/>
    <s v="JS3 18m"/>
    <s v="VB"/>
    <s v=""/>
    <m/>
  </r>
  <r>
    <x v="29"/>
    <x v="21"/>
    <x v="0"/>
    <x v="19"/>
    <x v="1"/>
    <s v="AZ Cup 2023 - Kombi "/>
    <s v="CZ"/>
    <n v="2023"/>
    <n v="3"/>
    <n v="7722"/>
    <n v="1"/>
    <n v="9328"/>
    <n v="9328"/>
    <x v="0"/>
    <x v="0"/>
    <s v="EB-28 Edition"/>
    <s v="NA"/>
    <s v=""/>
    <m/>
  </r>
  <r>
    <x v="30"/>
    <x v="21"/>
    <x v="0"/>
    <x v="0"/>
    <x v="0"/>
    <s v="AZ Cup 2023 - Kombi "/>
    <s v="CZ"/>
    <n v="2023"/>
    <n v="4"/>
    <n v="7613"/>
    <n v="1"/>
    <n v="9139"/>
    <n v="9139"/>
    <x v="0"/>
    <x v="0"/>
    <s v="JS1-C 21m"/>
    <s v="JX"/>
    <s v=""/>
    <m/>
  </r>
  <r>
    <x v="31"/>
    <x v="4"/>
    <x v="1"/>
    <x v="20"/>
    <x v="3"/>
    <s v="AZ Cup 2023 - Kombi "/>
    <s v="CZ"/>
    <n v="2023"/>
    <n v="5"/>
    <n v="7551"/>
    <n v="1"/>
    <n v="8990"/>
    <n v="8990"/>
    <x v="0"/>
    <x v="0"/>
    <s v="JS3 18m"/>
    <n v="3"/>
    <s v="Není v databázi"/>
    <m/>
  </r>
  <r>
    <x v="32"/>
    <x v="14"/>
    <x v="0"/>
    <x v="21"/>
    <x v="0"/>
    <s v="AZ Cup 2023 - Kombi "/>
    <s v="CZ"/>
    <n v="2023"/>
    <n v="6"/>
    <n v="7383"/>
    <n v="1"/>
    <n v="8751"/>
    <n v="8751"/>
    <x v="1"/>
    <x v="0"/>
    <s v="ASG-29E"/>
    <s v="QZ"/>
    <s v=""/>
    <m/>
  </r>
  <r>
    <x v="33"/>
    <x v="6"/>
    <x v="0"/>
    <x v="22"/>
    <x v="0"/>
    <s v="AZ Cup 2023 - Kombi "/>
    <s v="CZ"/>
    <n v="2023"/>
    <n v="7"/>
    <n v="7369"/>
    <n v="1"/>
    <n v="8642"/>
    <n v="8642"/>
    <x v="0"/>
    <x v="0"/>
    <s v="ASG-29E"/>
    <s v="GO"/>
    <s v=""/>
    <m/>
  </r>
  <r>
    <x v="34"/>
    <x v="22"/>
    <x v="0"/>
    <x v="8"/>
    <x v="2"/>
    <s v="AZ Cup 2023 - Kombi "/>
    <s v="CZ"/>
    <n v="2023"/>
    <n v="8"/>
    <n v="7240"/>
    <n v="1"/>
    <n v="8437"/>
    <n v="8437"/>
    <x v="1"/>
    <x v="0"/>
    <s v="ASG-32 MI"/>
    <s v="DX"/>
    <s v=""/>
    <m/>
  </r>
  <r>
    <x v="35"/>
    <x v="23"/>
    <x v="0"/>
    <x v="15"/>
    <x v="1"/>
    <s v="AZ Cup 2023 - Kombi "/>
    <s v="CZ"/>
    <n v="2023"/>
    <n v="9"/>
    <n v="7221"/>
    <n v="1"/>
    <n v="8324"/>
    <n v="8324"/>
    <x v="0"/>
    <x v="0"/>
    <s v="VENTUS C 17.6m"/>
    <s v="EG"/>
    <s v=""/>
    <m/>
  </r>
  <r>
    <x v="36"/>
    <x v="24"/>
    <x v="0"/>
    <x v="23"/>
    <x v="0"/>
    <s v="AZ Cup 2023 - Kombi "/>
    <s v="CZ"/>
    <n v="2023"/>
    <n v="10"/>
    <n v="7032"/>
    <n v="1"/>
    <n v="8068"/>
    <n v="8068"/>
    <x v="0"/>
    <x v="0"/>
    <s v="ASG-29E"/>
    <s v="QX"/>
    <s v=""/>
    <m/>
  </r>
  <r>
    <x v="37"/>
    <x v="25"/>
    <x v="2"/>
    <x v="0"/>
    <x v="0"/>
    <s v="AZ Cup 2023 - Kombi "/>
    <s v="CZ"/>
    <n v="2023"/>
    <n v="11"/>
    <n v="6631"/>
    <n v="1"/>
    <n v="7632"/>
    <n v="7632"/>
    <x v="1"/>
    <x v="0"/>
    <s v="JS3 18m"/>
    <s v="ZE"/>
    <s v=""/>
    <m/>
  </r>
  <r>
    <x v="38"/>
    <x v="26"/>
    <x v="0"/>
    <x v="21"/>
    <x v="0"/>
    <s v="AZ Cup 2023 - Kombi "/>
    <s v="CZ"/>
    <n v="2023"/>
    <n v="12"/>
    <n v="6481"/>
    <n v="1"/>
    <n v="7409"/>
    <n v="7409"/>
    <x v="0"/>
    <x v="0"/>
    <s v="VENTUS 2A 15m"/>
    <s v="AX"/>
    <s v=""/>
    <m/>
  </r>
  <r>
    <x v="39"/>
    <x v="27"/>
    <x v="0"/>
    <x v="0"/>
    <x v="0"/>
    <s v="AZ Cup 2023 - Kombi "/>
    <s v="CZ"/>
    <n v="2023"/>
    <n v="13"/>
    <n v="6292"/>
    <n v="1"/>
    <n v="7152"/>
    <n v="7152"/>
    <x v="1"/>
    <x v="0"/>
    <s v="HPH 304 JS"/>
    <n v="66"/>
    <s v=""/>
    <m/>
  </r>
  <r>
    <x v="40"/>
    <x v="13"/>
    <x v="0"/>
    <x v="8"/>
    <x v="2"/>
    <s v="AZ Cup 2023 - Kombi "/>
    <s v="CZ"/>
    <n v="2023"/>
    <n v="14"/>
    <n v="6275"/>
    <n v="1"/>
    <n v="7041"/>
    <n v="7041"/>
    <x v="1"/>
    <x v="0"/>
    <s v="JS3 18m"/>
    <s v="QX1"/>
    <s v=""/>
    <m/>
  </r>
  <r>
    <x v="41"/>
    <x v="28"/>
    <x v="0"/>
    <x v="23"/>
    <x v="0"/>
    <s v="AZ Cup 2023 - Kombi "/>
    <s v="CZ"/>
    <n v="2023"/>
    <n v="15"/>
    <n v="6231"/>
    <n v="1"/>
    <n v="6907"/>
    <n v="6907"/>
    <x v="0"/>
    <x v="0"/>
    <s v="VENTUS 2BX 15m"/>
    <s v="YA"/>
    <s v=""/>
    <m/>
  </r>
  <r>
    <x v="42"/>
    <x v="19"/>
    <x v="2"/>
    <x v="24"/>
    <x v="1"/>
    <s v="AZ Cup 2023 - Kombi "/>
    <s v="CZ"/>
    <n v="2023"/>
    <n v="16"/>
    <n v="6193"/>
    <n v="1"/>
    <n v="6778"/>
    <n v="6778"/>
    <x v="0"/>
    <x v="0"/>
    <s v="JS3 18m"/>
    <s v="XM"/>
    <s v=""/>
    <m/>
  </r>
  <r>
    <x v="43"/>
    <x v="8"/>
    <x v="0"/>
    <x v="25"/>
    <x v="1"/>
    <s v="AZ Cup 2023 - Kombi "/>
    <s v="CZ"/>
    <n v="2023"/>
    <n v="17"/>
    <n v="6150"/>
    <n v="1"/>
    <n v="6645"/>
    <n v="6645"/>
    <x v="1"/>
    <x v="0"/>
    <s v="ASG-29E"/>
    <s v="XZ"/>
    <s v=""/>
    <m/>
  </r>
  <r>
    <x v="44"/>
    <x v="29"/>
    <x v="0"/>
    <x v="10"/>
    <x v="0"/>
    <s v="AZ Cup 2023 - Kombi "/>
    <s v="CZ"/>
    <n v="2023"/>
    <n v="18"/>
    <n v="6043"/>
    <n v="1"/>
    <n v="6458"/>
    <n v="6458"/>
    <x v="0"/>
    <x v="0"/>
    <s v="HPH 304 MS"/>
    <s v="DJ"/>
    <s v=""/>
    <m/>
  </r>
  <r>
    <x v="45"/>
    <x v="30"/>
    <x v="0"/>
    <x v="15"/>
    <x v="1"/>
    <s v="AZ Cup 2023 - Kombi "/>
    <s v="CZ"/>
    <n v="2023"/>
    <n v="19"/>
    <n v="5812"/>
    <n v="1"/>
    <n v="6166"/>
    <n v="6166"/>
    <x v="0"/>
    <x v="0"/>
    <s v="VENTUS C 17.6m"/>
    <s v="VV"/>
    <s v=""/>
    <m/>
  </r>
  <r>
    <x v="46"/>
    <x v="31"/>
    <x v="0"/>
    <x v="0"/>
    <x v="0"/>
    <s v="AZ Cup 2023 - Kombi "/>
    <s v="CZ"/>
    <n v="2023"/>
    <n v="20"/>
    <n v="5793"/>
    <n v="1"/>
    <n v="6053"/>
    <n v="6053"/>
    <x v="0"/>
    <x v="0"/>
    <s v="LS-8 18m"/>
    <s v="FX"/>
    <s v=""/>
    <m/>
  </r>
  <r>
    <x v="47"/>
    <x v="32"/>
    <x v="0"/>
    <x v="0"/>
    <x v="0"/>
    <s v="AZ Cup 2023 - Kombi "/>
    <s v="CZ"/>
    <n v="2023"/>
    <n v="21"/>
    <n v="5522"/>
    <n v="1"/>
    <n v="5728"/>
    <n v="5728"/>
    <x v="1"/>
    <x v="0"/>
    <s v="HpH 304 JS"/>
    <s v="JT"/>
    <s v=""/>
    <m/>
  </r>
  <r>
    <x v="48"/>
    <x v="2"/>
    <x v="0"/>
    <x v="0"/>
    <x v="0"/>
    <s v="AZ Cup 2023 - Kombi "/>
    <s v="CZ"/>
    <n v="2023"/>
    <n v="22"/>
    <n v="5494"/>
    <n v="1"/>
    <n v="5607"/>
    <n v="5607"/>
    <x v="1"/>
    <x v="0"/>
    <s v="ASG-29E"/>
    <s v="AJ"/>
    <s v=""/>
    <m/>
  </r>
  <r>
    <x v="49"/>
    <x v="14"/>
    <x v="0"/>
    <x v="0"/>
    <x v="0"/>
    <s v="AZ Cup 2023 - Kombi "/>
    <s v="CZ"/>
    <n v="2023"/>
    <n v="23"/>
    <n v="5179"/>
    <n v="1"/>
    <n v="5245"/>
    <n v="5245"/>
    <x v="1"/>
    <x v="0"/>
    <s v="VENTUS 2CXM 18m"/>
    <s v="IB"/>
    <s v=""/>
    <m/>
  </r>
  <r>
    <x v="50"/>
    <x v="4"/>
    <x v="1"/>
    <x v="26"/>
    <x v="3"/>
    <s v="AZ Cup 2023 - Kombi "/>
    <s v="CZ"/>
    <n v="2023"/>
    <n v="24"/>
    <n v="5077"/>
    <n v="1"/>
    <n v="5062"/>
    <n v="5062"/>
    <x v="0"/>
    <x v="0"/>
    <s v="HPH TWINSHARK"/>
    <s v="Q"/>
    <s v="Není v databázi"/>
    <m/>
  </r>
  <r>
    <x v="51"/>
    <x v="16"/>
    <x v="2"/>
    <x v="24"/>
    <x v="1"/>
    <s v="AZ Cup 2023 - Kombi "/>
    <s v="CZ"/>
    <n v="2023"/>
    <n v="25"/>
    <n v="4996"/>
    <n v="1"/>
    <n v="4897"/>
    <n v="4897"/>
    <x v="0"/>
    <x v="0"/>
    <s v="LS-8 15m"/>
    <s v="W8"/>
    <s v=""/>
    <m/>
  </r>
  <r>
    <x v="52"/>
    <x v="33"/>
    <x v="0"/>
    <x v="15"/>
    <x v="1"/>
    <s v="AZ Cup 2023 - Kombi "/>
    <s v="CZ"/>
    <n v="2023"/>
    <n v="26"/>
    <n v="4591"/>
    <n v="1"/>
    <n v="4458"/>
    <n v="4458"/>
    <x v="0"/>
    <x v="0"/>
    <s v="LS-8 15m"/>
    <s v="ZB"/>
    <s v=""/>
    <m/>
  </r>
  <r>
    <x v="53"/>
    <x v="34"/>
    <x v="2"/>
    <x v="2"/>
    <x v="0"/>
    <s v="AZ Cup 2023 - Kombi "/>
    <s v="CZ"/>
    <n v="2023"/>
    <n v="27"/>
    <n v="4175"/>
    <n v="1"/>
    <n v="4010"/>
    <n v="4010"/>
    <x v="0"/>
    <x v="0"/>
    <s v="AS-33 ES"/>
    <s v="EA"/>
    <s v="Junior v roce 2026"/>
    <m/>
  </r>
  <r>
    <x v="54"/>
    <x v="2"/>
    <x v="2"/>
    <x v="21"/>
    <x v="0"/>
    <s v="AZ Cup 2023 - Kombi "/>
    <s v="CZ"/>
    <n v="2023"/>
    <n v="28"/>
    <n v="3989"/>
    <n v="1"/>
    <n v="3756"/>
    <n v="3756"/>
    <x v="0"/>
    <x v="0"/>
    <s v="LS-8 15m"/>
    <s v="ID"/>
    <s v=""/>
    <m/>
  </r>
  <r>
    <x v="55"/>
    <x v="32"/>
    <x v="0"/>
    <x v="22"/>
    <x v="0"/>
    <s v="AZ Cup 2023 - Kombi "/>
    <s v="CZ"/>
    <n v="2023"/>
    <n v="29"/>
    <n v="3678"/>
    <n v="1"/>
    <n v="3396"/>
    <n v="3396"/>
    <x v="0"/>
    <x v="0"/>
    <s v="LS-8 18m"/>
    <s v="JB"/>
    <s v=""/>
    <m/>
  </r>
  <r>
    <x v="56"/>
    <x v="35"/>
    <x v="0"/>
    <x v="23"/>
    <x v="0"/>
    <s v="AZ Cup 2023 - Kombi "/>
    <s v="CZ"/>
    <n v="2023"/>
    <n v="30"/>
    <n v="2152"/>
    <n v="1"/>
    <n v="2011"/>
    <n v="2011"/>
    <x v="1"/>
    <x v="0"/>
    <s v="VENTUS C 17.6m"/>
    <s v="UC"/>
    <s v=""/>
    <m/>
  </r>
  <r>
    <x v="57"/>
    <x v="36"/>
    <x v="0"/>
    <x v="6"/>
    <x v="2"/>
    <s v="AZ Cup 2023 - Kombi "/>
    <s v="CZ"/>
    <n v="2023"/>
    <n v="31"/>
    <n v="1862"/>
    <n v="1"/>
    <n v="1669"/>
    <n v="1669"/>
    <x v="1"/>
    <x v="0"/>
    <s v="DG-400"/>
    <s v="PS"/>
    <s v=""/>
    <m/>
  </r>
  <r>
    <x v="58"/>
    <x v="21"/>
    <x v="0"/>
    <x v="0"/>
    <x v="0"/>
    <s v="AZ Cup 2023 - Kombi "/>
    <s v="CZ"/>
    <n v="2023"/>
    <n v="32"/>
    <n v="498"/>
    <n v="1"/>
    <n v="421"/>
    <n v="421"/>
    <x v="0"/>
    <x v="0"/>
    <s v="HPH TWINSHARK"/>
    <s v="LK"/>
    <s v=""/>
    <m/>
  </r>
  <r>
    <x v="59"/>
    <x v="36"/>
    <x v="0"/>
    <x v="6"/>
    <x v="2"/>
    <s v="FL 2023 - Klub"/>
    <s v="CZ"/>
    <n v="2023"/>
    <n v="1"/>
    <n v="4451"/>
    <n v="0"/>
    <n v="10000"/>
    <n v="0"/>
    <x v="0"/>
    <x v="0"/>
    <s v="Std. Cirrus"/>
    <n v="22"/>
    <s v=""/>
    <m/>
  </r>
  <r>
    <x v="10"/>
    <x v="8"/>
    <x v="0"/>
    <x v="10"/>
    <x v="0"/>
    <s v="FL 2023 - Klub"/>
    <s v="CZ"/>
    <n v="2023"/>
    <n v="2"/>
    <n v="4106"/>
    <n v="0"/>
    <n v="9124"/>
    <n v="0"/>
    <x v="0"/>
    <x v="0"/>
    <s v="DG 300 WL"/>
    <s v="BK"/>
    <s v=""/>
    <m/>
  </r>
  <r>
    <x v="22"/>
    <x v="14"/>
    <x v="0"/>
    <x v="6"/>
    <x v="2"/>
    <s v="FL 2023 - Klub"/>
    <s v="CZ"/>
    <n v="2023"/>
    <n v="3"/>
    <n v="3573"/>
    <n v="0"/>
    <n v="7953"/>
    <n v="0"/>
    <x v="0"/>
    <x v="0"/>
    <s v="LS 3"/>
    <s v="TX"/>
    <s v=""/>
    <m/>
  </r>
  <r>
    <x v="23"/>
    <x v="16"/>
    <x v="0"/>
    <x v="6"/>
    <x v="2"/>
    <s v="FL 2023 - Klub"/>
    <s v="CZ"/>
    <n v="2023"/>
    <n v="4"/>
    <n v="2743"/>
    <n v="0"/>
    <n v="6314"/>
    <n v="0"/>
    <x v="0"/>
    <x v="0"/>
    <s v="DG 200"/>
    <s v="AK"/>
    <s v=""/>
    <m/>
  </r>
  <r>
    <x v="60"/>
    <x v="11"/>
    <x v="0"/>
    <x v="6"/>
    <x v="2"/>
    <s v="FL 2023 - Klub"/>
    <s v="CZ"/>
    <n v="2023"/>
    <n v="5"/>
    <n v="2191"/>
    <n v="0"/>
    <n v="5112"/>
    <n v="0"/>
    <x v="0"/>
    <x v="0"/>
    <s v="ASW 15 B"/>
    <s v="PA"/>
    <s v=""/>
    <m/>
  </r>
  <r>
    <x v="61"/>
    <x v="31"/>
    <x v="0"/>
    <x v="27"/>
    <x v="2"/>
    <s v="FL 2023 - Klub"/>
    <s v="CZ"/>
    <n v="2023"/>
    <n v="6"/>
    <n v="1920"/>
    <n v="0"/>
    <n v="4353"/>
    <n v="0"/>
    <x v="0"/>
    <x v="0"/>
    <s v="Std. Cirrus"/>
    <s v="GT"/>
    <s v=""/>
    <m/>
  </r>
  <r>
    <x v="62"/>
    <x v="9"/>
    <x v="0"/>
    <x v="24"/>
    <x v="1"/>
    <s v="FL 2023 - Klub"/>
    <s v="CZ"/>
    <n v="2023"/>
    <n v="7"/>
    <n v="501"/>
    <n v="0"/>
    <n v="1788"/>
    <n v="0"/>
    <x v="0"/>
    <x v="0"/>
    <s v="DG 300"/>
    <s v="WL"/>
    <s v=""/>
    <m/>
  </r>
  <r>
    <x v="63"/>
    <x v="1"/>
    <x v="0"/>
    <x v="6"/>
    <x v="2"/>
    <s v="FL 2023 - Klub"/>
    <s v="CZ"/>
    <n v="2023"/>
    <n v="8"/>
    <n v="419"/>
    <n v="0"/>
    <n v="1326"/>
    <n v="0"/>
    <x v="0"/>
    <x v="0"/>
    <s v="LS 1-f"/>
    <s v="EM"/>
    <s v=""/>
    <m/>
  </r>
  <r>
    <x v="64"/>
    <x v="28"/>
    <x v="0"/>
    <x v="6"/>
    <x v="2"/>
    <s v="FL 2023 - Klub"/>
    <s v="CZ"/>
    <n v="2023"/>
    <n v="9"/>
    <n v="285"/>
    <n v="0"/>
    <n v="782"/>
    <n v="0"/>
    <x v="0"/>
    <x v="0"/>
    <s v="Std. Cirrus"/>
    <s v="E"/>
    <s v=""/>
    <m/>
  </r>
  <r>
    <x v="65"/>
    <x v="16"/>
    <x v="0"/>
    <x v="28"/>
    <x v="2"/>
    <s v="FL 2023 - Klub"/>
    <s v="CZ"/>
    <n v="2023"/>
    <n v="10"/>
    <n v="0"/>
    <n v="0"/>
    <n v="0"/>
    <n v="0"/>
    <x v="0"/>
    <x v="0"/>
    <s v="Std. Cirrus"/>
    <n v="16"/>
    <s v=""/>
    <m/>
  </r>
  <r>
    <x v="66"/>
    <x v="27"/>
    <x v="0"/>
    <x v="27"/>
    <x v="2"/>
    <s v="FL 2023 - Klub"/>
    <s v="CZ"/>
    <n v="2023"/>
    <n v="10"/>
    <n v="0"/>
    <n v="0"/>
    <n v="0"/>
    <n v="0"/>
    <x v="0"/>
    <x v="0"/>
    <s v="ASW 19 B"/>
    <s v="JK"/>
    <s v=""/>
    <m/>
  </r>
  <r>
    <x v="67"/>
    <x v="6"/>
    <x v="0"/>
    <x v="18"/>
    <x v="2"/>
    <s v="FL 2023 - Kombi"/>
    <s v="CZ"/>
    <n v="2023"/>
    <n v="1"/>
    <n v="4392"/>
    <n v="0.91500000000000004"/>
    <n v="10000"/>
    <n v="9150"/>
    <x v="1"/>
    <x v="0"/>
    <s v="Nimbus 3T 24.5m"/>
    <s v="A1"/>
    <s v=""/>
    <m/>
  </r>
  <r>
    <x v="68"/>
    <x v="9"/>
    <x v="0"/>
    <x v="6"/>
    <x v="2"/>
    <s v="FL 2023 - Kombi"/>
    <s v="CZ"/>
    <n v="2023"/>
    <n v="2"/>
    <n v="4239"/>
    <n v="0.91500000000000004"/>
    <n v="9483"/>
    <n v="8677"/>
    <x v="1"/>
    <x v="0"/>
    <s v="Arcus M"/>
    <s v="FJ"/>
    <s v=""/>
    <m/>
  </r>
  <r>
    <x v="69"/>
    <x v="29"/>
    <x v="0"/>
    <x v="18"/>
    <x v="2"/>
    <s v="FL 2023 - Kombi"/>
    <s v="CZ"/>
    <n v="2023"/>
    <n v="3"/>
    <n v="3820"/>
    <n v="0.91500000000000004"/>
    <n v="8543"/>
    <n v="7817"/>
    <x v="1"/>
    <x v="0"/>
    <s v="DG 500M 22m"/>
    <s v="T1"/>
    <s v=""/>
    <m/>
  </r>
  <r>
    <x v="70"/>
    <x v="37"/>
    <x v="0"/>
    <x v="29"/>
    <x v="2"/>
    <s v="FL 2023 - Kombi"/>
    <s v="CZ"/>
    <n v="2023"/>
    <n v="4"/>
    <n v="3689"/>
    <n v="0.91500000000000004"/>
    <n v="8061"/>
    <n v="7376"/>
    <x v="0"/>
    <x v="0"/>
    <s v="Discus b"/>
    <s v="AI"/>
    <s v=""/>
    <m/>
  </r>
  <r>
    <x v="71"/>
    <x v="8"/>
    <x v="0"/>
    <x v="29"/>
    <x v="2"/>
    <s v="FL 2023 - Kombi"/>
    <s v="CZ"/>
    <n v="2023"/>
    <n v="5"/>
    <n v="3365"/>
    <n v="0.91500000000000004"/>
    <n v="7272"/>
    <n v="6654"/>
    <x v="0"/>
    <x v="0"/>
    <s v="ASW 20"/>
    <s v="MK"/>
    <s v=""/>
    <m/>
  </r>
  <r>
    <x v="72"/>
    <x v="2"/>
    <x v="0"/>
    <x v="30"/>
    <x v="2"/>
    <s v="FL 2023 - Kombi"/>
    <s v="CZ"/>
    <n v="2023"/>
    <n v="6"/>
    <n v="3074"/>
    <n v="0.91500000000000004"/>
    <n v="6536"/>
    <n v="5980"/>
    <x v="1"/>
    <x v="0"/>
    <s v="HpH 304 TS Twin Shark"/>
    <n v="11"/>
    <s v=""/>
    <m/>
  </r>
  <r>
    <x v="73"/>
    <x v="38"/>
    <x v="0"/>
    <x v="6"/>
    <x v="2"/>
    <s v="FL 2023 - Kombi"/>
    <s v="CZ"/>
    <n v="2023"/>
    <n v="7"/>
    <n v="2960"/>
    <n v="0.91500000000000004"/>
    <n v="6081"/>
    <n v="5564"/>
    <x v="1"/>
    <x v="0"/>
    <s v="LAK-12"/>
    <s v="DE"/>
    <s v=""/>
    <m/>
  </r>
  <r>
    <x v="74"/>
    <x v="36"/>
    <x v="0"/>
    <x v="18"/>
    <x v="2"/>
    <s v="FL 2023 - Kombi"/>
    <s v="CZ"/>
    <n v="2023"/>
    <n v="8"/>
    <n v="2053"/>
    <n v="0.91500000000000004"/>
    <n v="4363"/>
    <n v="3992"/>
    <x v="0"/>
    <x v="0"/>
    <s v="duo discus"/>
    <s v="OK"/>
    <s v=""/>
    <m/>
  </r>
  <r>
    <x v="75"/>
    <x v="39"/>
    <x v="0"/>
    <x v="31"/>
    <x v="0"/>
    <s v="FL 2023 - Kombi"/>
    <s v="CZ"/>
    <n v="2023"/>
    <n v="9"/>
    <n v="1890"/>
    <n v="0.91500000000000004"/>
    <n v="3830"/>
    <n v="3504"/>
    <x v="1"/>
    <x v="0"/>
    <s v="Discus b WL"/>
    <s v="SH"/>
    <s v=""/>
    <m/>
  </r>
  <r>
    <x v="76"/>
    <x v="40"/>
    <x v="0"/>
    <x v="30"/>
    <x v="2"/>
    <s v="FL 2023 - Kombi"/>
    <s v="CZ"/>
    <n v="2023"/>
    <n v="10"/>
    <n v="1368"/>
    <n v="0.91500000000000004"/>
    <n v="2726"/>
    <n v="2494"/>
    <x v="0"/>
    <x v="0"/>
    <s v="LAK 17A"/>
    <s v="GL"/>
    <s v=""/>
    <m/>
  </r>
  <r>
    <x v="77"/>
    <x v="41"/>
    <x v="0"/>
    <x v="30"/>
    <x v="2"/>
    <s v="FL 2023 - Kombi"/>
    <s v="CZ"/>
    <n v="2023"/>
    <n v="11"/>
    <n v="1278"/>
    <n v="0.91500000000000004"/>
    <n v="2310"/>
    <n v="2114"/>
    <x v="0"/>
    <x v="0"/>
    <s v="ASW 20 WL"/>
    <s v="NS"/>
    <s v=""/>
    <m/>
  </r>
  <r>
    <x v="78"/>
    <x v="5"/>
    <x v="0"/>
    <x v="29"/>
    <x v="2"/>
    <s v="FL 2023 - Kombi"/>
    <s v="CZ"/>
    <n v="2023"/>
    <n v="12"/>
    <n v="0"/>
    <n v="0.91500000000000004"/>
    <n v="0"/>
    <n v="0"/>
    <x v="0"/>
    <x v="0"/>
    <s v="Ventus 2c 18m"/>
    <s v="VJ"/>
    <s v=""/>
    <m/>
  </r>
  <r>
    <x v="79"/>
    <x v="5"/>
    <x v="0"/>
    <x v="18"/>
    <x v="2"/>
    <s v="FL 2023 - Kombi"/>
    <s v="CZ"/>
    <n v="2023"/>
    <n v="12"/>
    <n v="0"/>
    <n v="0.91500000000000004"/>
    <n v="0"/>
    <n v="0"/>
    <x v="0"/>
    <x v="0"/>
    <s v="Nimbus 3 25.5m"/>
    <s v="RF"/>
    <s v=""/>
    <m/>
  </r>
  <r>
    <x v="80"/>
    <x v="24"/>
    <x v="0"/>
    <x v="12"/>
    <x v="1"/>
    <s v="JPJ 2023 - Klub"/>
    <s v="CZ"/>
    <n v="2023"/>
    <n v="1"/>
    <n v="2829"/>
    <n v="0.90500000000000003"/>
    <n v="10000"/>
    <n v="9050"/>
    <x v="1"/>
    <x v="0"/>
    <s v="Std. Cirrus"/>
    <s v="AW"/>
    <s v=""/>
    <m/>
  </r>
  <r>
    <x v="3"/>
    <x v="3"/>
    <x v="0"/>
    <x v="3"/>
    <x v="2"/>
    <s v="JPJ 2023 - Klub"/>
    <s v="CZ"/>
    <n v="2023"/>
    <n v="2"/>
    <n v="2819"/>
    <n v="0.90500000000000003"/>
    <n v="9898"/>
    <n v="8958"/>
    <x v="0"/>
    <x v="0"/>
    <s v="LS-4"/>
    <s v="6L"/>
    <s v="Junior v roce 2026"/>
    <m/>
  </r>
  <r>
    <x v="81"/>
    <x v="8"/>
    <x v="0"/>
    <x v="23"/>
    <x v="0"/>
    <s v="JPJ 2023 - Klub"/>
    <s v="CZ"/>
    <n v="2023"/>
    <n v="3"/>
    <n v="2794"/>
    <n v="0.90500000000000003"/>
    <n v="9760"/>
    <n v="8833"/>
    <x v="1"/>
    <x v="0"/>
    <s v="Std. Cirrus"/>
    <s v="IMI"/>
    <s v=""/>
    <m/>
  </r>
  <r>
    <x v="82"/>
    <x v="36"/>
    <x v="0"/>
    <x v="32"/>
    <x v="2"/>
    <s v="JPJ 2023 - Klub"/>
    <s v="CZ"/>
    <n v="2023"/>
    <n v="4"/>
    <n v="2696"/>
    <n v="0.90500000000000003"/>
    <n v="9440"/>
    <n v="8543"/>
    <x v="1"/>
    <x v="0"/>
    <s v="Std. Cirrus WL"/>
    <s v="NK"/>
    <s v=""/>
    <m/>
  </r>
  <r>
    <x v="71"/>
    <x v="8"/>
    <x v="0"/>
    <x v="29"/>
    <x v="2"/>
    <s v="JPJ 2023 - Klub"/>
    <s v="CZ"/>
    <n v="2023"/>
    <n v="5"/>
    <n v="2643"/>
    <n v="0.90500000000000003"/>
    <n v="9232"/>
    <n v="8355"/>
    <x v="1"/>
    <x v="0"/>
    <s v="ASW-20 (A)+L+F 15m"/>
    <s v="MK"/>
    <s v=""/>
    <m/>
  </r>
  <r>
    <x v="83"/>
    <x v="5"/>
    <x v="0"/>
    <x v="2"/>
    <x v="0"/>
    <s v="JPJ 2023 - Klub"/>
    <s v="CZ"/>
    <n v="2023"/>
    <n v="6"/>
    <n v="2624"/>
    <n v="0.90500000000000003"/>
    <n v="9108"/>
    <n v="8243"/>
    <x v="1"/>
    <x v="0"/>
    <s v="Janus CM pevný podv."/>
    <s v="J59"/>
    <s v=""/>
    <m/>
  </r>
  <r>
    <x v="70"/>
    <x v="37"/>
    <x v="0"/>
    <x v="29"/>
    <x v="2"/>
    <s v="JPJ 2023 - Klub"/>
    <s v="CZ"/>
    <n v="2023"/>
    <n v="7"/>
    <n v="2581"/>
    <n v="0.90500000000000003"/>
    <n v="8925"/>
    <n v="8077"/>
    <x v="1"/>
    <x v="0"/>
    <s v="Discus b"/>
    <s v="AI"/>
    <s v=""/>
    <m/>
  </r>
  <r>
    <x v="84"/>
    <x v="35"/>
    <x v="0"/>
    <x v="32"/>
    <x v="2"/>
    <s v="JPJ 2023 - Klub"/>
    <s v="CZ"/>
    <n v="2023"/>
    <n v="8"/>
    <n v="2576"/>
    <n v="0.90500000000000003"/>
    <n v="8836"/>
    <n v="7997"/>
    <x v="1"/>
    <x v="0"/>
    <s v="Discus CS"/>
    <s v="CS"/>
    <s v=""/>
    <m/>
  </r>
  <r>
    <x v="85"/>
    <x v="36"/>
    <x v="0"/>
    <x v="33"/>
    <x v="2"/>
    <s v="JPJ 2023 - Klub"/>
    <s v="CZ"/>
    <n v="2023"/>
    <n v="9"/>
    <n v="2558"/>
    <n v="0.90500000000000003"/>
    <n v="8714"/>
    <n v="7886"/>
    <x v="1"/>
    <x v="0"/>
    <s v="Std. Cirrus"/>
    <s v="SJ"/>
    <s v=""/>
    <m/>
  </r>
  <r>
    <x v="77"/>
    <x v="41"/>
    <x v="0"/>
    <x v="30"/>
    <x v="2"/>
    <s v="JPJ 2023 - Klub"/>
    <s v="CZ"/>
    <n v="2023"/>
    <n v="10"/>
    <n v="2553"/>
    <n v="0.90500000000000003"/>
    <n v="8625"/>
    <n v="7806"/>
    <x v="1"/>
    <x v="0"/>
    <s v="ASW-20 (A)+L+F 15m"/>
    <s v="NS"/>
    <s v=""/>
    <m/>
  </r>
  <r>
    <x v="59"/>
    <x v="36"/>
    <x v="0"/>
    <x v="6"/>
    <x v="2"/>
    <s v="JPJ 2023 - Klub"/>
    <s v="CZ"/>
    <n v="2023"/>
    <n v="11"/>
    <n v="2483"/>
    <n v="0.90500000000000003"/>
    <n v="8375"/>
    <n v="7579"/>
    <x v="1"/>
    <x v="0"/>
    <s v="Std. Cirrus"/>
    <n v="22"/>
    <s v=""/>
    <m/>
  </r>
  <r>
    <x v="86"/>
    <x v="27"/>
    <x v="0"/>
    <x v="23"/>
    <x v="0"/>
    <s v="JPJ 2023 - Klub"/>
    <s v="CZ"/>
    <n v="2023"/>
    <n v="12"/>
    <n v="2428"/>
    <n v="0.90500000000000003"/>
    <n v="8162"/>
    <n v="7387"/>
    <x v="1"/>
    <x v="0"/>
    <s v="ASW-15B"/>
    <s v="JJ"/>
    <s v=""/>
    <m/>
  </r>
  <r>
    <x v="16"/>
    <x v="13"/>
    <x v="0"/>
    <x v="12"/>
    <x v="1"/>
    <s v="JPJ 2023 - Klub"/>
    <s v="CZ"/>
    <n v="2023"/>
    <n v="13"/>
    <n v="2354"/>
    <n v="0.90500000000000003"/>
    <n v="7902"/>
    <n v="7151"/>
    <x v="1"/>
    <x v="0"/>
    <s v="ASW-20 (A)+L+F 15m"/>
    <n v="67"/>
    <s v=""/>
    <m/>
  </r>
  <r>
    <x v="87"/>
    <x v="11"/>
    <x v="0"/>
    <x v="23"/>
    <x v="0"/>
    <s v="JPJ 2023 - Klub"/>
    <s v="CZ"/>
    <n v="2023"/>
    <n v="14"/>
    <n v="2331"/>
    <n v="0.90500000000000003"/>
    <n v="7768"/>
    <n v="7030"/>
    <x v="1"/>
    <x v="0"/>
    <s v="ASW-19B"/>
    <s v="HD"/>
    <s v=""/>
    <m/>
  </r>
  <r>
    <x v="88"/>
    <x v="9"/>
    <x v="0"/>
    <x v="28"/>
    <x v="2"/>
    <s v="JPJ 2023 - Klub"/>
    <s v="CZ"/>
    <n v="2023"/>
    <n v="15"/>
    <n v="2284"/>
    <n v="0.90500000000000003"/>
    <n v="7575"/>
    <n v="6855"/>
    <x v="1"/>
    <x v="0"/>
    <s v="Discus b"/>
    <s v="SJP"/>
    <s v=""/>
    <m/>
  </r>
  <r>
    <x v="89"/>
    <x v="5"/>
    <x v="0"/>
    <x v="28"/>
    <x v="2"/>
    <s v="JPJ 2023 - Klub"/>
    <s v="CZ"/>
    <n v="2023"/>
    <n v="16"/>
    <n v="2282"/>
    <n v="0.90500000000000003"/>
    <n v="7493"/>
    <n v="6781"/>
    <x v="1"/>
    <x v="0"/>
    <s v="LS-3a 15m"/>
    <s v="S20"/>
    <s v=""/>
    <m/>
  </r>
  <r>
    <x v="90"/>
    <x v="42"/>
    <x v="0"/>
    <x v="18"/>
    <x v="2"/>
    <s v="JPJ 2023 - Klub"/>
    <s v="CZ"/>
    <n v="2023"/>
    <n v="17"/>
    <n v="2235"/>
    <n v="0.90500000000000003"/>
    <n v="7299"/>
    <n v="6606"/>
    <x v="0"/>
    <x v="0"/>
    <s v="TST-10M Atlas"/>
    <n v="7"/>
    <s v=""/>
    <m/>
  </r>
  <r>
    <x v="91"/>
    <x v="2"/>
    <x v="0"/>
    <x v="28"/>
    <x v="2"/>
    <s v="JPJ 2023 - Klub"/>
    <s v="CZ"/>
    <n v="2023"/>
    <n v="18"/>
    <n v="2223"/>
    <n v="0.90500000000000003"/>
    <n v="7193"/>
    <n v="6510"/>
    <x v="1"/>
    <x v="0"/>
    <s v="ASW-15B"/>
    <s v="Q1"/>
    <s v=""/>
    <m/>
  </r>
  <r>
    <x v="92"/>
    <x v="35"/>
    <x v="0"/>
    <x v="34"/>
    <x v="2"/>
    <s v="JPJ 2023 - Klub"/>
    <s v="CZ"/>
    <n v="2023"/>
    <n v="19"/>
    <n v="2219"/>
    <n v="0.90500000000000003"/>
    <n v="7106"/>
    <n v="6431"/>
    <x v="1"/>
    <x v="0"/>
    <s v="DG-101 G"/>
    <s v="HE"/>
    <s v=""/>
    <m/>
  </r>
  <r>
    <x v="93"/>
    <x v="9"/>
    <x v="0"/>
    <x v="34"/>
    <x v="2"/>
    <s v="JPJ 2023 - Klub"/>
    <s v="CZ"/>
    <n v="2023"/>
    <n v="20"/>
    <n v="2139"/>
    <n v="0.90500000000000003"/>
    <n v="6831"/>
    <n v="6182"/>
    <x v="1"/>
    <x v="0"/>
    <s v="LS-3 15m"/>
    <s v="Y1"/>
    <s v=""/>
    <m/>
  </r>
  <r>
    <x v="63"/>
    <x v="1"/>
    <x v="0"/>
    <x v="6"/>
    <x v="2"/>
    <s v="JPJ 2023 - Klub"/>
    <s v="CZ"/>
    <n v="2023"/>
    <n v="21"/>
    <n v="1956"/>
    <n v="0.90500000000000003"/>
    <n v="6301"/>
    <n v="5702"/>
    <x v="1"/>
    <x v="0"/>
    <s v="LS-1f"/>
    <s v="EM"/>
    <s v=""/>
    <m/>
  </r>
  <r>
    <x v="94"/>
    <x v="43"/>
    <x v="0"/>
    <x v="35"/>
    <x v="2"/>
    <s v="JPJ 2023 - Klub"/>
    <s v="CZ"/>
    <n v="2023"/>
    <n v="22"/>
    <n v="1950"/>
    <n v="0.90500000000000003"/>
    <n v="6210"/>
    <n v="5620"/>
    <x v="1"/>
    <x v="0"/>
    <s v="ASW-15B"/>
    <s v="FK"/>
    <s v=""/>
    <m/>
  </r>
  <r>
    <x v="95"/>
    <x v="23"/>
    <x v="0"/>
    <x v="28"/>
    <x v="2"/>
    <s v="JPJ 2023 - Klub"/>
    <s v="CZ"/>
    <n v="2023"/>
    <n v="23"/>
    <n v="1945"/>
    <n v="0.90500000000000003"/>
    <n v="6120"/>
    <n v="5539"/>
    <x v="1"/>
    <x v="0"/>
    <s v="ASW-19B"/>
    <s v="B8"/>
    <s v=""/>
    <m/>
  </r>
  <r>
    <x v="96"/>
    <x v="2"/>
    <x v="0"/>
    <x v="2"/>
    <x v="0"/>
    <s v="JPJ 2023 - Klub"/>
    <s v="CZ"/>
    <n v="2023"/>
    <n v="24"/>
    <n v="1887"/>
    <n v="0.90500000000000003"/>
    <n v="5900"/>
    <n v="5340"/>
    <x v="0"/>
    <x v="0"/>
    <s v="Cirrus"/>
    <s v="JP"/>
    <s v=""/>
    <m/>
  </r>
  <r>
    <x v="97"/>
    <x v="43"/>
    <x v="0"/>
    <x v="0"/>
    <x v="0"/>
    <s v="JPJ 2023 - Klub"/>
    <s v="CZ"/>
    <n v="2023"/>
    <n v="25"/>
    <n v="1863"/>
    <n v="0.90500000000000003"/>
    <n v="5764"/>
    <n v="5216"/>
    <x v="0"/>
    <x v="0"/>
    <s v="Std. Cirrus"/>
    <s v="C1"/>
    <s v=""/>
    <m/>
  </r>
  <r>
    <x v="66"/>
    <x v="27"/>
    <x v="0"/>
    <x v="27"/>
    <x v="2"/>
    <s v="JPJ 2023 - Klub"/>
    <s v="CZ"/>
    <n v="2023"/>
    <n v="26"/>
    <n v="1802"/>
    <n v="0.90500000000000003"/>
    <n v="5536"/>
    <n v="5010"/>
    <x v="0"/>
    <x v="0"/>
    <s v="ASW-19B"/>
    <s v="JK"/>
    <s v=""/>
    <m/>
  </r>
  <r>
    <x v="98"/>
    <x v="36"/>
    <x v="0"/>
    <x v="35"/>
    <x v="2"/>
    <s v="JPJ 2023 - Klub"/>
    <s v="CZ"/>
    <n v="2023"/>
    <n v="27"/>
    <n v="1640"/>
    <n v="0.90500000000000003"/>
    <n v="5058"/>
    <n v="4577"/>
    <x v="0"/>
    <x v="0"/>
    <s v="Std. Cirrus"/>
    <s v="RT"/>
    <s v=""/>
    <m/>
  </r>
  <r>
    <x v="99"/>
    <x v="25"/>
    <x v="0"/>
    <x v="18"/>
    <x v="2"/>
    <s v="JPJ 2023 - Klub"/>
    <s v="CZ"/>
    <n v="2023"/>
    <n v="28"/>
    <n v="1591"/>
    <n v="0.90500000000000003"/>
    <n v="4860"/>
    <n v="4398"/>
    <x v="1"/>
    <x v="0"/>
    <s v="ASW-19B"/>
    <n v="19"/>
    <s v=""/>
    <m/>
  </r>
  <r>
    <x v="100"/>
    <x v="44"/>
    <x v="0"/>
    <x v="30"/>
    <x v="2"/>
    <s v="JPJ 2023 - Klub"/>
    <s v="CZ"/>
    <n v="2023"/>
    <n v="29"/>
    <n v="1590"/>
    <n v="0.90500000000000003"/>
    <n v="4780"/>
    <n v="4326"/>
    <x v="0"/>
    <x v="0"/>
    <s v="Std. Cirrus"/>
    <s v="MJ"/>
    <s v="Junior v roce 2026"/>
    <m/>
  </r>
  <r>
    <x v="101"/>
    <x v="18"/>
    <x v="0"/>
    <x v="28"/>
    <x v="2"/>
    <s v="JPJ 2023 - Klub"/>
    <s v="CZ"/>
    <n v="2023"/>
    <n v="30"/>
    <n v="1492"/>
    <n v="0.90500000000000003"/>
    <n v="4461"/>
    <n v="4037"/>
    <x v="1"/>
    <x v="0"/>
    <s v="ASW-15B"/>
    <s v="R5"/>
    <s v=""/>
    <m/>
  </r>
  <r>
    <x v="102"/>
    <x v="35"/>
    <x v="0"/>
    <x v="28"/>
    <x v="2"/>
    <s v="JPJ 2023 - Klub"/>
    <s v="CZ"/>
    <n v="2023"/>
    <n v="31"/>
    <n v="1162"/>
    <n v="0.90500000000000003"/>
    <n v="3568"/>
    <n v="3229"/>
    <x v="1"/>
    <x v="0"/>
    <s v="Discus CS"/>
    <s v="VE"/>
    <s v=""/>
    <m/>
  </r>
  <r>
    <x v="61"/>
    <x v="31"/>
    <x v="0"/>
    <x v="27"/>
    <x v="2"/>
    <s v="JPJ 2023 - Klub"/>
    <s v="CZ"/>
    <n v="2023"/>
    <n v="32"/>
    <n v="1034"/>
    <n v="0.90500000000000003"/>
    <n v="3174"/>
    <n v="2872"/>
    <x v="0"/>
    <x v="0"/>
    <s v="Std. Cirrus"/>
    <s v="GT"/>
    <s v=""/>
    <m/>
  </r>
  <r>
    <x v="103"/>
    <x v="16"/>
    <x v="2"/>
    <x v="34"/>
    <x v="2"/>
    <s v="JPJ 2023 - Klub"/>
    <s v="CZ"/>
    <n v="2023"/>
    <n v="33"/>
    <n v="632"/>
    <n v="0.90500000000000003"/>
    <n v="2102"/>
    <n v="1902"/>
    <x v="0"/>
    <x v="0"/>
    <s v="ASW-15"/>
    <s v="YZ"/>
    <s v=""/>
    <m/>
  </r>
  <r>
    <x v="104"/>
    <x v="21"/>
    <x v="0"/>
    <x v="27"/>
    <x v="2"/>
    <s v="JPJ 2023 - Klub"/>
    <s v="CZ"/>
    <n v="2023"/>
    <n v="34"/>
    <n v="498"/>
    <n v="0.90500000000000003"/>
    <n v="1694"/>
    <n v="1533"/>
    <x v="1"/>
    <x v="0"/>
    <s v="LS-1f"/>
    <s v="DP"/>
    <s v=""/>
    <m/>
  </r>
  <r>
    <x v="105"/>
    <x v="37"/>
    <x v="0"/>
    <x v="18"/>
    <x v="2"/>
    <s v="JPJ 2023 - Klub"/>
    <s v="CZ"/>
    <n v="2023"/>
    <n v="34"/>
    <n v="498"/>
    <n v="0.90500000000000003"/>
    <n v="1694"/>
    <n v="1533"/>
    <x v="1"/>
    <x v="0"/>
    <s v="Mini-Nimbus c"/>
    <s v="I"/>
    <s v=""/>
    <m/>
  </r>
  <r>
    <x v="106"/>
    <x v="11"/>
    <x v="0"/>
    <x v="35"/>
    <x v="2"/>
    <s v="JPJ 2023 - Klub"/>
    <s v="CZ"/>
    <n v="2023"/>
    <n v="36"/>
    <n v="325"/>
    <n v="0.90500000000000003"/>
    <n v="1112"/>
    <n v="1006"/>
    <x v="1"/>
    <x v="0"/>
    <s v="Std. Cirrus"/>
    <s v="ER"/>
    <s v=""/>
    <m/>
  </r>
  <r>
    <x v="107"/>
    <x v="31"/>
    <x v="0"/>
    <x v="27"/>
    <x v="2"/>
    <s v="JPJ 2023 - Klub"/>
    <s v="CZ"/>
    <n v="2023"/>
    <n v="37"/>
    <n v="306"/>
    <n v="0.90500000000000003"/>
    <n v="988"/>
    <n v="894"/>
    <x v="1"/>
    <x v="0"/>
    <s v="G-102 Astir CS 77"/>
    <s v="AS"/>
    <s v=""/>
    <m/>
  </r>
  <r>
    <x v="108"/>
    <x v="28"/>
    <x v="0"/>
    <x v="27"/>
    <x v="2"/>
    <s v="JPJ 2023 - Klub"/>
    <s v="CZ"/>
    <n v="2023"/>
    <n v="38"/>
    <n v="304"/>
    <n v="0.90500000000000003"/>
    <n v="906"/>
    <n v="820"/>
    <x v="1"/>
    <x v="0"/>
    <s v="DG-1001S 18m"/>
    <n v="66"/>
    <s v=""/>
    <m/>
  </r>
  <r>
    <x v="109"/>
    <x v="25"/>
    <x v="0"/>
    <x v="27"/>
    <x v="2"/>
    <s v="JPJ 2023 - Klub"/>
    <s v="CZ"/>
    <n v="2023"/>
    <n v="39"/>
    <n v="298"/>
    <n v="0.90500000000000003"/>
    <n v="814"/>
    <n v="737"/>
    <x v="0"/>
    <x v="0"/>
    <s v="DG-400 15m"/>
    <s v="MR"/>
    <s v=""/>
    <m/>
  </r>
  <r>
    <x v="65"/>
    <x v="16"/>
    <x v="0"/>
    <x v="28"/>
    <x v="2"/>
    <s v="JPJ 2023 - Klub"/>
    <s v="CZ"/>
    <n v="2023"/>
    <n v="40"/>
    <n v="59"/>
    <n v="0.90500000000000003"/>
    <n v="146"/>
    <n v="132"/>
    <x v="1"/>
    <x v="0"/>
    <s v="Std. Cirrus"/>
    <n v="16"/>
    <s v=""/>
    <m/>
  </r>
  <r>
    <x v="110"/>
    <x v="29"/>
    <x v="0"/>
    <x v="34"/>
    <x v="2"/>
    <s v="JPJ 2023 - Kombi"/>
    <s v="CZ"/>
    <n v="2023"/>
    <n v="1"/>
    <n v="2757"/>
    <n v="0.91500000000000004"/>
    <n v="10000"/>
    <n v="9150"/>
    <x v="1"/>
    <x v="0"/>
    <s v="Ventus 3M 18m"/>
    <s v="JS"/>
    <s v=""/>
    <m/>
  </r>
  <r>
    <x v="111"/>
    <x v="45"/>
    <x v="0"/>
    <x v="28"/>
    <x v="2"/>
    <s v="JPJ 2023 - Kombi"/>
    <s v="CZ"/>
    <n v="2023"/>
    <n v="2"/>
    <n v="2733"/>
    <n v="0.91500000000000004"/>
    <n v="9772"/>
    <n v="8941"/>
    <x v="1"/>
    <x v="0"/>
    <s v="Ventus cm 17,6m"/>
    <s v="IHH"/>
    <s v=""/>
    <m/>
  </r>
  <r>
    <x v="67"/>
    <x v="6"/>
    <x v="0"/>
    <x v="18"/>
    <x v="2"/>
    <s v="JPJ 2023 - Kombi"/>
    <s v="CZ"/>
    <n v="2023"/>
    <n v="3"/>
    <n v="2597"/>
    <n v="0.91500000000000004"/>
    <n v="9260"/>
    <n v="8473"/>
    <x v="0"/>
    <x v="0"/>
    <s v="Nimbus 3T 24,5m WL 750kg"/>
    <s v="A1"/>
    <s v=""/>
    <m/>
  </r>
  <r>
    <x v="112"/>
    <x v="25"/>
    <x v="0"/>
    <x v="10"/>
    <x v="0"/>
    <s v="JPJ 2023 - Kombi"/>
    <s v="CZ"/>
    <n v="2023"/>
    <n v="4"/>
    <n v="2254"/>
    <n v="0.91500000000000004"/>
    <n v="8223"/>
    <n v="7524"/>
    <x v="1"/>
    <x v="0"/>
    <s v="Duo Discus T 700kg"/>
    <s v="ZS"/>
    <s v=""/>
    <m/>
  </r>
  <r>
    <x v="52"/>
    <x v="33"/>
    <x v="0"/>
    <x v="15"/>
    <x v="1"/>
    <s v="JPJ 2023 - Kombi"/>
    <s v="CZ"/>
    <n v="2023"/>
    <n v="5"/>
    <n v="2251"/>
    <n v="0.91500000000000004"/>
    <n v="8049"/>
    <n v="7365"/>
    <x v="1"/>
    <x v="0"/>
    <s v="LS-8 15m"/>
    <s v="ZB"/>
    <s v=""/>
    <m/>
  </r>
  <r>
    <x v="74"/>
    <x v="36"/>
    <x v="0"/>
    <x v="18"/>
    <x v="2"/>
    <s v="JPJ 2023 - Kombi"/>
    <s v="CZ"/>
    <n v="2023"/>
    <n v="6"/>
    <n v="2164"/>
    <n v="0.91500000000000004"/>
    <n v="7661"/>
    <n v="7010"/>
    <x v="1"/>
    <x v="0"/>
    <s v="Ventus cm 17,6m"/>
    <s v="ŠNeK"/>
    <s v=""/>
    <m/>
  </r>
  <r>
    <x v="113"/>
    <x v="6"/>
    <x v="0"/>
    <x v="35"/>
    <x v="2"/>
    <s v="JPJ 2023 - Kombi"/>
    <s v="CZ"/>
    <n v="2023"/>
    <n v="7"/>
    <n v="1956"/>
    <n v="0.91500000000000004"/>
    <n v="6966"/>
    <n v="6374"/>
    <x v="1"/>
    <x v="0"/>
    <s v="Nimbus 2b"/>
    <s v="HT"/>
    <s v=""/>
    <m/>
  </r>
  <r>
    <x v="114"/>
    <x v="25"/>
    <x v="2"/>
    <x v="36"/>
    <x v="2"/>
    <s v="JPJ 2023 - Kombi"/>
    <s v="CZ"/>
    <n v="2023"/>
    <n v="8"/>
    <n v="1774"/>
    <n v="0.91500000000000004"/>
    <n v="6338"/>
    <n v="5799"/>
    <x v="1"/>
    <x v="1"/>
    <s v="LS-6c 18m WL"/>
    <s v="MM"/>
    <s v=""/>
    <m/>
  </r>
  <r>
    <x v="115"/>
    <x v="41"/>
    <x v="0"/>
    <x v="28"/>
    <x v="2"/>
    <s v="JPJ 2023 - Kombi"/>
    <s v="CZ"/>
    <n v="2023"/>
    <n v="9"/>
    <n v="1661"/>
    <n v="0.91500000000000004"/>
    <n v="5884"/>
    <n v="5384"/>
    <x v="1"/>
    <x v="0"/>
    <s v="LS-8-18 18m"/>
    <s v="GL"/>
    <s v=""/>
    <m/>
  </r>
  <r>
    <x v="44"/>
    <x v="29"/>
    <x v="0"/>
    <x v="10"/>
    <x v="0"/>
    <s v="JPJ 2023 - Kombi"/>
    <s v="CZ"/>
    <n v="2023"/>
    <n v="10"/>
    <n v="1645"/>
    <n v="0.91500000000000004"/>
    <n v="5677"/>
    <n v="5194"/>
    <x v="0"/>
    <x v="0"/>
    <s v="HpH 304MS SHARK 18m 600kg"/>
    <s v="DJ"/>
    <s v=""/>
    <m/>
  </r>
  <r>
    <x v="116"/>
    <x v="21"/>
    <x v="0"/>
    <x v="27"/>
    <x v="2"/>
    <s v="JPJ 2023 - Kombi"/>
    <s v="CZ"/>
    <n v="2023"/>
    <n v="11"/>
    <n v="1632"/>
    <n v="0.91500000000000004"/>
    <n v="5477"/>
    <n v="5011"/>
    <x v="1"/>
    <x v="0"/>
    <s v="Ventus 2cm 18m 525kg"/>
    <s v="FN"/>
    <s v=""/>
    <m/>
  </r>
  <r>
    <x v="117"/>
    <x v="32"/>
    <x v="0"/>
    <x v="37"/>
    <x v="1"/>
    <s v="JPJ 2023 - Kombi"/>
    <s v="CZ"/>
    <n v="2023"/>
    <n v="12"/>
    <n v="1559"/>
    <n v="0.91500000000000004"/>
    <n v="5125"/>
    <n v="4689"/>
    <x v="1"/>
    <x v="0"/>
    <s v="Duo Discus 700kg"/>
    <s v="VP"/>
    <s v=""/>
    <m/>
  </r>
  <r>
    <x v="118"/>
    <x v="31"/>
    <x v="0"/>
    <x v="34"/>
    <x v="2"/>
    <s v="JPJ 2023 - Kombi"/>
    <s v="CZ"/>
    <n v="2023"/>
    <n v="13"/>
    <n v="1282"/>
    <n v="0.91500000000000004"/>
    <n v="4255"/>
    <n v="3893"/>
    <x v="1"/>
    <x v="0"/>
    <s v="Nimbus 2b"/>
    <s v="MT"/>
    <s v=""/>
    <m/>
  </r>
  <r>
    <x v="76"/>
    <x v="40"/>
    <x v="0"/>
    <x v="30"/>
    <x v="2"/>
    <s v="JPJ 2023 - Kombi"/>
    <s v="CZ"/>
    <n v="2023"/>
    <n v="14"/>
    <n v="1187"/>
    <n v="0.91500000000000004"/>
    <n v="3847"/>
    <n v="3520"/>
    <x v="1"/>
    <x v="0"/>
    <s v="LAK-17AT 18m"/>
    <s v="GLK"/>
    <s v=""/>
    <m/>
  </r>
  <r>
    <x v="119"/>
    <x v="22"/>
    <x v="0"/>
    <x v="37"/>
    <x v="1"/>
    <s v="JPJ 2023 - Kombi"/>
    <s v="CZ"/>
    <n v="2023"/>
    <n v="15"/>
    <n v="1186"/>
    <n v="0.91500000000000004"/>
    <n v="3678"/>
    <n v="3365"/>
    <x v="0"/>
    <x v="0"/>
    <s v="Ventus 2cxm 18m 565kg"/>
    <s v="E8"/>
    <s v=""/>
    <m/>
  </r>
  <r>
    <x v="120"/>
    <x v="42"/>
    <x v="0"/>
    <x v="18"/>
    <x v="2"/>
    <s v="JPJ 2023 - Kombi"/>
    <s v="CZ"/>
    <n v="2023"/>
    <n v="16"/>
    <n v="1012"/>
    <n v="0.91500000000000004"/>
    <n v="3069"/>
    <n v="2808"/>
    <x v="1"/>
    <x v="0"/>
    <s v="Duo Discus 700kg"/>
    <s v="OK"/>
    <s v=""/>
    <m/>
  </r>
  <r>
    <x v="121"/>
    <x v="32"/>
    <x v="0"/>
    <x v="15"/>
    <x v="1"/>
    <s v="JPJ 2023 - Kombi"/>
    <s v="CZ"/>
    <n v="2023"/>
    <n v="17"/>
    <n v="861"/>
    <n v="0.91500000000000004"/>
    <n v="2519"/>
    <n v="2305"/>
    <x v="1"/>
    <x v="0"/>
    <s v="Ventus 2cm 18m 525kg"/>
    <s v="OZ"/>
    <s v=""/>
    <m/>
  </r>
  <r>
    <x v="122"/>
    <x v="46"/>
    <x v="0"/>
    <x v="18"/>
    <x v="2"/>
    <s v="JPJ 2023 - Kombi"/>
    <s v="CZ"/>
    <n v="2023"/>
    <n v="18"/>
    <n v="548"/>
    <n v="0.91500000000000004"/>
    <n v="1558"/>
    <n v="1426"/>
    <x v="1"/>
    <x v="0"/>
    <s v="Nimbus 2b"/>
    <s v="AY"/>
    <s v=""/>
    <m/>
  </r>
  <r>
    <x v="78"/>
    <x v="5"/>
    <x v="0"/>
    <x v="29"/>
    <x v="2"/>
    <s v="JPJ 2023 - Kombi"/>
    <s v="CZ"/>
    <n v="2023"/>
    <n v="19"/>
    <n v="217"/>
    <n v="0.91500000000000004"/>
    <n v="551"/>
    <n v="504"/>
    <x v="1"/>
    <x v="0"/>
    <s v="Ventus 2cm 18m 525kg"/>
    <s v="VJ"/>
    <s v=""/>
    <m/>
  </r>
  <r>
    <x v="123"/>
    <x v="37"/>
    <x v="0"/>
    <x v="7"/>
    <x v="2"/>
    <s v="PMRg 2023 - Klub"/>
    <s v="CZ"/>
    <n v="2023"/>
    <n v="1"/>
    <n v="8730"/>
    <n v="0.93"/>
    <n v="10000"/>
    <n v="9300"/>
    <x v="1"/>
    <x v="0"/>
    <s v="ASW-19B"/>
    <s v="NO"/>
    <s v=""/>
    <m/>
  </r>
  <r>
    <x v="124"/>
    <x v="30"/>
    <x v="0"/>
    <x v="21"/>
    <x v="0"/>
    <s v="PMRg 2023 - Klub"/>
    <s v="CZ"/>
    <n v="2023"/>
    <n v="2"/>
    <n v="8448"/>
    <n v="0.93"/>
    <n v="9543"/>
    <n v="8875"/>
    <x v="1"/>
    <x v="0"/>
    <s v="ASW-19"/>
    <s v="XS"/>
    <s v=""/>
    <m/>
  </r>
  <r>
    <x v="125"/>
    <x v="9"/>
    <x v="0"/>
    <x v="22"/>
    <x v="0"/>
    <s v="PMRg 2023 - Klub"/>
    <s v="CZ"/>
    <n v="2023"/>
    <n v="3"/>
    <n v="7660"/>
    <n v="0.93"/>
    <n v="8681"/>
    <n v="8073"/>
    <x v="1"/>
    <x v="0"/>
    <s v="Std. Cirrus"/>
    <s v="GT"/>
    <s v=""/>
    <m/>
  </r>
  <r>
    <x v="126"/>
    <x v="47"/>
    <x v="0"/>
    <x v="38"/>
    <x v="1"/>
    <s v="PMRg 2023 - Klub"/>
    <s v="CZ"/>
    <n v="2023"/>
    <n v="4"/>
    <n v="7225"/>
    <n v="0.93"/>
    <n v="8101"/>
    <n v="7534"/>
    <x v="1"/>
    <x v="0"/>
    <s v="ASW-15B"/>
    <s v="CW"/>
    <s v=""/>
    <m/>
  </r>
  <r>
    <x v="127"/>
    <x v="36"/>
    <x v="0"/>
    <x v="39"/>
    <x v="0"/>
    <s v="PMRg 2023 - Klub"/>
    <s v="CZ"/>
    <n v="2023"/>
    <n v="5"/>
    <n v="5980"/>
    <n v="0.93"/>
    <n v="6872"/>
    <n v="6391"/>
    <x v="1"/>
    <x v="0"/>
    <s v="VSO-10"/>
    <n v="9"/>
    <s v=""/>
    <m/>
  </r>
  <r>
    <x v="128"/>
    <x v="21"/>
    <x v="0"/>
    <x v="3"/>
    <x v="2"/>
    <s v="PMRg 2023 - Klub"/>
    <s v="CZ"/>
    <n v="2023"/>
    <n v="6"/>
    <n v="5915"/>
    <n v="0.93"/>
    <n v="6589"/>
    <n v="6128"/>
    <x v="1"/>
    <x v="0"/>
    <s v="STD. Cirrus"/>
    <s v="ZL"/>
    <s v=""/>
    <m/>
  </r>
  <r>
    <x v="129"/>
    <x v="15"/>
    <x v="0"/>
    <x v="39"/>
    <x v="0"/>
    <s v="PMRg 2023 - Klub"/>
    <s v="CZ"/>
    <n v="2023"/>
    <n v="7"/>
    <n v="5909"/>
    <n v="0.93"/>
    <n v="6353"/>
    <n v="5908"/>
    <x v="1"/>
    <x v="0"/>
    <s v="Std. Cirrus"/>
    <s v="UY"/>
    <s v=""/>
    <m/>
  </r>
  <r>
    <x v="130"/>
    <x v="26"/>
    <x v="0"/>
    <x v="39"/>
    <x v="0"/>
    <s v="PMRg 2023 - Klub"/>
    <s v="CZ"/>
    <n v="2023"/>
    <n v="8"/>
    <n v="5599"/>
    <n v="0.93"/>
    <n v="5874"/>
    <n v="5463"/>
    <x v="1"/>
    <x v="0"/>
    <s v="DG-100"/>
    <s v="8W"/>
    <s v=""/>
    <m/>
  </r>
  <r>
    <x v="131"/>
    <x v="16"/>
    <x v="0"/>
    <x v="39"/>
    <x v="0"/>
    <s v="PMRg 2023 - Klub"/>
    <s v="CZ"/>
    <n v="2023"/>
    <n v="9"/>
    <n v="4969"/>
    <n v="0.93"/>
    <n v="5138"/>
    <n v="4778"/>
    <x v="0"/>
    <x v="0"/>
    <s v="ASW-15B"/>
    <s v="HH"/>
    <s v=""/>
    <m/>
  </r>
  <r>
    <x v="132"/>
    <x v="24"/>
    <x v="0"/>
    <x v="39"/>
    <x v="0"/>
    <s v="PMRg 2023 - Klub"/>
    <s v="CZ"/>
    <n v="2023"/>
    <n v="10"/>
    <n v="4846"/>
    <n v="0.93"/>
    <n v="4809"/>
    <n v="4472"/>
    <x v="1"/>
    <x v="0"/>
    <s v="Std. Cirrus"/>
    <s v="XII"/>
    <s v=""/>
    <m/>
  </r>
  <r>
    <x v="133"/>
    <x v="24"/>
    <x v="0"/>
    <x v="39"/>
    <x v="0"/>
    <s v="PMRg 2023 - Klub"/>
    <s v="CZ"/>
    <n v="2023"/>
    <n v="11"/>
    <n v="4331"/>
    <n v="0.93"/>
    <n v="4165"/>
    <n v="3873"/>
    <x v="0"/>
    <x v="0"/>
    <s v="DG-100"/>
    <n v="78"/>
    <s v=""/>
    <m/>
  </r>
  <r>
    <x v="134"/>
    <x v="21"/>
    <x v="0"/>
    <x v="39"/>
    <x v="0"/>
    <s v="PMRg 2023 - Klub"/>
    <s v="CZ"/>
    <n v="2023"/>
    <n v="12"/>
    <n v="3358"/>
    <n v="0.93"/>
    <n v="3154"/>
    <n v="2933"/>
    <x v="0"/>
    <x v="0"/>
    <s v="DG-200"/>
    <s v="EK"/>
    <s v=""/>
    <m/>
  </r>
  <r>
    <x v="135"/>
    <x v="9"/>
    <x v="0"/>
    <x v="39"/>
    <x v="0"/>
    <s v="PMRg 2023 - Klub"/>
    <s v="CZ"/>
    <n v="2023"/>
    <n v="13"/>
    <n v="2234"/>
    <n v="0.93"/>
    <n v="2022"/>
    <n v="1880"/>
    <x v="0"/>
    <x v="0"/>
    <s v="ASW-19"/>
    <s v="BO"/>
    <s v=""/>
    <m/>
  </r>
  <r>
    <x v="136"/>
    <x v="30"/>
    <x v="0"/>
    <x v="39"/>
    <x v="0"/>
    <s v="PMRg 2023 - Klub"/>
    <s v="CZ"/>
    <n v="2023"/>
    <n v="14"/>
    <n v="0"/>
    <n v="0.93"/>
    <n v="0"/>
    <n v="0"/>
    <x v="0"/>
    <x v="0"/>
    <s v="ASW-15B"/>
    <s v="6Y"/>
    <s v=""/>
    <m/>
  </r>
  <r>
    <x v="3"/>
    <x v="3"/>
    <x v="0"/>
    <x v="3"/>
    <x v="2"/>
    <s v="PMRg, PMČRj 2023 - Kombi"/>
    <s v="CZ"/>
    <n v="2023"/>
    <n v="1"/>
    <n v="9417"/>
    <n v="0.95000000000000007"/>
    <n v="10000"/>
    <n v="9500"/>
    <x v="0"/>
    <x v="0"/>
    <s v="LS 8 15m"/>
    <s v="AU"/>
    <s v="Junior v roce 2026"/>
    <m/>
  </r>
  <r>
    <x v="137"/>
    <x v="48"/>
    <x v="0"/>
    <x v="15"/>
    <x v="1"/>
    <s v="PMRg, PMČRj 2023 - Kombi"/>
    <s v="CZ"/>
    <n v="2023"/>
    <n v="2"/>
    <n v="9221"/>
    <n v="0.95000000000000007"/>
    <n v="9554"/>
    <n v="9076"/>
    <x v="0"/>
    <x v="0"/>
    <s v="LS 8A"/>
    <s v="EU"/>
    <s v=""/>
    <m/>
  </r>
  <r>
    <x v="138"/>
    <x v="37"/>
    <x v="0"/>
    <x v="39"/>
    <x v="0"/>
    <s v="PMRg, PMČRj 2023 - Kombi"/>
    <s v="CZ"/>
    <n v="2023"/>
    <n v="3"/>
    <n v="8601"/>
    <n v="0.95000000000000007"/>
    <n v="8793"/>
    <n v="8353"/>
    <x v="1"/>
    <x v="0"/>
    <s v="Duo Discus"/>
    <s v="BB"/>
    <s v=""/>
    <m/>
  </r>
  <r>
    <x v="139"/>
    <x v="4"/>
    <x v="1"/>
    <x v="40"/>
    <x v="3"/>
    <s v="PMRg, PMČRj 2023 - Kombi"/>
    <s v="CZ"/>
    <n v="2023"/>
    <n v="4"/>
    <n v="7258"/>
    <n v="0.95000000000000007"/>
    <n v="7495"/>
    <n v="7120"/>
    <x v="0"/>
    <x v="0"/>
    <s v="LAK-17A WL 15m"/>
    <s v="LE"/>
    <s v="Není v databázi"/>
    <m/>
  </r>
  <r>
    <x v="140"/>
    <x v="27"/>
    <x v="0"/>
    <x v="39"/>
    <x v="0"/>
    <s v="PMRg, PMČRj 2023 - Kombi"/>
    <s v="CZ"/>
    <n v="2023"/>
    <n v="5"/>
    <n v="6880"/>
    <n v="0.95000000000000007"/>
    <n v="6914"/>
    <n v="6568"/>
    <x v="1"/>
    <x v="0"/>
    <s v="Ventus B 16.6m WL"/>
    <s v="7F"/>
    <s v=""/>
    <m/>
  </r>
  <r>
    <x v="141"/>
    <x v="36"/>
    <x v="0"/>
    <x v="41"/>
    <x v="0"/>
    <s v="PMRg, PMČRj 2023 - Kombi"/>
    <s v="CZ"/>
    <n v="2023"/>
    <n v="6"/>
    <n v="6702"/>
    <n v="0.95000000000000007"/>
    <n v="6482"/>
    <n v="6158"/>
    <x v="1"/>
    <x v="0"/>
    <s v="Ventus 2c"/>
    <s v="ZR"/>
    <s v=""/>
    <m/>
  </r>
  <r>
    <x v="142"/>
    <x v="27"/>
    <x v="0"/>
    <x v="42"/>
    <x v="0"/>
    <s v="PMRg, PMČRj 2023 - Kombi"/>
    <s v="CZ"/>
    <n v="2023"/>
    <n v="7"/>
    <n v="5894"/>
    <n v="0.95000000000000007"/>
    <n v="5581"/>
    <n v="5302"/>
    <x v="1"/>
    <x v="0"/>
    <s v="Duo Discus XT"/>
    <s v="DD"/>
    <s v=""/>
    <m/>
  </r>
  <r>
    <x v="43"/>
    <x v="8"/>
    <x v="0"/>
    <x v="25"/>
    <x v="1"/>
    <s v="PMRg, PMČRj 2023 - Kombi"/>
    <s v="CZ"/>
    <n v="2023"/>
    <n v="8"/>
    <n v="5577"/>
    <n v="0.95000000000000007"/>
    <n v="5046"/>
    <n v="4794"/>
    <x v="0"/>
    <x v="0"/>
    <s v="DG 500 22m"/>
    <s v="YA"/>
    <s v=""/>
    <m/>
  </r>
  <r>
    <x v="143"/>
    <x v="4"/>
    <x v="1"/>
    <x v="43"/>
    <x v="3"/>
    <s v="PMRg, PMČRj 2023 - Kombi"/>
    <s v="CZ"/>
    <n v="2023"/>
    <n v="9"/>
    <n v="4662"/>
    <n v="0.95000000000000007"/>
    <n v="4065"/>
    <n v="3862"/>
    <x v="0"/>
    <x v="0"/>
    <s v="LS 6C /17,5m"/>
    <s v="N6"/>
    <s v="Není v databázi"/>
    <m/>
  </r>
  <r>
    <x v="144"/>
    <x v="27"/>
    <x v="0"/>
    <x v="38"/>
    <x v="1"/>
    <s v="PMRg, PMČRj 2023 - Kombi"/>
    <s v="CZ"/>
    <n v="2023"/>
    <n v="10"/>
    <n v="4036"/>
    <n v="0.95000000000000007"/>
    <n v="3300"/>
    <n v="3135"/>
    <x v="0"/>
    <x v="0"/>
    <s v="ASG 29 Es 18m"/>
    <s v="ET"/>
    <s v=""/>
    <m/>
  </r>
  <r>
    <x v="145"/>
    <x v="27"/>
    <x v="0"/>
    <x v="39"/>
    <x v="0"/>
    <s v="PMRg, PMČRj 2023 - Kombi"/>
    <s v="CZ"/>
    <n v="2023"/>
    <n v="11"/>
    <n v="1238"/>
    <n v="0.95000000000000007"/>
    <n v="920"/>
    <n v="874"/>
    <x v="1"/>
    <x v="0"/>
    <s v="LAK-12"/>
    <n v="12"/>
    <s v=""/>
    <m/>
  </r>
  <r>
    <x v="146"/>
    <x v="17"/>
    <x v="0"/>
    <x v="44"/>
    <x v="1"/>
    <s v="PMČRj 2023 - Klub"/>
    <s v="CZ"/>
    <n v="2023"/>
    <n v="1"/>
    <n v="8171"/>
    <n v="0.94000000000000006"/>
    <n v="10000"/>
    <n v="9400"/>
    <x v="1"/>
    <x v="0"/>
    <s v="ASW 24 WL /no TN8"/>
    <s v="SM"/>
    <s v=""/>
    <m/>
  </r>
  <r>
    <x v="8"/>
    <x v="3"/>
    <x v="0"/>
    <x v="8"/>
    <x v="2"/>
    <s v="PMČRj 2023 - Klub"/>
    <s v="CZ"/>
    <n v="2023"/>
    <n v="2"/>
    <n v="8092"/>
    <n v="0.94000000000000006"/>
    <n v="9807"/>
    <n v="9219"/>
    <x v="0"/>
    <x v="0"/>
    <s v="ASW-20 A L"/>
    <s v="CP"/>
    <s v="Junior v roce 2026"/>
    <m/>
  </r>
  <r>
    <x v="147"/>
    <x v="4"/>
    <x v="1"/>
    <x v="45"/>
    <x v="3"/>
    <s v="PMČRj 2023 - Klub"/>
    <s v="CZ"/>
    <n v="2023"/>
    <n v="3"/>
    <n v="7868"/>
    <n v="0.94000000000000006"/>
    <n v="9490"/>
    <n v="8921"/>
    <x v="0"/>
    <x v="0"/>
    <s v="ASW-20 A WL"/>
    <s v="WE"/>
    <s v="Není v databázi"/>
    <m/>
  </r>
  <r>
    <x v="25"/>
    <x v="17"/>
    <x v="0"/>
    <x v="17"/>
    <x v="0"/>
    <s v="PMČRj 2023 - Klub"/>
    <s v="CZ"/>
    <n v="2023"/>
    <n v="4"/>
    <n v="7641"/>
    <n v="0.94000000000000006"/>
    <n v="9171"/>
    <n v="8621"/>
    <x v="1"/>
    <x v="0"/>
    <s v="ASW-20A"/>
    <s v="WX"/>
    <s v=""/>
    <m/>
  </r>
  <r>
    <x v="9"/>
    <x v="7"/>
    <x v="0"/>
    <x v="9"/>
    <x v="1"/>
    <s v="PMČRj 2023 - Klub"/>
    <s v="CZ"/>
    <n v="2023"/>
    <n v="5"/>
    <n v="7465"/>
    <n v="0.94000000000000006"/>
    <n v="8895"/>
    <n v="8361"/>
    <x v="1"/>
    <x v="0"/>
    <s v="ASW-20 C L"/>
    <s v="VW"/>
    <s v="Junior v roce 2026"/>
    <m/>
  </r>
  <r>
    <x v="148"/>
    <x v="48"/>
    <x v="0"/>
    <x v="46"/>
    <x v="0"/>
    <s v="PMČRj 2023 - Klub"/>
    <s v="CZ"/>
    <n v="2023"/>
    <n v="6"/>
    <n v="7359"/>
    <n v="0.94000000000000006"/>
    <n v="8679"/>
    <n v="8158"/>
    <x v="1"/>
    <x v="0"/>
    <s v="ASW-19B"/>
    <s v="HB"/>
    <s v=""/>
    <m/>
  </r>
  <r>
    <x v="149"/>
    <x v="4"/>
    <x v="1"/>
    <x v="47"/>
    <x v="3"/>
    <s v="PMČRj 2023 - Klub"/>
    <s v="CZ"/>
    <n v="2023"/>
    <n v="7"/>
    <n v="7077"/>
    <n v="0.94000000000000006"/>
    <n v="8313"/>
    <n v="7814"/>
    <x v="0"/>
    <x v="0"/>
    <s v="LS-8 A"/>
    <s v="ZZ"/>
    <s v="Není v databázi"/>
    <m/>
  </r>
  <r>
    <x v="150"/>
    <x v="49"/>
    <x v="0"/>
    <x v="48"/>
    <x v="1"/>
    <s v="PMČRj 2023 - Klub"/>
    <s v="CZ"/>
    <n v="2023"/>
    <n v="8"/>
    <n v="6831"/>
    <n v="0.94000000000000006"/>
    <n v="7977"/>
    <n v="7498"/>
    <x v="1"/>
    <x v="0"/>
    <s v="Discus cs"/>
    <n v="65"/>
    <s v=""/>
    <m/>
  </r>
  <r>
    <x v="151"/>
    <x v="4"/>
    <x v="1"/>
    <x v="49"/>
    <x v="3"/>
    <s v="PMČRj 2023 - Klub"/>
    <s v="CZ"/>
    <n v="2023"/>
    <n v="9"/>
    <n v="6802"/>
    <n v="0.94000000000000006"/>
    <n v="7827"/>
    <n v="7357"/>
    <x v="0"/>
    <x v="0"/>
    <s v="LS 4"/>
    <n v="73"/>
    <s v="Není v databázi"/>
    <m/>
  </r>
  <r>
    <x v="152"/>
    <x v="34"/>
    <x v="0"/>
    <x v="14"/>
    <x v="0"/>
    <s v="PMČRj 2023 - Klub"/>
    <s v="CZ"/>
    <n v="2023"/>
    <n v="10"/>
    <n v="6690"/>
    <n v="0.94000000000000006"/>
    <n v="7606"/>
    <n v="7150"/>
    <x v="0"/>
    <x v="0"/>
    <s v="DG-300 ELAN WL RG"/>
    <s v="DG"/>
    <s v="Junior v roce 2026"/>
    <m/>
  </r>
  <r>
    <x v="153"/>
    <x v="50"/>
    <x v="0"/>
    <x v="8"/>
    <x v="2"/>
    <s v="PMČRj 2023 - Klub"/>
    <s v="CZ"/>
    <n v="2023"/>
    <n v="11"/>
    <n v="6270"/>
    <n v="0.94000000000000006"/>
    <n v="7121"/>
    <n v="6694"/>
    <x v="0"/>
    <x v="0"/>
    <s v="LS-1 F"/>
    <s v="FD"/>
    <s v="Junior v roce 2026"/>
    <m/>
  </r>
  <r>
    <x v="154"/>
    <x v="4"/>
    <x v="1"/>
    <x v="50"/>
    <x v="3"/>
    <s v="PMČRj 2023 - Klub"/>
    <s v="CZ"/>
    <n v="2023"/>
    <n v="12"/>
    <n v="6077"/>
    <n v="0.94000000000000006"/>
    <n v="6831"/>
    <n v="6421"/>
    <x v="0"/>
    <x v="0"/>
    <s v="ASW-24 WL /w TN8"/>
    <n v="57"/>
    <s v="Není v databázi"/>
    <m/>
  </r>
  <r>
    <x v="155"/>
    <x v="49"/>
    <x v="0"/>
    <x v="25"/>
    <x v="1"/>
    <s v="PMČRj 2023 - Klub"/>
    <s v="CZ"/>
    <n v="2023"/>
    <n v="13"/>
    <n v="5505"/>
    <n v="0.94000000000000006"/>
    <n v="6216"/>
    <n v="5843"/>
    <x v="1"/>
    <x v="0"/>
    <s v="ASW-19B"/>
    <s v="XP"/>
    <s v=""/>
    <m/>
  </r>
  <r>
    <x v="156"/>
    <x v="3"/>
    <x v="0"/>
    <x v="51"/>
    <x v="1"/>
    <s v="PMČRj 2023 - Klub"/>
    <s v="CZ"/>
    <n v="2023"/>
    <n v="14"/>
    <n v="5481"/>
    <n v="0.94000000000000006"/>
    <n v="6071"/>
    <n v="5707"/>
    <x v="0"/>
    <x v="0"/>
    <s v="Std. Cirrus"/>
    <s v="YU"/>
    <s v="Junior v roce 2026"/>
    <m/>
  </r>
  <r>
    <x v="100"/>
    <x v="44"/>
    <x v="0"/>
    <x v="30"/>
    <x v="2"/>
    <s v="PMČRj 2023 - Klub"/>
    <s v="CZ"/>
    <n v="2023"/>
    <n v="15"/>
    <n v="5335"/>
    <n v="0.94000000000000006"/>
    <n v="5820"/>
    <n v="5471"/>
    <x v="0"/>
    <x v="0"/>
    <s v="Std.Cirrus"/>
    <s v="MJ"/>
    <s v="Junior v roce 2026"/>
    <m/>
  </r>
  <r>
    <x v="157"/>
    <x v="7"/>
    <x v="0"/>
    <x v="3"/>
    <x v="2"/>
    <s v="PMČRj 2023 - Klub"/>
    <s v="CZ"/>
    <n v="2023"/>
    <n v="16"/>
    <n v="5147"/>
    <n v="0.94000000000000006"/>
    <n v="5534"/>
    <n v="5202"/>
    <x v="1"/>
    <x v="0"/>
    <s v="Std. Cirrus"/>
    <s v="IJ"/>
    <s v="Junior v roce 2026"/>
    <m/>
  </r>
  <r>
    <x v="158"/>
    <x v="7"/>
    <x v="2"/>
    <x v="18"/>
    <x v="2"/>
    <s v="PMČRj 2023 - Klub"/>
    <s v="CZ"/>
    <n v="2023"/>
    <n v="17"/>
    <n v="5082"/>
    <n v="0.94000000000000006"/>
    <n v="5354"/>
    <n v="5033"/>
    <x v="1"/>
    <x v="1"/>
    <s v="Discus cs"/>
    <s v="HD"/>
    <s v="Junior v roce 2026"/>
    <m/>
  </r>
  <r>
    <x v="159"/>
    <x v="50"/>
    <x v="0"/>
    <x v="8"/>
    <x v="2"/>
    <s v="PMČRj 2023 - Klub"/>
    <s v="CZ"/>
    <n v="2023"/>
    <n v="18"/>
    <n v="5021"/>
    <n v="0.94000000000000006"/>
    <n v="5176"/>
    <n v="4865"/>
    <x v="1"/>
    <x v="0"/>
    <s v="Std. Cirrus"/>
    <s v="CX"/>
    <s v="Junior v roce 2026"/>
    <m/>
  </r>
  <r>
    <x v="160"/>
    <x v="50"/>
    <x v="0"/>
    <x v="3"/>
    <x v="2"/>
    <s v="PMČRj 2023 - Klub"/>
    <s v="CZ"/>
    <n v="2023"/>
    <n v="19"/>
    <n v="4989"/>
    <n v="0.94000000000000006"/>
    <n v="5024"/>
    <n v="4723"/>
    <x v="1"/>
    <x v="0"/>
    <s v="Std. Cirrus"/>
    <s v="EJ"/>
    <s v="Junior v roce 2026"/>
    <m/>
  </r>
  <r>
    <x v="161"/>
    <x v="51"/>
    <x v="2"/>
    <x v="41"/>
    <x v="0"/>
    <s v="PMČRj 2023 - Klub"/>
    <s v="CZ"/>
    <n v="2023"/>
    <n v="20"/>
    <n v="4572"/>
    <n v="0.94000000000000006"/>
    <n v="4542"/>
    <n v="4269"/>
    <x v="0"/>
    <x v="0"/>
    <s v="DG-101"/>
    <s v="JL"/>
    <s v="Junior v roce 2026"/>
    <m/>
  </r>
  <r>
    <x v="162"/>
    <x v="17"/>
    <x v="0"/>
    <x v="44"/>
    <x v="1"/>
    <s v="PMČRj 2023 - Klub"/>
    <s v="CZ"/>
    <n v="2023"/>
    <n v="21"/>
    <n v="4232"/>
    <n v="0.94000000000000006"/>
    <n v="4126"/>
    <n v="3878"/>
    <x v="1"/>
    <x v="0"/>
    <s v="ASW-28"/>
    <s v="RC"/>
    <s v=""/>
    <m/>
  </r>
  <r>
    <x v="163"/>
    <x v="34"/>
    <x v="0"/>
    <x v="30"/>
    <x v="2"/>
    <s v="PMČRj 2023 - Klub"/>
    <s v="CZ"/>
    <n v="2023"/>
    <n v="22"/>
    <n v="3996"/>
    <n v="0.94000000000000006"/>
    <n v="3798"/>
    <n v="3570"/>
    <x v="0"/>
    <x v="0"/>
    <s v="DG-300 ELAN RG"/>
    <s v="U7"/>
    <s v="Junior v roce 2026"/>
    <m/>
  </r>
  <r>
    <x v="164"/>
    <x v="34"/>
    <x v="0"/>
    <x v="7"/>
    <x v="2"/>
    <s v="PMČRj 2023 - Klub"/>
    <s v="CZ"/>
    <n v="2023"/>
    <n v="23"/>
    <n v="3519"/>
    <n v="0.94000000000000006"/>
    <n v="3265"/>
    <n v="3069"/>
    <x v="0"/>
    <x v="0"/>
    <s v="ASW-19B"/>
    <s v="AE"/>
    <s v="Junior v roce 2026"/>
    <m/>
  </r>
  <r>
    <x v="165"/>
    <x v="17"/>
    <x v="0"/>
    <x v="8"/>
    <x v="2"/>
    <s v="PMČRj 2023 - Klub"/>
    <s v="CZ"/>
    <n v="2023"/>
    <n v="24"/>
    <n v="3425"/>
    <n v="0.94000000000000006"/>
    <n v="3059"/>
    <n v="2875"/>
    <x v="0"/>
    <x v="0"/>
    <s v="Std.Cirrus"/>
    <s v="MP"/>
    <s v=""/>
    <m/>
  </r>
  <r>
    <x v="166"/>
    <x v="48"/>
    <x v="2"/>
    <x v="52"/>
    <x v="0"/>
    <s v="PMČRj 2023 - Klub"/>
    <s v="CZ"/>
    <n v="2023"/>
    <n v="25"/>
    <n v="597"/>
    <n v="0.94000000000000006"/>
    <n v="511"/>
    <n v="480"/>
    <x v="1"/>
    <x v="1"/>
    <s v="Discus B"/>
    <s v="IJK"/>
    <s v=""/>
    <m/>
  </r>
  <r>
    <x v="90"/>
    <x v="42"/>
    <x v="0"/>
    <x v="18"/>
    <x v="2"/>
    <s v="Safari Cup 2023 - Klub"/>
    <s v="CZ"/>
    <n v="2023"/>
    <n v="1"/>
    <n v="6949"/>
    <n v="0.77500000000000002"/>
    <n v="10000"/>
    <n v="7750"/>
    <x v="1"/>
    <x v="0"/>
    <s v="TST-10M Atlas"/>
    <n v="7"/>
    <s v=""/>
    <m/>
  </r>
  <r>
    <x v="167"/>
    <x v="44"/>
    <x v="0"/>
    <x v="53"/>
    <x v="1"/>
    <s v="Safari Cup 2023 - Klub"/>
    <s v="CZ"/>
    <n v="2023"/>
    <n v="2"/>
    <n v="6770"/>
    <n v="0.77500000000000002"/>
    <n v="9695"/>
    <n v="7514"/>
    <x v="1"/>
    <x v="0"/>
    <s v="HpH 304cz 15m"/>
    <s v="IH"/>
    <s v="Junior v roce 2026"/>
    <m/>
  </r>
  <r>
    <x v="168"/>
    <x v="52"/>
    <x v="0"/>
    <x v="9"/>
    <x v="1"/>
    <s v="Safari Cup 2023 - Klub"/>
    <s v="CZ"/>
    <n v="2023"/>
    <n v="3"/>
    <n v="6638"/>
    <n v="0.77500000000000002"/>
    <n v="9437"/>
    <n v="7314"/>
    <x v="1"/>
    <x v="0"/>
    <s v="SZD-48 Jantar std. 3"/>
    <s v="JM"/>
    <s v=""/>
    <m/>
  </r>
  <r>
    <x v="169"/>
    <x v="9"/>
    <x v="0"/>
    <x v="51"/>
    <x v="1"/>
    <s v="Safari Cup 2023 - Klub"/>
    <s v="CZ"/>
    <n v="2023"/>
    <n v="4"/>
    <n v="6609"/>
    <n v="0.77500000000000002"/>
    <n v="9283"/>
    <n v="7194"/>
    <x v="1"/>
    <x v="0"/>
    <s v="G-103 Twin Astir dvojí (zatahovací podvozek)"/>
    <n v="5"/>
    <s v=""/>
    <m/>
  </r>
  <r>
    <x v="170"/>
    <x v="51"/>
    <x v="0"/>
    <x v="31"/>
    <x v="0"/>
    <s v="Safari Cup 2023 - Klub"/>
    <s v="CZ"/>
    <n v="2023"/>
    <n v="5"/>
    <n v="6508"/>
    <n v="0.77500000000000002"/>
    <n v="9056"/>
    <n v="7018"/>
    <x v="1"/>
    <x v="0"/>
    <s v="VSO-10"/>
    <s v="B1"/>
    <s v="Junior v roce 2026"/>
    <m/>
  </r>
  <r>
    <x v="171"/>
    <x v="53"/>
    <x v="0"/>
    <x v="53"/>
    <x v="1"/>
    <s v="Safari Cup 2023 - Klub"/>
    <s v="CZ"/>
    <n v="2023"/>
    <n v="6"/>
    <n v="6419"/>
    <n v="0.77500000000000002"/>
    <n v="8841"/>
    <n v="6852"/>
    <x v="1"/>
    <x v="0"/>
    <s v="Std. Cirrus"/>
    <s v="KA"/>
    <s v=""/>
    <m/>
  </r>
  <r>
    <x v="172"/>
    <x v="36"/>
    <x v="0"/>
    <x v="54"/>
    <x v="1"/>
    <s v="Safari Cup 2023 - Klub"/>
    <s v="CZ"/>
    <n v="2023"/>
    <n v="7"/>
    <n v="6395"/>
    <n v="0.77500000000000002"/>
    <n v="8692"/>
    <n v="6736"/>
    <x v="1"/>
    <x v="0"/>
    <s v="G-104 Speed Astir II"/>
    <s v="V2"/>
    <s v=""/>
    <m/>
  </r>
  <r>
    <x v="96"/>
    <x v="2"/>
    <x v="0"/>
    <x v="2"/>
    <x v="0"/>
    <s v="Safari Cup 2023 - Klub"/>
    <s v="CZ"/>
    <n v="2023"/>
    <n v="8"/>
    <n v="6189"/>
    <n v="0.77500000000000002"/>
    <n v="8359"/>
    <n v="6478"/>
    <x v="1"/>
    <x v="0"/>
    <s v="Cirrus VTC"/>
    <s v="JP"/>
    <s v=""/>
    <m/>
  </r>
  <r>
    <x v="173"/>
    <x v="42"/>
    <x v="0"/>
    <x v="53"/>
    <x v="1"/>
    <s v="Safari Cup 2023 - Klub"/>
    <s v="CZ"/>
    <n v="2023"/>
    <n v="9"/>
    <n v="6042"/>
    <n v="0.77500000000000002"/>
    <n v="8086"/>
    <n v="6267"/>
    <x v="1"/>
    <x v="0"/>
    <s v="HpH 304cz 15m"/>
    <s v="LB"/>
    <s v=""/>
    <m/>
  </r>
  <r>
    <x v="174"/>
    <x v="23"/>
    <x v="0"/>
    <x v="9"/>
    <x v="1"/>
    <s v="Safari Cup 2023 - Klub"/>
    <s v="CZ"/>
    <n v="2023"/>
    <n v="10"/>
    <n v="5807"/>
    <n v="0.77500000000000002"/>
    <n v="7725"/>
    <n v="5987"/>
    <x v="1"/>
    <x v="0"/>
    <s v="Cirruc VTC"/>
    <s v="VTC"/>
    <s v=""/>
    <m/>
  </r>
  <r>
    <x v="175"/>
    <x v="6"/>
    <x v="0"/>
    <x v="53"/>
    <x v="1"/>
    <s v="Safari Cup 2023 - Klub"/>
    <s v="CZ"/>
    <n v="2023"/>
    <n v="11"/>
    <n v="5594"/>
    <n v="0.77500000000000002"/>
    <n v="7385"/>
    <n v="5723"/>
    <x v="1"/>
    <x v="0"/>
    <s v="KKB 15E+ (FES)"/>
    <s v="AC"/>
    <s v=""/>
    <m/>
  </r>
  <r>
    <x v="176"/>
    <x v="4"/>
    <x v="1"/>
    <x v="55"/>
    <x v="3"/>
    <s v="Safari Cup 2023 - Klub"/>
    <s v="CZ"/>
    <n v="2023"/>
    <n v="12"/>
    <n v="5184"/>
    <n v="0.77500000000000002"/>
    <n v="6847"/>
    <n v="5306"/>
    <x v="0"/>
    <x v="0"/>
    <s v="LS-4"/>
    <s v="KP"/>
    <s v="Není v databázi"/>
    <m/>
  </r>
  <r>
    <x v="177"/>
    <x v="54"/>
    <x v="0"/>
    <x v="14"/>
    <x v="0"/>
    <s v="Safari Cup 2023 - Klub"/>
    <s v="CZ"/>
    <n v="2023"/>
    <n v="13"/>
    <n v="4870"/>
    <n v="0.77500000000000002"/>
    <n v="6406"/>
    <n v="4965"/>
    <x v="1"/>
    <x v="0"/>
    <s v="VSO-10"/>
    <n v="93"/>
    <s v=""/>
    <m/>
  </r>
  <r>
    <x v="178"/>
    <x v="50"/>
    <x v="0"/>
    <x v="42"/>
    <x v="0"/>
    <s v="Safari Cup 2023 - Klub"/>
    <s v="CZ"/>
    <n v="2023"/>
    <n v="14"/>
    <n v="4466"/>
    <n v="0.77500000000000002"/>
    <n v="5874"/>
    <n v="4552"/>
    <x v="0"/>
    <x v="0"/>
    <s v="VSO-10"/>
    <n v="56"/>
    <s v="Junior v roce 2026"/>
    <m/>
  </r>
  <r>
    <x v="179"/>
    <x v="4"/>
    <x v="1"/>
    <x v="55"/>
    <x v="3"/>
    <s v="Safari Cup 2023 - Klub"/>
    <s v="CZ"/>
    <n v="2023"/>
    <n v="15"/>
    <n v="3785"/>
    <n v="0.77500000000000002"/>
    <n v="5063"/>
    <n v="3924"/>
    <x v="0"/>
    <x v="0"/>
    <s v="Centrair C-101A Pegase"/>
    <s v="AJ"/>
    <s v="Není v databázi"/>
    <m/>
  </r>
  <r>
    <x v="180"/>
    <x v="47"/>
    <x v="0"/>
    <x v="3"/>
    <x v="2"/>
    <s v="Safari Cup 2023 - Klub"/>
    <s v="CZ"/>
    <n v="2023"/>
    <n v="16"/>
    <n v="3582"/>
    <n v="0.77500000000000002"/>
    <n v="4733"/>
    <n v="3668"/>
    <x v="1"/>
    <x v="0"/>
    <s v="G-104 Speed Astir II b"/>
    <s v="LE"/>
    <s v=""/>
    <m/>
  </r>
  <r>
    <x v="181"/>
    <x v="0"/>
    <x v="0"/>
    <x v="14"/>
    <x v="0"/>
    <s v="Safari Cup 2023 - Klub"/>
    <s v="CZ"/>
    <n v="2023"/>
    <n v="17"/>
    <n v="3240"/>
    <n v="0.77500000000000002"/>
    <n v="4264"/>
    <n v="3305"/>
    <x v="1"/>
    <x v="0"/>
    <s v="G-104 Speed Astir II b"/>
    <s v="M2"/>
    <s v=""/>
    <m/>
  </r>
  <r>
    <x v="182"/>
    <x v="4"/>
    <x v="1"/>
    <x v="55"/>
    <x v="3"/>
    <s v="Safari Cup 2023 - Klub"/>
    <s v="CZ"/>
    <n v="2023"/>
    <n v="18"/>
    <n v="3027"/>
    <n v="0.77500000000000002"/>
    <n v="3924"/>
    <n v="3041"/>
    <x v="0"/>
    <x v="0"/>
    <s v="SZD-48 Jantar Std. 2"/>
    <s v="Fili"/>
    <s v="Není v databázi"/>
    <m/>
  </r>
  <r>
    <x v="183"/>
    <x v="4"/>
    <x v="1"/>
    <x v="55"/>
    <x v="3"/>
    <s v="Safari Cup 2023 - Klub"/>
    <s v="CZ"/>
    <n v="2023"/>
    <n v="19"/>
    <n v="2930"/>
    <n v="0.77500000000000002"/>
    <n v="3702"/>
    <n v="2869"/>
    <x v="0"/>
    <x v="0"/>
    <s v="LS-4"/>
    <s v="YL"/>
    <s v="Není v databázi"/>
    <m/>
  </r>
  <r>
    <x v="184"/>
    <x v="20"/>
    <x v="0"/>
    <x v="14"/>
    <x v="0"/>
    <s v="Safari Cup 2023 - Klub"/>
    <s v="CZ"/>
    <n v="2023"/>
    <n v="20"/>
    <n v="2808"/>
    <n v="0.77500000000000002"/>
    <n v="3454"/>
    <n v="2677"/>
    <x v="1"/>
    <x v="0"/>
    <s v="ASK 21"/>
    <s v="AK"/>
    <s v=""/>
    <m/>
  </r>
  <r>
    <x v="185"/>
    <x v="4"/>
    <x v="1"/>
    <x v="55"/>
    <x v="3"/>
    <s v="Safari Cup 2023 - Klub"/>
    <s v="CZ"/>
    <n v="2023"/>
    <n v="21"/>
    <n v="2340"/>
    <n v="0.77500000000000002"/>
    <n v="2857"/>
    <n v="2214"/>
    <x v="0"/>
    <x v="0"/>
    <s v="DG 300"/>
    <s v="N5"/>
    <s v="Není v databázi"/>
    <m/>
  </r>
  <r>
    <x v="186"/>
    <x v="0"/>
    <x v="0"/>
    <x v="14"/>
    <x v="0"/>
    <s v="Safari Cup 2023 - Klub"/>
    <s v="CZ"/>
    <n v="2023"/>
    <n v="22"/>
    <n v="2184"/>
    <n v="0.77500000000000002"/>
    <n v="2575"/>
    <n v="1996"/>
    <x v="1"/>
    <x v="0"/>
    <s v="G-102 Astir Jeans"/>
    <s v="VI"/>
    <s v=""/>
    <m/>
  </r>
  <r>
    <x v="187"/>
    <x v="55"/>
    <x v="0"/>
    <x v="9"/>
    <x v="1"/>
    <s v="Safari Cup 2023 - Klub"/>
    <s v="CZ"/>
    <n v="2023"/>
    <n v="23"/>
    <n v="909"/>
    <n v="0.77500000000000002"/>
    <n v="1166"/>
    <n v="904"/>
    <x v="1"/>
    <x v="0"/>
    <s v="Cirrus VTC"/>
    <s v="VE"/>
    <s v=""/>
    <m/>
  </r>
  <r>
    <x v="188"/>
    <x v="56"/>
    <x v="0"/>
    <x v="56"/>
    <x v="2"/>
    <s v="Safari Cup 2023 - Klub"/>
    <s v="CZ"/>
    <n v="2023"/>
    <n v="24"/>
    <n v="717"/>
    <n v="0.77500000000000002"/>
    <n v="847"/>
    <n v="656"/>
    <x v="1"/>
    <x v="0"/>
    <s v="TST-10M Atlas"/>
    <s v="KE"/>
    <s v=""/>
    <m/>
  </r>
  <r>
    <x v="189"/>
    <x v="57"/>
    <x v="0"/>
    <x v="9"/>
    <x v="1"/>
    <s v="Safari Cup 2023 - Klub"/>
    <s v="CZ"/>
    <n v="2023"/>
    <n v="25"/>
    <n v="140"/>
    <n v="0.77500000000000002"/>
    <n v="141"/>
    <n v="109"/>
    <x v="1"/>
    <x v="0"/>
    <s v="G-103 Twin Astir dvojí (zatahovací podvozek)"/>
    <s v="W4"/>
    <s v=""/>
    <m/>
  </r>
  <r>
    <x v="14"/>
    <x v="11"/>
    <x v="0"/>
    <x v="9"/>
    <x v="1"/>
    <s v="Safari Cup 2023 - Kombi"/>
    <s v="CZ"/>
    <n v="2023"/>
    <n v="1"/>
    <n v="7820"/>
    <n v="0.77500000000000002"/>
    <n v="10000"/>
    <n v="7750"/>
    <x v="1"/>
    <x v="0"/>
    <s v="DG 200 17m"/>
    <s v="HL"/>
    <s v=""/>
    <m/>
  </r>
  <r>
    <x v="190"/>
    <x v="16"/>
    <x v="0"/>
    <x v="15"/>
    <x v="1"/>
    <s v="Safari Cup 2023 - Kombi"/>
    <s v="CZ"/>
    <n v="2023"/>
    <n v="2"/>
    <n v="6855"/>
    <n v="0.77500000000000002"/>
    <n v="8803"/>
    <n v="6822"/>
    <x v="1"/>
    <x v="0"/>
    <s v="Ventus c 17.6m"/>
    <s v="GE"/>
    <s v=""/>
    <m/>
  </r>
  <r>
    <x v="191"/>
    <x v="11"/>
    <x v="0"/>
    <x v="9"/>
    <x v="1"/>
    <s v="Safari Cup 2023 - Kombi"/>
    <s v="CZ"/>
    <n v="2023"/>
    <n v="3"/>
    <n v="6731"/>
    <n v="0.77500000000000002"/>
    <n v="8359"/>
    <n v="6478"/>
    <x v="1"/>
    <x v="0"/>
    <s v="ASW-20 L +FL 16,6m"/>
    <s v="JP"/>
    <s v=""/>
    <m/>
  </r>
  <r>
    <x v="192"/>
    <x v="29"/>
    <x v="0"/>
    <x v="57"/>
    <x v="1"/>
    <s v="Safari Cup 2023 - Kombi"/>
    <s v="CZ"/>
    <n v="2023"/>
    <n v="4"/>
    <n v="6655"/>
    <n v="0.77500000000000002"/>
    <n v="7957"/>
    <n v="6167"/>
    <x v="1"/>
    <x v="0"/>
    <s v="HpH 304MS SHARK 18m -560 kg"/>
    <s v="TDi"/>
    <s v=""/>
    <m/>
  </r>
  <r>
    <x v="193"/>
    <x v="33"/>
    <x v="0"/>
    <x v="51"/>
    <x v="1"/>
    <s v="Safari Cup 2023 - Kombi"/>
    <s v="CZ"/>
    <n v="2023"/>
    <n v="5"/>
    <n v="6488"/>
    <n v="0.77500000000000002"/>
    <n v="7474"/>
    <n v="5792"/>
    <x v="1"/>
    <x v="0"/>
    <s v="Discus CS"/>
    <s v="VR"/>
    <s v=""/>
    <m/>
  </r>
  <r>
    <x v="194"/>
    <x v="22"/>
    <x v="0"/>
    <x v="9"/>
    <x v="1"/>
    <s v="Safari Cup 2023 - Kombi"/>
    <s v="CZ"/>
    <n v="2023"/>
    <n v="6"/>
    <n v="5636"/>
    <n v="0.77500000000000002"/>
    <n v="6378"/>
    <n v="4943"/>
    <x v="1"/>
    <x v="0"/>
    <s v="LAK-17B FES 18m"/>
    <s v="TF"/>
    <s v=""/>
    <m/>
  </r>
  <r>
    <x v="195"/>
    <x v="6"/>
    <x v="0"/>
    <x v="54"/>
    <x v="1"/>
    <s v="Safari Cup 2023 - Kombi"/>
    <s v="CZ"/>
    <n v="2023"/>
    <n v="7"/>
    <n v="4640"/>
    <n v="0.77500000000000002"/>
    <n v="5153"/>
    <n v="3994"/>
    <x v="1"/>
    <x v="0"/>
    <s v="DG 400 17m"/>
    <s v="ST"/>
    <s v=""/>
    <m/>
  </r>
  <r>
    <x v="109"/>
    <x v="25"/>
    <x v="0"/>
    <x v="27"/>
    <x v="2"/>
    <s v="Safari Cup 2023 - Kombi"/>
    <s v="CZ"/>
    <n v="2023"/>
    <n v="8"/>
    <n v="2014"/>
    <n v="0.77500000000000002"/>
    <n v="2469"/>
    <n v="1913"/>
    <x v="0"/>
    <x v="0"/>
    <s v="DG 400 17m"/>
    <s v="MR"/>
    <s v=""/>
    <m/>
  </r>
  <r>
    <x v="196"/>
    <x v="18"/>
    <x v="0"/>
    <x v="9"/>
    <x v="1"/>
    <s v="Safari Cup 2023 - Kombi"/>
    <s v="CZ"/>
    <n v="2023"/>
    <n v="9"/>
    <n v="806"/>
    <n v="0.77500000000000002"/>
    <n v="1055"/>
    <n v="818"/>
    <x v="1"/>
    <x v="0"/>
    <s v="HpH 304cz 17,4m"/>
    <s v="KN"/>
    <s v=""/>
    <m/>
  </r>
  <r>
    <x v="197"/>
    <x v="53"/>
    <x v="0"/>
    <x v="58"/>
    <x v="1"/>
    <s v="Safari Cup 2023 - Kombi"/>
    <s v="CZ"/>
    <n v="2023"/>
    <n v="10"/>
    <n v="11"/>
    <n v="0.77500000000000002"/>
    <n v="10"/>
    <n v="8"/>
    <x v="1"/>
    <x v="0"/>
    <s v="Nimbus 2M"/>
    <s v="PM"/>
    <s v=""/>
    <m/>
  </r>
  <r>
    <x v="7"/>
    <x v="6"/>
    <x v="0"/>
    <x v="7"/>
    <x v="2"/>
    <s v="Toužim Cup 2023 - Klub"/>
    <s v="CZ"/>
    <n v="2023"/>
    <n v="1"/>
    <n v="4561"/>
    <n v="0.91500000000000004"/>
    <n v="10000"/>
    <n v="9150"/>
    <x v="0"/>
    <x v="0"/>
    <s v="ASW-20 (A)+L+F /15m"/>
    <s v="LL"/>
    <s v=""/>
    <m/>
  </r>
  <r>
    <x v="198"/>
    <x v="11"/>
    <x v="0"/>
    <x v="17"/>
    <x v="0"/>
    <s v="Toužim Cup 2023 - Klub"/>
    <s v="CZ"/>
    <n v="2023"/>
    <n v="2"/>
    <n v="4442"/>
    <n v="0.91500000000000004"/>
    <n v="9651"/>
    <n v="8831"/>
    <x v="1"/>
    <x v="0"/>
    <s v="ASW-19B"/>
    <s v="JL"/>
    <s v=""/>
    <m/>
  </r>
  <r>
    <x v="199"/>
    <x v="19"/>
    <x v="0"/>
    <x v="17"/>
    <x v="0"/>
    <s v="Toužim Cup 2023 - Klub"/>
    <s v="CZ"/>
    <n v="2023"/>
    <n v="3"/>
    <n v="4434"/>
    <n v="0.91500000000000004"/>
    <n v="9472"/>
    <n v="8667"/>
    <x v="1"/>
    <x v="0"/>
    <s v="ASW-15B"/>
    <s v="T1"/>
    <s v=""/>
    <m/>
  </r>
  <r>
    <x v="200"/>
    <x v="19"/>
    <x v="0"/>
    <x v="8"/>
    <x v="2"/>
    <s v="Toužim Cup 2023 - Klub"/>
    <s v="CZ"/>
    <n v="2023"/>
    <n v="4"/>
    <n v="4257"/>
    <n v="0.91500000000000004"/>
    <n v="9033"/>
    <n v="8265"/>
    <x v="1"/>
    <x v="0"/>
    <s v="Std. Cirrus"/>
    <s v="A7"/>
    <s v=""/>
    <m/>
  </r>
  <r>
    <x v="201"/>
    <x v="1"/>
    <x v="0"/>
    <x v="21"/>
    <x v="0"/>
    <s v="Toužim Cup 2023 - Klub"/>
    <s v="CZ"/>
    <n v="2023"/>
    <n v="5"/>
    <n v="4146"/>
    <n v="0.91500000000000004"/>
    <n v="8696"/>
    <n v="7957"/>
    <x v="1"/>
    <x v="0"/>
    <s v="ASW-19B"/>
    <s v="AH"/>
    <s v=""/>
    <m/>
  </r>
  <r>
    <x v="202"/>
    <x v="45"/>
    <x v="0"/>
    <x v="17"/>
    <x v="0"/>
    <s v="Toužim Cup 2023 - Klub"/>
    <s v="CZ"/>
    <n v="2023"/>
    <n v="6"/>
    <n v="4100"/>
    <n v="0.91500000000000004"/>
    <n v="8459"/>
    <n v="7740"/>
    <x v="1"/>
    <x v="0"/>
    <s v="Std. Cirrus"/>
    <s v="LD"/>
    <s v=""/>
    <m/>
  </r>
  <r>
    <x v="203"/>
    <x v="29"/>
    <x v="0"/>
    <x v="17"/>
    <x v="0"/>
    <s v="Toužim Cup 2023 - Klub"/>
    <s v="CZ"/>
    <n v="2023"/>
    <n v="7"/>
    <n v="3427"/>
    <n v="0.91500000000000004"/>
    <n v="7260"/>
    <n v="6643"/>
    <x v="1"/>
    <x v="0"/>
    <s v="LS-1c"/>
    <s v="S3"/>
    <s v=""/>
    <m/>
  </r>
  <r>
    <x v="204"/>
    <x v="24"/>
    <x v="0"/>
    <x v="17"/>
    <x v="0"/>
    <s v="Toužim Cup 2023 - Klub"/>
    <s v="CZ"/>
    <n v="2023"/>
    <n v="8"/>
    <n v="3401"/>
    <n v="0.91500000000000004"/>
    <n v="7053"/>
    <n v="6453"/>
    <x v="1"/>
    <x v="0"/>
    <s v="LS-1c"/>
    <s v="AN"/>
    <s v=""/>
    <m/>
  </r>
  <r>
    <x v="205"/>
    <x v="43"/>
    <x v="0"/>
    <x v="17"/>
    <x v="0"/>
    <s v="Toužim Cup 2023 - Klub"/>
    <s v="CZ"/>
    <n v="2023"/>
    <n v="9"/>
    <n v="3179"/>
    <n v="0.91500000000000004"/>
    <n v="6546"/>
    <n v="5990"/>
    <x v="1"/>
    <x v="0"/>
    <s v="Std. Cirrus"/>
    <s v="SB"/>
    <s v=""/>
    <m/>
  </r>
  <r>
    <x v="83"/>
    <x v="5"/>
    <x v="0"/>
    <x v="2"/>
    <x v="0"/>
    <s v="Toužim Cup 2023 - Klub"/>
    <s v="CZ"/>
    <n v="2023"/>
    <n v="10"/>
    <n v="3142"/>
    <n v="0.91500000000000004"/>
    <n v="6322"/>
    <n v="5785"/>
    <x v="0"/>
    <x v="0"/>
    <s v="Janus CM (FG) (fix gear=pevný podvozek)"/>
    <s v="J59"/>
    <s v=""/>
    <m/>
  </r>
  <r>
    <x v="206"/>
    <x v="33"/>
    <x v="0"/>
    <x v="0"/>
    <x v="0"/>
    <s v="Toužim Cup 2023 - Klub"/>
    <s v="CZ"/>
    <n v="2023"/>
    <n v="11"/>
    <n v="2801"/>
    <n v="0.91500000000000004"/>
    <n v="5632"/>
    <n v="5153"/>
    <x v="1"/>
    <x v="0"/>
    <s v="G-103 Twin III dvojí (pevný podvozek)"/>
    <s v="TO"/>
    <s v=""/>
    <m/>
  </r>
  <r>
    <x v="207"/>
    <x v="29"/>
    <x v="0"/>
    <x v="2"/>
    <x v="0"/>
    <s v="Toužim Cup 2023 - Klub"/>
    <s v="CZ"/>
    <n v="2023"/>
    <n v="12"/>
    <n v="2284"/>
    <n v="0.91500000000000004"/>
    <n v="4672"/>
    <n v="4275"/>
    <x v="1"/>
    <x v="0"/>
    <s v="G-104 Speed Astir II b"/>
    <s v="Y3"/>
    <s v=""/>
    <m/>
  </r>
  <r>
    <x v="208"/>
    <x v="37"/>
    <x v="0"/>
    <x v="24"/>
    <x v="1"/>
    <s v="Toužim Cup 2023 - Klub"/>
    <s v="CZ"/>
    <n v="2023"/>
    <n v="13"/>
    <n v="2146"/>
    <n v="0.91500000000000004"/>
    <n v="4294"/>
    <n v="3929"/>
    <x v="1"/>
    <x v="0"/>
    <s v="DG-100"/>
    <s v="E2"/>
    <s v=""/>
    <m/>
  </r>
  <r>
    <x v="209"/>
    <x v="54"/>
    <x v="0"/>
    <x v="0"/>
    <x v="0"/>
    <s v="Toužim Cup 2023 - Klub"/>
    <s v="CZ"/>
    <n v="2023"/>
    <n v="14"/>
    <n v="2131"/>
    <n v="0.91500000000000004"/>
    <n v="4104"/>
    <n v="3755"/>
    <x v="1"/>
    <x v="0"/>
    <s v="ASW-19B"/>
    <s v="O2"/>
    <s v=""/>
    <m/>
  </r>
  <r>
    <x v="210"/>
    <x v="36"/>
    <x v="0"/>
    <x v="24"/>
    <x v="1"/>
    <s v="Toužim Cup 2023 - Klub"/>
    <s v="CZ"/>
    <n v="2023"/>
    <n v="15"/>
    <n v="2026"/>
    <n v="0.91500000000000004"/>
    <n v="3776"/>
    <n v="3455"/>
    <x v="1"/>
    <x v="0"/>
    <s v="ASW-15B"/>
    <s v="MC"/>
    <s v=""/>
    <m/>
  </r>
  <r>
    <x v="211"/>
    <x v="2"/>
    <x v="0"/>
    <x v="2"/>
    <x v="0"/>
    <s v="Toužim Cup 2023 - Klub"/>
    <s v="CZ"/>
    <n v="2023"/>
    <n v="16"/>
    <n v="1962"/>
    <n v="0.91500000000000004"/>
    <n v="3511"/>
    <n v="3213"/>
    <x v="1"/>
    <x v="0"/>
    <s v="Pik-20D"/>
    <s v="HJ"/>
    <s v=""/>
    <m/>
  </r>
  <r>
    <x v="212"/>
    <x v="27"/>
    <x v="0"/>
    <x v="2"/>
    <x v="0"/>
    <s v="Toužim Cup 2023 - Klub"/>
    <s v="CZ"/>
    <n v="2023"/>
    <n v="17"/>
    <n v="623"/>
    <n v="0.91500000000000004"/>
    <n v="1289"/>
    <n v="1179"/>
    <x v="1"/>
    <x v="0"/>
    <s v="G-102 Astir cs"/>
    <s v="LS"/>
    <s v=""/>
    <m/>
  </r>
  <r>
    <x v="213"/>
    <x v="20"/>
    <x v="0"/>
    <x v="59"/>
    <x v="0"/>
    <s v="Toužim Cup 2023 - Klub"/>
    <s v="CZ"/>
    <n v="2023"/>
    <n v="18"/>
    <n v="323"/>
    <n v="0.91500000000000004"/>
    <n v="662"/>
    <n v="606"/>
    <x v="1"/>
    <x v="0"/>
    <s v="G-102 Astir Jeans"/>
    <s v="FB"/>
    <s v=""/>
    <m/>
  </r>
  <r>
    <x v="62"/>
    <x v="9"/>
    <x v="0"/>
    <x v="24"/>
    <x v="1"/>
    <s v="Toužim Cup 2023 - Klub"/>
    <s v="CZ"/>
    <n v="2023"/>
    <n v="19"/>
    <n v="0"/>
    <n v="0.91500000000000004"/>
    <n v="0"/>
    <n v="0"/>
    <x v="0"/>
    <x v="0"/>
    <s v="DG-300 Club ELAN"/>
    <s v="WL"/>
    <s v=""/>
    <m/>
  </r>
  <r>
    <x v="214"/>
    <x v="26"/>
    <x v="0"/>
    <x v="2"/>
    <x v="0"/>
    <s v="Toužim Cup 2023 - Kombi"/>
    <s v="CZ"/>
    <n v="2023"/>
    <n v="1"/>
    <n v="5185"/>
    <n v="0.92500000000000004"/>
    <n v="10000"/>
    <n v="9250"/>
    <x v="1"/>
    <x v="0"/>
    <s v="Ventus c /17,6m"/>
    <s v="CS"/>
    <s v=""/>
    <m/>
  </r>
  <r>
    <x v="215"/>
    <x v="8"/>
    <x v="0"/>
    <x v="0"/>
    <x v="0"/>
    <s v="Toužim Cup 2023 - Kombi"/>
    <s v="CZ"/>
    <n v="2023"/>
    <n v="2"/>
    <n v="5142"/>
    <n v="0.92500000000000004"/>
    <n v="9822"/>
    <n v="9085"/>
    <x v="0"/>
    <x v="0"/>
    <s v="ASG-29E /18m"/>
    <s v="NX"/>
    <s v=""/>
    <m/>
  </r>
  <r>
    <x v="216"/>
    <x v="58"/>
    <x v="0"/>
    <x v="60"/>
    <x v="2"/>
    <s v="Toužim Cup 2023 - Kombi"/>
    <s v="CZ"/>
    <n v="2023"/>
    <n v="3"/>
    <n v="5119"/>
    <n v="0.92500000000000004"/>
    <n v="9671"/>
    <n v="8946"/>
    <x v="1"/>
    <x v="0"/>
    <s v="Discus 2a /15m"/>
    <s v="GX"/>
    <s v=""/>
    <m/>
  </r>
  <r>
    <x v="58"/>
    <x v="21"/>
    <x v="0"/>
    <x v="0"/>
    <x v="0"/>
    <s v="Toužim Cup 2023 - Kombi"/>
    <s v="CZ"/>
    <n v="2023"/>
    <n v="4"/>
    <n v="4971"/>
    <n v="0.92500000000000004"/>
    <n v="9351"/>
    <n v="8650"/>
    <x v="0"/>
    <x v="0"/>
    <s v="Arcus 20 M 800kg"/>
    <s v="EY"/>
    <s v=""/>
    <m/>
  </r>
  <r>
    <x v="217"/>
    <x v="47"/>
    <x v="0"/>
    <x v="38"/>
    <x v="1"/>
    <s v="Toužim Cup 2023 - Kombi"/>
    <s v="CZ"/>
    <n v="2023"/>
    <n v="5"/>
    <n v="4844"/>
    <n v="0.92500000000000004"/>
    <n v="9060"/>
    <n v="8381"/>
    <x v="0"/>
    <x v="0"/>
    <s v="JS1-BTJ 18"/>
    <s v="IGC"/>
    <s v=""/>
    <m/>
  </r>
  <r>
    <x v="218"/>
    <x v="31"/>
    <x v="0"/>
    <x v="52"/>
    <x v="0"/>
    <s v="Toužim Cup 2023 - Kombi"/>
    <s v="CZ"/>
    <n v="2023"/>
    <n v="6"/>
    <n v="4689"/>
    <n v="0.92500000000000004"/>
    <n v="8730"/>
    <n v="8075"/>
    <x v="1"/>
    <x v="0"/>
    <s v="DG-400 17m"/>
    <s v="FF"/>
    <s v=""/>
    <m/>
  </r>
  <r>
    <x v="219"/>
    <x v="6"/>
    <x v="0"/>
    <x v="61"/>
    <x v="1"/>
    <s v="Toužim Cup 2023 - Kombi"/>
    <s v="CZ"/>
    <n v="2023"/>
    <n v="7"/>
    <n v="4647"/>
    <n v="0.92500000000000004"/>
    <n v="8554"/>
    <n v="7912"/>
    <x v="1"/>
    <x v="0"/>
    <s v="Nimbus 4DM"/>
    <n v="7"/>
    <s v=""/>
    <m/>
  </r>
  <r>
    <x v="2"/>
    <x v="2"/>
    <x v="0"/>
    <x v="2"/>
    <x v="0"/>
    <s v="Toužim Cup 2023 - Kombi"/>
    <s v="CZ"/>
    <n v="2023"/>
    <n v="8"/>
    <n v="4475"/>
    <n v="0.92500000000000004"/>
    <n v="8201"/>
    <n v="7586"/>
    <x v="0"/>
    <x v="0"/>
    <s v="Ventus 2a /15m"/>
    <s v="AX"/>
    <s v=""/>
    <m/>
  </r>
  <r>
    <x v="44"/>
    <x v="29"/>
    <x v="0"/>
    <x v="10"/>
    <x v="0"/>
    <s v="Toužim Cup 2023 - Kombi"/>
    <s v="CZ"/>
    <n v="2023"/>
    <n v="9"/>
    <n v="4453"/>
    <n v="0.92500000000000004"/>
    <n v="8052"/>
    <n v="7448"/>
    <x v="0"/>
    <x v="0"/>
    <s v="HpH 304MS SHARK"/>
    <s v="DJ"/>
    <s v=""/>
    <m/>
  </r>
  <r>
    <x v="220"/>
    <x v="23"/>
    <x v="0"/>
    <x v="17"/>
    <x v="0"/>
    <s v="Toužim Cup 2023 - Kombi"/>
    <s v="CZ"/>
    <n v="2023"/>
    <n v="10"/>
    <n v="4452"/>
    <n v="0.92500000000000004"/>
    <n v="7930"/>
    <n v="7335"/>
    <x v="1"/>
    <x v="0"/>
    <s v="LS-6c /18m WL"/>
    <s v="BL"/>
    <s v=""/>
    <m/>
  </r>
  <r>
    <x v="221"/>
    <x v="13"/>
    <x v="0"/>
    <x v="62"/>
    <x v="1"/>
    <s v="Toužim Cup 2023 - Kombi"/>
    <s v="CZ"/>
    <n v="2023"/>
    <n v="11"/>
    <n v="4089"/>
    <n v="0.92500000000000004"/>
    <n v="7320"/>
    <n v="6771"/>
    <x v="1"/>
    <x v="0"/>
    <s v="Ventus bt /16,6m"/>
    <s v="SK"/>
    <s v=""/>
    <m/>
  </r>
  <r>
    <x v="222"/>
    <x v="19"/>
    <x v="0"/>
    <x v="2"/>
    <x v="0"/>
    <s v="Toužim Cup 2023 - Kombi"/>
    <s v="CZ"/>
    <n v="2023"/>
    <n v="12"/>
    <n v="3958"/>
    <n v="0.92500000000000004"/>
    <n v="7023"/>
    <n v="6496"/>
    <x v="1"/>
    <x v="0"/>
    <s v="Ventus c /17,6m"/>
    <s v="PC"/>
    <s v=""/>
    <m/>
  </r>
  <r>
    <x v="97"/>
    <x v="43"/>
    <x v="0"/>
    <x v="0"/>
    <x v="0"/>
    <s v="Toužim Cup 2023 - Kombi"/>
    <s v="CZ"/>
    <n v="2023"/>
    <n v="13"/>
    <n v="3852"/>
    <n v="0.92500000000000004"/>
    <n v="6760"/>
    <n v="6253"/>
    <x v="1"/>
    <x v="0"/>
    <s v="Ventus c /17,6m"/>
    <s v="LSI"/>
    <s v=""/>
    <m/>
  </r>
  <r>
    <x v="223"/>
    <x v="32"/>
    <x v="0"/>
    <x v="17"/>
    <x v="0"/>
    <s v="Toužim Cup 2023 - Kombi"/>
    <s v="CZ"/>
    <n v="2023"/>
    <n v="14"/>
    <n v="3707"/>
    <n v="0.92500000000000004"/>
    <n v="6445"/>
    <n v="5962"/>
    <x v="1"/>
    <x v="0"/>
    <s v="Duo Discus T (700kg)"/>
    <s v="ZS"/>
    <s v=""/>
    <m/>
  </r>
  <r>
    <x v="224"/>
    <x v="25"/>
    <x v="0"/>
    <x v="17"/>
    <x v="0"/>
    <s v="Toužim Cup 2023 - Kombi"/>
    <s v="CZ"/>
    <n v="2023"/>
    <n v="15"/>
    <n v="3687"/>
    <n v="0.92500000000000004"/>
    <n v="6298"/>
    <n v="5826"/>
    <x v="1"/>
    <x v="0"/>
    <s v="LS-8-18 /18m"/>
    <n v="301"/>
    <s v=""/>
    <m/>
  </r>
  <r>
    <x v="225"/>
    <x v="4"/>
    <x v="1"/>
    <x v="63"/>
    <x v="3"/>
    <s v="Toužim Cup 2023 - Kombi"/>
    <s v="CZ"/>
    <n v="2023"/>
    <n v="16"/>
    <n v="3679"/>
    <n v="0.92500000000000004"/>
    <n v="6167"/>
    <n v="5704"/>
    <x v="0"/>
    <x v="0"/>
    <s v="Duo Discus (700 kg)"/>
    <s v="MM"/>
    <s v="Není v databázi"/>
    <m/>
  </r>
  <r>
    <x v="74"/>
    <x v="36"/>
    <x v="0"/>
    <x v="18"/>
    <x v="2"/>
    <s v="Toužim Cup 2023 - Kombi"/>
    <s v="CZ"/>
    <n v="2023"/>
    <n v="17"/>
    <n v="3655"/>
    <n v="0.92500000000000004"/>
    <n v="6014"/>
    <n v="5563"/>
    <x v="0"/>
    <x v="0"/>
    <s v="Ventus cm /17,6m"/>
    <s v="ŠNeK"/>
    <s v=""/>
    <m/>
  </r>
  <r>
    <x v="226"/>
    <x v="19"/>
    <x v="0"/>
    <x v="17"/>
    <x v="0"/>
    <s v="Toužim Cup 2023 - Kombi"/>
    <s v="CZ"/>
    <n v="2023"/>
    <n v="18"/>
    <n v="3519"/>
    <n v="0.92500000000000004"/>
    <n v="5711"/>
    <n v="5283"/>
    <x v="1"/>
    <x v="0"/>
    <s v="LS-8-18 /15m"/>
    <s v="EJ"/>
    <s v=""/>
    <m/>
  </r>
  <r>
    <x v="227"/>
    <x v="31"/>
    <x v="0"/>
    <x v="8"/>
    <x v="2"/>
    <s v="Toužim Cup 2023 - Kombi"/>
    <s v="CZ"/>
    <n v="2023"/>
    <n v="19"/>
    <n v="2886"/>
    <n v="0.92500000000000004"/>
    <n v="4736"/>
    <n v="4381"/>
    <x v="1"/>
    <x v="0"/>
    <s v="Ventus c /17,6m"/>
    <s v="PD"/>
    <s v=""/>
    <m/>
  </r>
  <r>
    <x v="228"/>
    <x v="25"/>
    <x v="0"/>
    <x v="21"/>
    <x v="0"/>
    <s v="Toužim Cup 2023 - Kombi"/>
    <s v="CZ"/>
    <n v="2023"/>
    <n v="20"/>
    <n v="2715"/>
    <n v="0.92500000000000004"/>
    <n v="4385"/>
    <n v="4056"/>
    <x v="0"/>
    <x v="0"/>
    <s v="Ventus c /17,6m"/>
    <s v="PUP"/>
    <s v=""/>
    <m/>
  </r>
  <r>
    <x v="229"/>
    <x v="6"/>
    <x v="0"/>
    <x v="15"/>
    <x v="1"/>
    <s v="Toužim Cup 2023 - Kombi"/>
    <s v="CZ"/>
    <n v="2023"/>
    <n v="21"/>
    <n v="2574"/>
    <n v="0.92500000000000004"/>
    <n v="4075"/>
    <n v="3769"/>
    <x v="1"/>
    <x v="0"/>
    <s v="HpH 304MS SHARK"/>
    <s v="No Name"/>
    <s v=""/>
    <m/>
  </r>
  <r>
    <x v="230"/>
    <x v="14"/>
    <x v="0"/>
    <x v="2"/>
    <x v="0"/>
    <s v="Toužim Cup 2023 - Kombi"/>
    <s v="CZ"/>
    <n v="2023"/>
    <n v="22"/>
    <n v="2425"/>
    <n v="0.92500000000000004"/>
    <n v="3754"/>
    <n v="3472"/>
    <x v="0"/>
    <x v="0"/>
    <s v="Ventus cm /17,6m"/>
    <s v="PJ"/>
    <s v=""/>
    <m/>
  </r>
  <r>
    <x v="231"/>
    <x v="5"/>
    <x v="0"/>
    <x v="61"/>
    <x v="1"/>
    <s v="Toužim Cup 2023 - Kombi"/>
    <s v="CZ"/>
    <n v="2023"/>
    <n v="23"/>
    <n v="2013"/>
    <n v="0.92500000000000004"/>
    <n v="3078"/>
    <n v="2847"/>
    <x v="1"/>
    <x v="0"/>
    <s v="ASH 26 E WL"/>
    <s v="SBI"/>
    <s v=""/>
    <m/>
  </r>
  <r>
    <x v="76"/>
    <x v="40"/>
    <x v="0"/>
    <x v="30"/>
    <x v="2"/>
    <s v="Toužim Cup 2023 - Kombi"/>
    <s v="CZ"/>
    <n v="2023"/>
    <n v="24"/>
    <n v="1516"/>
    <n v="0.92500000000000004"/>
    <n v="2287"/>
    <n v="2115"/>
    <x v="0"/>
    <x v="0"/>
    <s v="LAK 17 AT 18m"/>
    <s v="GL"/>
    <s v=""/>
    <m/>
  </r>
  <r>
    <x v="232"/>
    <x v="27"/>
    <x v="0"/>
    <x v="2"/>
    <x v="0"/>
    <s v="Toužim Cup 2023 - Kombi"/>
    <s v="CZ"/>
    <n v="2023"/>
    <n v="25"/>
    <n v="1307"/>
    <n v="0.92500000000000004"/>
    <n v="1885"/>
    <n v="1744"/>
    <x v="1"/>
    <x v="0"/>
    <s v="DG-400 17m"/>
    <s v="TK"/>
    <s v=""/>
    <m/>
  </r>
  <r>
    <x v="233"/>
    <x v="22"/>
    <x v="0"/>
    <x v="2"/>
    <x v="0"/>
    <s v="Toužim Cup 2023 - Kombi"/>
    <s v="CZ"/>
    <n v="2023"/>
    <n v="26"/>
    <n v="978"/>
    <n v="0.92500000000000004"/>
    <n v="1320"/>
    <n v="1221"/>
    <x v="1"/>
    <x v="0"/>
    <s v="DG-400 17m"/>
    <s v="FK"/>
    <s v=""/>
    <m/>
  </r>
  <r>
    <x v="234"/>
    <x v="12"/>
    <x v="0"/>
    <x v="3"/>
    <x v="2"/>
    <s v="Cirrus GP 2023 - Klub"/>
    <s v="CZ"/>
    <n v="2023"/>
    <n v="1"/>
    <n v="27"/>
    <n v="0.755"/>
    <n v="10000"/>
    <n v="7550"/>
    <x v="1"/>
    <x v="0"/>
    <s v="Std. Cirrus"/>
    <s v="IJ"/>
    <s v=""/>
    <m/>
  </r>
  <r>
    <x v="235"/>
    <x v="21"/>
    <x v="0"/>
    <x v="42"/>
    <x v="0"/>
    <s v="Cirrus GP 2023 - Klub"/>
    <s v="CZ"/>
    <n v="2023"/>
    <n v="2"/>
    <n v="22"/>
    <n v="0.755"/>
    <n v="9000"/>
    <n v="6795"/>
    <x v="1"/>
    <x v="0"/>
    <s v="Std. Cirrus"/>
    <s v="IT"/>
    <s v=""/>
    <m/>
  </r>
  <r>
    <x v="236"/>
    <x v="1"/>
    <x v="0"/>
    <x v="24"/>
    <x v="1"/>
    <s v="Cirrus GP 2023 - Klub"/>
    <s v="CZ"/>
    <n v="2023"/>
    <n v="3"/>
    <n v="20"/>
    <n v="0.755"/>
    <n v="8000"/>
    <n v="6040"/>
    <x v="0"/>
    <x v="0"/>
    <s v="Std. Cirrus"/>
    <s v="LW"/>
    <s v=""/>
    <m/>
  </r>
  <r>
    <x v="237"/>
    <x v="24"/>
    <x v="2"/>
    <x v="42"/>
    <x v="0"/>
    <s v="Cirrus GP 2023 - Klub"/>
    <s v="CZ"/>
    <n v="2023"/>
    <n v="4"/>
    <n v="13"/>
    <n v="0.755"/>
    <n v="7000"/>
    <n v="5285"/>
    <x v="0"/>
    <x v="0"/>
    <s v="Std. Cirrus"/>
    <s v="KAC"/>
    <s v=""/>
    <m/>
  </r>
  <r>
    <x v="238"/>
    <x v="15"/>
    <x v="0"/>
    <x v="64"/>
    <x v="0"/>
    <s v="Cirrus GP 2023 - Klub"/>
    <s v="CZ"/>
    <n v="2023"/>
    <n v="5"/>
    <n v="12"/>
    <n v="0.755"/>
    <n v="6000"/>
    <n v="4530"/>
    <x v="0"/>
    <x v="0"/>
    <s v="Std. Cirrus"/>
    <s v="IMI"/>
    <s v=""/>
    <m/>
  </r>
  <r>
    <x v="239"/>
    <x v="9"/>
    <x v="0"/>
    <x v="13"/>
    <x v="1"/>
    <s v="Cirrus GP 2023 - Klub"/>
    <s v="CZ"/>
    <n v="2023"/>
    <n v="6"/>
    <n v="9"/>
    <n v="0.755"/>
    <n v="5000"/>
    <n v="3775"/>
    <x v="1"/>
    <x v="0"/>
    <s v="Std. cirrus"/>
    <s v="GO"/>
    <s v=""/>
    <m/>
  </r>
  <r>
    <x v="240"/>
    <x v="15"/>
    <x v="0"/>
    <x v="8"/>
    <x v="2"/>
    <s v="Cirrus GP 2023 - Klub"/>
    <s v="CZ"/>
    <n v="2023"/>
    <n v="6"/>
    <n v="9"/>
    <n v="0.755"/>
    <n v="5000"/>
    <n v="3775"/>
    <x v="0"/>
    <x v="0"/>
    <s v="Std. Cirrus"/>
    <s v="EX"/>
    <s v=""/>
    <m/>
  </r>
  <r>
    <x v="241"/>
    <x v="35"/>
    <x v="0"/>
    <x v="65"/>
    <x v="2"/>
    <s v="Cirrus GP 2023 - Klub"/>
    <s v="CZ"/>
    <n v="2023"/>
    <n v="8"/>
    <n v="7"/>
    <n v="0.755"/>
    <n v="3000"/>
    <n v="2265"/>
    <x v="1"/>
    <x v="0"/>
    <s v="Std. Cirrus"/>
    <s v="SX"/>
    <s v=""/>
    <m/>
  </r>
  <r>
    <x v="242"/>
    <x v="30"/>
    <x v="0"/>
    <x v="42"/>
    <x v="0"/>
    <s v="Cirrus GP 2023 - Klub"/>
    <s v="CZ"/>
    <n v="2023"/>
    <n v="9"/>
    <n v="6"/>
    <n v="0.755"/>
    <n v="2000"/>
    <n v="1510"/>
    <x v="1"/>
    <x v="0"/>
    <s v="Std. Cirrus"/>
    <s v="CON"/>
    <s v=""/>
    <m/>
  </r>
  <r>
    <x v="243"/>
    <x v="31"/>
    <x v="0"/>
    <x v="21"/>
    <x v="0"/>
    <s v="Cirrus GP 2023 - Klub"/>
    <s v="CZ"/>
    <n v="2023"/>
    <n v="10"/>
    <n v="5"/>
    <n v="0.755"/>
    <n v="1000"/>
    <n v="755"/>
    <x v="0"/>
    <x v="0"/>
    <s v="Std. Cirrus"/>
    <s v="BB"/>
    <s v=""/>
    <m/>
  </r>
  <r>
    <x v="244"/>
    <x v="35"/>
    <x v="0"/>
    <x v="25"/>
    <x v="1"/>
    <s v="Cirrus GP 2023 - Klub"/>
    <s v="CZ"/>
    <n v="2023"/>
    <n v="11"/>
    <n v="1"/>
    <n v="0.755"/>
    <n v="0"/>
    <n v="0"/>
    <x v="0"/>
    <x v="0"/>
    <s v="Std. Cirrus"/>
    <s v="AR"/>
    <s v=""/>
    <m/>
  </r>
  <r>
    <x v="245"/>
    <x v="19"/>
    <x v="0"/>
    <x v="3"/>
    <x v="2"/>
    <s v="Cirrus GP 2023 - Klub"/>
    <s v="CZ"/>
    <n v="2023"/>
    <n v="11"/>
    <n v="1"/>
    <n v="0.755"/>
    <n v="0"/>
    <n v="0"/>
    <x v="0"/>
    <x v="0"/>
    <s v="Std. Cirrus"/>
    <n v="75"/>
    <s v=""/>
    <m/>
  </r>
  <r>
    <x v="27"/>
    <x v="19"/>
    <x v="0"/>
    <x v="18"/>
    <x v="2"/>
    <s v="Cirrus GP 2023 - Kombi 15m"/>
    <s v="CZ"/>
    <n v="2023"/>
    <n v="1"/>
    <n v="21"/>
    <n v="0"/>
    <n v="10000"/>
    <n v="0"/>
    <x v="0"/>
    <x v="0"/>
    <s v="AS 33 15m"/>
    <n v="12"/>
    <s v=""/>
    <m/>
  </r>
  <r>
    <x v="246"/>
    <x v="31"/>
    <x v="0"/>
    <x v="3"/>
    <x v="2"/>
    <s v="Cirrus GP 2023 - Kombi 15m"/>
    <s v="CZ"/>
    <n v="2023"/>
    <n v="2"/>
    <n v="19"/>
    <n v="0"/>
    <n v="8750"/>
    <n v="0"/>
    <x v="0"/>
    <x v="0"/>
    <s v="Ventus c 15m"/>
    <s v="EB"/>
    <s v=""/>
    <m/>
  </r>
  <r>
    <x v="247"/>
    <x v="24"/>
    <x v="0"/>
    <x v="65"/>
    <x v="2"/>
    <s v="Cirrus GP 2023 - Kombi 15m"/>
    <s v="CZ"/>
    <n v="2023"/>
    <n v="3"/>
    <n v="18"/>
    <n v="0"/>
    <n v="7500"/>
    <n v="0"/>
    <x v="0"/>
    <x v="0"/>
    <s v="Ventus c 15m"/>
    <s v="AD"/>
    <s v=""/>
    <m/>
  </r>
  <r>
    <x v="43"/>
    <x v="8"/>
    <x v="0"/>
    <x v="25"/>
    <x v="1"/>
    <s v="Cirrus GP 2023 - Kombi 15m"/>
    <s v="CZ"/>
    <n v="2023"/>
    <n v="4"/>
    <n v="15"/>
    <n v="0"/>
    <n v="6250"/>
    <n v="0"/>
    <x v="0"/>
    <x v="0"/>
    <s v="asg 29 15m"/>
    <s v="XZ"/>
    <s v=""/>
    <m/>
  </r>
  <r>
    <x v="214"/>
    <x v="26"/>
    <x v="0"/>
    <x v="2"/>
    <x v="0"/>
    <s v="Cirrus GP 2023 - Kombi 15m"/>
    <s v="CZ"/>
    <n v="2023"/>
    <n v="4"/>
    <n v="15"/>
    <n v="0"/>
    <n v="6250"/>
    <n v="0"/>
    <x v="0"/>
    <x v="0"/>
    <s v="Ventus c 15m"/>
    <s v="CS"/>
    <s v=""/>
    <m/>
  </r>
  <r>
    <x v="222"/>
    <x v="19"/>
    <x v="0"/>
    <x v="2"/>
    <x v="0"/>
    <s v="Cirrus GP 2023 - Kombi 15m"/>
    <s v="CZ"/>
    <n v="2023"/>
    <n v="6"/>
    <n v="10"/>
    <n v="0"/>
    <n v="3750"/>
    <n v="0"/>
    <x v="0"/>
    <x v="0"/>
    <s v="Ventus c 15m"/>
    <s v="PC"/>
    <s v=""/>
    <m/>
  </r>
  <r>
    <x v="248"/>
    <x v="23"/>
    <x v="0"/>
    <x v="42"/>
    <x v="0"/>
    <s v="Cirrus GP 2023 - Kombi 15m"/>
    <s v="CZ"/>
    <n v="2023"/>
    <n v="7"/>
    <n v="9"/>
    <n v="0"/>
    <n v="2500"/>
    <n v="0"/>
    <x v="0"/>
    <x v="0"/>
    <s v="Ventus b 15m"/>
    <s v="MK"/>
    <s v=""/>
    <m/>
  </r>
  <r>
    <x v="216"/>
    <x v="58"/>
    <x v="0"/>
    <x v="60"/>
    <x v="2"/>
    <s v="Cirrus GP 2023 - Kombi 15m"/>
    <s v="CZ"/>
    <n v="2023"/>
    <n v="8"/>
    <n v="6"/>
    <n v="0"/>
    <n v="1250"/>
    <n v="0"/>
    <x v="0"/>
    <x v="0"/>
    <s v="Discus 2a"/>
    <s v="GX"/>
    <s v=""/>
    <m/>
  </r>
  <r>
    <x v="56"/>
    <x v="35"/>
    <x v="0"/>
    <x v="23"/>
    <x v="0"/>
    <s v="Cirrus GP 2023 - Kombi 15m"/>
    <s v="CZ"/>
    <n v="2023"/>
    <n v="9"/>
    <n v="3"/>
    <n v="0"/>
    <n v="0"/>
    <n v="0"/>
    <x v="0"/>
    <x v="0"/>
    <s v="Ventus c 15m"/>
    <s v="UC"/>
    <s v=""/>
    <m/>
  </r>
  <r>
    <x v="2"/>
    <x v="2"/>
    <x v="0"/>
    <x v="2"/>
    <x v="0"/>
    <s v="PPV 2023 - Klub"/>
    <s v="CZ"/>
    <n v="2023"/>
    <n v="1"/>
    <n v="2583"/>
    <n v="0.9"/>
    <n v="10000"/>
    <n v="9000"/>
    <x v="0"/>
    <x v="0"/>
    <s v="LS 1-d"/>
    <s v="CL"/>
    <s v=""/>
    <m/>
  </r>
  <r>
    <x v="42"/>
    <x v="19"/>
    <x v="2"/>
    <x v="24"/>
    <x v="1"/>
    <s v="PPV 2023 - Klub"/>
    <s v="CZ"/>
    <n v="2023"/>
    <n v="2"/>
    <n v="2462"/>
    <n v="0.9"/>
    <n v="9601"/>
    <n v="8641"/>
    <x v="0"/>
    <x v="0"/>
    <s v="Std. Cirrus"/>
    <s v="CI"/>
    <s v=""/>
    <m/>
  </r>
  <r>
    <x v="249"/>
    <x v="48"/>
    <x v="0"/>
    <x v="23"/>
    <x v="0"/>
    <s v="PPV 2023 - Klub"/>
    <s v="CZ"/>
    <n v="2023"/>
    <n v="3"/>
    <n v="2432"/>
    <n v="0.9"/>
    <n v="9448"/>
    <n v="8503"/>
    <x v="1"/>
    <x v="0"/>
    <s v="Discus b"/>
    <s v="DP"/>
    <s v=""/>
    <m/>
  </r>
  <r>
    <x v="250"/>
    <x v="23"/>
    <x v="0"/>
    <x v="23"/>
    <x v="0"/>
    <s v="PPV 2023 - Klub"/>
    <s v="CZ"/>
    <n v="2023"/>
    <n v="4"/>
    <n v="2413"/>
    <n v="0.9"/>
    <n v="9325"/>
    <n v="8393"/>
    <x v="1"/>
    <x v="0"/>
    <s v="ASW 15 B"/>
    <s v="MA"/>
    <s v=""/>
    <m/>
  </r>
  <r>
    <x v="251"/>
    <x v="43"/>
    <x v="0"/>
    <x v="23"/>
    <x v="0"/>
    <s v="PPV 2023 - Klub"/>
    <s v="CZ"/>
    <n v="2023"/>
    <n v="5"/>
    <n v="2404"/>
    <n v="0.9"/>
    <n v="9229"/>
    <n v="8306"/>
    <x v="0"/>
    <x v="0"/>
    <s v="Mosquito"/>
    <s v="LC"/>
    <s v=""/>
    <m/>
  </r>
  <r>
    <x v="81"/>
    <x v="8"/>
    <x v="0"/>
    <x v="23"/>
    <x v="0"/>
    <s v="PPV 2023 - Klub"/>
    <s v="CZ"/>
    <n v="2023"/>
    <n v="6"/>
    <n v="2331"/>
    <n v="0.9"/>
    <n v="8960"/>
    <n v="8064"/>
    <x v="0"/>
    <x v="0"/>
    <s v="Std. Cirrus"/>
    <s v="IMI"/>
    <s v=""/>
    <m/>
  </r>
  <r>
    <x v="238"/>
    <x v="15"/>
    <x v="0"/>
    <x v="64"/>
    <x v="0"/>
    <s v="PPV 2023 - Klub"/>
    <s v="CZ"/>
    <n v="2023"/>
    <n v="7"/>
    <n v="2326"/>
    <n v="0.9"/>
    <n v="8875"/>
    <n v="7988"/>
    <x v="1"/>
    <x v="0"/>
    <s v="ASW 15 B"/>
    <s v="LF"/>
    <s v=""/>
    <m/>
  </r>
  <r>
    <x v="252"/>
    <x v="27"/>
    <x v="0"/>
    <x v="13"/>
    <x v="1"/>
    <s v="PPV 2023 - Klub"/>
    <s v="CZ"/>
    <n v="2023"/>
    <n v="8"/>
    <n v="2320"/>
    <n v="0.9"/>
    <n v="8787"/>
    <n v="7908"/>
    <x v="1"/>
    <x v="0"/>
    <s v="Std. Cirrus"/>
    <s v="IF"/>
    <s v=""/>
    <m/>
  </r>
  <r>
    <x v="253"/>
    <x v="24"/>
    <x v="0"/>
    <x v="23"/>
    <x v="0"/>
    <s v="PPV 2023 - Klub"/>
    <s v="CZ"/>
    <n v="2023"/>
    <n v="9"/>
    <n v="2299"/>
    <n v="0.9"/>
    <n v="8659"/>
    <n v="7793"/>
    <x v="1"/>
    <x v="0"/>
    <s v="ASW 15 B"/>
    <s v="BA4"/>
    <s v=""/>
    <m/>
  </r>
  <r>
    <x v="254"/>
    <x v="2"/>
    <x v="0"/>
    <x v="66"/>
    <x v="1"/>
    <s v="PPV 2023 - Klub"/>
    <s v="CZ"/>
    <n v="2023"/>
    <n v="10"/>
    <n v="2254"/>
    <n v="0.9"/>
    <n v="8466"/>
    <n v="7619"/>
    <x v="1"/>
    <x v="0"/>
    <s v="ASW 19 B"/>
    <s v="RCE"/>
    <s v=""/>
    <m/>
  </r>
  <r>
    <x v="17"/>
    <x v="9"/>
    <x v="0"/>
    <x v="13"/>
    <x v="1"/>
    <s v="PPV 2023 - Klub"/>
    <s v="CZ"/>
    <n v="2023"/>
    <n v="11"/>
    <n v="2121"/>
    <n v="0.9"/>
    <n v="8034"/>
    <n v="7231"/>
    <x v="1"/>
    <x v="0"/>
    <s v="Janus B"/>
    <s v="BV"/>
    <s v=""/>
    <m/>
  </r>
  <r>
    <x v="255"/>
    <x v="45"/>
    <x v="0"/>
    <x v="19"/>
    <x v="1"/>
    <s v="PPV 2023 - Klub"/>
    <s v="CZ"/>
    <n v="2023"/>
    <n v="12"/>
    <n v="2112"/>
    <n v="0.9"/>
    <n v="7938"/>
    <n v="7144"/>
    <x v="0"/>
    <x v="0"/>
    <s v="VT-16 Orlic 2"/>
    <n v="46"/>
    <s v=""/>
    <m/>
  </r>
  <r>
    <x v="86"/>
    <x v="27"/>
    <x v="0"/>
    <x v="23"/>
    <x v="0"/>
    <s v="PPV 2023 - Klub"/>
    <s v="CZ"/>
    <n v="2023"/>
    <n v="13"/>
    <n v="2062"/>
    <n v="0.9"/>
    <n v="7731"/>
    <n v="6958"/>
    <x v="0"/>
    <x v="0"/>
    <s v="ASW 15 B"/>
    <s v="JJ"/>
    <s v=""/>
    <m/>
  </r>
  <r>
    <x v="131"/>
    <x v="16"/>
    <x v="0"/>
    <x v="39"/>
    <x v="0"/>
    <s v="PPV 2023 - Klub"/>
    <s v="CZ"/>
    <n v="2023"/>
    <n v="14"/>
    <n v="2024"/>
    <n v="0.9"/>
    <n v="7557"/>
    <n v="6801"/>
    <x v="1"/>
    <x v="0"/>
    <s v="ASW 15 B"/>
    <s v="HH"/>
    <s v=""/>
    <m/>
  </r>
  <r>
    <x v="256"/>
    <x v="28"/>
    <x v="0"/>
    <x v="13"/>
    <x v="1"/>
    <s v="PPV 2023 - Klub"/>
    <s v="CZ"/>
    <n v="2023"/>
    <n v="15"/>
    <n v="2013"/>
    <n v="0.9"/>
    <n v="7455"/>
    <n v="6710"/>
    <x v="1"/>
    <x v="0"/>
    <s v="Std. Cirrus"/>
    <n v="17"/>
    <s v=""/>
    <m/>
  </r>
  <r>
    <x v="257"/>
    <x v="11"/>
    <x v="0"/>
    <x v="48"/>
    <x v="1"/>
    <s v="PPV 2023 - Klub"/>
    <s v="CZ"/>
    <n v="2023"/>
    <n v="16"/>
    <n v="1984"/>
    <n v="0.9"/>
    <n v="7305"/>
    <n v="6575"/>
    <x v="1"/>
    <x v="0"/>
    <s v="Discus CS"/>
    <n v="65"/>
    <s v=""/>
    <m/>
  </r>
  <r>
    <x v="243"/>
    <x v="31"/>
    <x v="0"/>
    <x v="21"/>
    <x v="0"/>
    <s v="PPV 2023 - Klub"/>
    <s v="CZ"/>
    <n v="2023"/>
    <n v="17"/>
    <n v="1869"/>
    <n v="0.9"/>
    <n v="6922"/>
    <n v="6230"/>
    <x v="1"/>
    <x v="0"/>
    <s v="Std. Cirrus"/>
    <s v="BB"/>
    <s v=""/>
    <m/>
  </r>
  <r>
    <x v="258"/>
    <x v="0"/>
    <x v="0"/>
    <x v="60"/>
    <x v="2"/>
    <s v="PPV 2023 - Klub"/>
    <s v="CZ"/>
    <n v="2023"/>
    <n v="18"/>
    <n v="1777"/>
    <n v="0.9"/>
    <n v="6601"/>
    <n v="5941"/>
    <x v="1"/>
    <x v="0"/>
    <s v="DG 100"/>
    <s v="M"/>
    <s v=""/>
    <m/>
  </r>
  <r>
    <x v="259"/>
    <x v="10"/>
    <x v="2"/>
    <x v="13"/>
    <x v="1"/>
    <s v="PPV 2023 - Klub"/>
    <s v="CZ"/>
    <n v="2023"/>
    <n v="19"/>
    <n v="1734"/>
    <n v="0.9"/>
    <n v="6413"/>
    <n v="5772"/>
    <x v="1"/>
    <x v="1"/>
    <s v="Std. Cirrus"/>
    <s v="GO"/>
    <s v=""/>
    <m/>
  </r>
  <r>
    <x v="133"/>
    <x v="24"/>
    <x v="0"/>
    <x v="39"/>
    <x v="0"/>
    <s v="PPV 2023 - Klub"/>
    <s v="CZ"/>
    <n v="2023"/>
    <n v="20"/>
    <n v="1605"/>
    <n v="0.9"/>
    <n v="5992"/>
    <n v="5393"/>
    <x v="1"/>
    <x v="0"/>
    <s v="DG 100"/>
    <n v="78"/>
    <s v=""/>
    <m/>
  </r>
  <r>
    <x v="127"/>
    <x v="36"/>
    <x v="0"/>
    <x v="39"/>
    <x v="0"/>
    <s v="PPV 2023 - Klub"/>
    <s v="CZ"/>
    <n v="2023"/>
    <n v="21"/>
    <n v="1525"/>
    <n v="0.9"/>
    <n v="5704"/>
    <n v="5134"/>
    <x v="0"/>
    <x v="0"/>
    <s v="VSO-10"/>
    <n v="9"/>
    <s v=""/>
    <m/>
  </r>
  <r>
    <x v="260"/>
    <x v="12"/>
    <x v="0"/>
    <x v="14"/>
    <x v="0"/>
    <s v="PPV 2023 - Klub"/>
    <s v="CZ"/>
    <n v="2023"/>
    <n v="22"/>
    <n v="1361"/>
    <n v="0.9"/>
    <n v="5188"/>
    <n v="4669"/>
    <x v="1"/>
    <x v="0"/>
    <s v="Discus b WL"/>
    <s v="LD"/>
    <s v=""/>
    <m/>
  </r>
  <r>
    <x v="135"/>
    <x v="9"/>
    <x v="0"/>
    <x v="39"/>
    <x v="0"/>
    <s v="PPV 2023 - Klub"/>
    <s v="CZ"/>
    <n v="2023"/>
    <n v="23"/>
    <n v="1335"/>
    <n v="0.9"/>
    <n v="5046"/>
    <n v="4541"/>
    <x v="1"/>
    <x v="0"/>
    <s v="ASW 19"/>
    <s v="BO"/>
    <s v=""/>
    <m/>
  </r>
  <r>
    <x v="134"/>
    <x v="21"/>
    <x v="0"/>
    <x v="39"/>
    <x v="0"/>
    <s v="PPV 2023 - Klub"/>
    <s v="CZ"/>
    <n v="2023"/>
    <n v="24"/>
    <n v="1325"/>
    <n v="0.9"/>
    <n v="4948"/>
    <n v="4453"/>
    <x v="1"/>
    <x v="0"/>
    <s v="DG 200"/>
    <s v="EK"/>
    <s v=""/>
    <m/>
  </r>
  <r>
    <x v="261"/>
    <x v="0"/>
    <x v="0"/>
    <x v="23"/>
    <x v="0"/>
    <s v="PPV 2023 - Klub"/>
    <s v="CZ"/>
    <n v="2023"/>
    <n v="25"/>
    <n v="1283"/>
    <n v="0.9"/>
    <n v="4763"/>
    <n v="4287"/>
    <x v="1"/>
    <x v="0"/>
    <s v="g 102 Astir CS"/>
    <s v="PJ"/>
    <s v=""/>
    <m/>
  </r>
  <r>
    <x v="262"/>
    <x v="6"/>
    <x v="0"/>
    <x v="23"/>
    <x v="0"/>
    <s v="PPV 2023 - Klub"/>
    <s v="CZ"/>
    <n v="2023"/>
    <n v="26"/>
    <n v="1164"/>
    <n v="0.9"/>
    <n v="4369"/>
    <n v="3932"/>
    <x v="1"/>
    <x v="0"/>
    <s v="ASW 20"/>
    <s v="TA"/>
    <s v=""/>
    <m/>
  </r>
  <r>
    <x v="263"/>
    <x v="27"/>
    <x v="0"/>
    <x v="23"/>
    <x v="0"/>
    <s v="PPV 2023 - Klub"/>
    <s v="CZ"/>
    <n v="2023"/>
    <n v="27"/>
    <n v="1162"/>
    <n v="0.9"/>
    <n v="4292"/>
    <n v="3863"/>
    <x v="1"/>
    <x v="0"/>
    <s v="G 102 Astir CS"/>
    <s v="PD"/>
    <s v=""/>
    <m/>
  </r>
  <r>
    <x v="130"/>
    <x v="26"/>
    <x v="0"/>
    <x v="39"/>
    <x v="0"/>
    <s v="PPV 2023 - Klub"/>
    <s v="CZ"/>
    <n v="2023"/>
    <n v="28"/>
    <n v="1128"/>
    <n v="0.9"/>
    <n v="4128"/>
    <n v="3715"/>
    <x v="0"/>
    <x v="0"/>
    <s v="DG 100"/>
    <s v="8W"/>
    <s v=""/>
    <m/>
  </r>
  <r>
    <x v="264"/>
    <x v="26"/>
    <x v="0"/>
    <x v="23"/>
    <x v="0"/>
    <s v="PPV 2023 - Klub"/>
    <s v="CZ"/>
    <n v="2023"/>
    <n v="29"/>
    <n v="1081"/>
    <n v="0.9"/>
    <n v="3930"/>
    <n v="3537"/>
    <x v="1"/>
    <x v="0"/>
    <s v="ASW 19"/>
    <s v="WT"/>
    <s v=""/>
    <m/>
  </r>
  <r>
    <x v="265"/>
    <x v="27"/>
    <x v="0"/>
    <x v="23"/>
    <x v="0"/>
    <s v="PPV 2023 - Klub"/>
    <s v="CZ"/>
    <n v="2023"/>
    <n v="30"/>
    <n v="1075"/>
    <n v="0.9"/>
    <n v="3842"/>
    <n v="3458"/>
    <x v="1"/>
    <x v="0"/>
    <s v="Alpin T"/>
    <s v="AI"/>
    <s v=""/>
    <m/>
  </r>
  <r>
    <x v="266"/>
    <x v="44"/>
    <x v="0"/>
    <x v="23"/>
    <x v="0"/>
    <s v="PPV 2023 - Klub"/>
    <s v="CZ"/>
    <n v="2023"/>
    <n v="31"/>
    <n v="1051"/>
    <n v="0.9"/>
    <n v="3705"/>
    <n v="3335"/>
    <x v="1"/>
    <x v="0"/>
    <s v="VSO-10"/>
    <s v="L5"/>
    <s v="Junior v roce 2026"/>
    <m/>
  </r>
  <r>
    <x v="267"/>
    <x v="2"/>
    <x v="0"/>
    <x v="23"/>
    <x v="0"/>
    <s v="PPV 2023 - Klub"/>
    <s v="CZ"/>
    <n v="2023"/>
    <n v="32"/>
    <n v="1039"/>
    <n v="0.9"/>
    <n v="3601"/>
    <n v="3241"/>
    <x v="1"/>
    <x v="0"/>
    <s v="G 103 Twin Astir"/>
    <m/>
    <s v=""/>
    <m/>
  </r>
  <r>
    <x v="268"/>
    <x v="24"/>
    <x v="0"/>
    <x v="23"/>
    <x v="0"/>
    <s v="PPV 2023 - Klub"/>
    <s v="CZ"/>
    <n v="2023"/>
    <n v="33"/>
    <n v="902"/>
    <n v="0.9"/>
    <n v="3159"/>
    <n v="2843"/>
    <x v="1"/>
    <x v="0"/>
    <s v="Std. Cirrus WL"/>
    <s v="JE"/>
    <s v=""/>
    <m/>
  </r>
  <r>
    <x v="103"/>
    <x v="16"/>
    <x v="2"/>
    <x v="34"/>
    <x v="2"/>
    <s v="PPV 2023 - Klub"/>
    <s v="CZ"/>
    <n v="2023"/>
    <n v="34"/>
    <n v="874"/>
    <n v="0.9"/>
    <n v="3011"/>
    <n v="2710"/>
    <x v="1"/>
    <x v="1"/>
    <s v="ASW 15"/>
    <s v="YZ"/>
    <s v=""/>
    <m/>
  </r>
  <r>
    <x v="269"/>
    <x v="26"/>
    <x v="2"/>
    <x v="67"/>
    <x v="1"/>
    <s v="PPV 2023 - Klub"/>
    <s v="CZ"/>
    <n v="2023"/>
    <n v="35"/>
    <n v="843"/>
    <n v="0.9"/>
    <n v="2856"/>
    <n v="2570"/>
    <x v="1"/>
    <x v="1"/>
    <s v="Std. Cirrus"/>
    <s v="FF"/>
    <s v=""/>
    <m/>
  </r>
  <r>
    <x v="87"/>
    <x v="11"/>
    <x v="0"/>
    <x v="23"/>
    <x v="0"/>
    <s v="PPV 2023 - Klub"/>
    <s v="CZ"/>
    <n v="2023"/>
    <n v="36"/>
    <n v="826"/>
    <n v="0.9"/>
    <n v="2738"/>
    <n v="2464"/>
    <x v="0"/>
    <x v="0"/>
    <s v="ASW 19 B"/>
    <s v="HD"/>
    <s v=""/>
    <m/>
  </r>
  <r>
    <x v="270"/>
    <x v="5"/>
    <x v="0"/>
    <x v="14"/>
    <x v="0"/>
    <s v="PPV 2023 - Klub"/>
    <s v="CZ"/>
    <n v="2023"/>
    <n v="37"/>
    <n v="764"/>
    <n v="0.9"/>
    <n v="2499"/>
    <n v="2249"/>
    <x v="1"/>
    <x v="0"/>
    <s v="DG 300 Club ELAN"/>
    <s v="DG"/>
    <s v=""/>
    <m/>
  </r>
  <r>
    <x v="271"/>
    <x v="39"/>
    <x v="0"/>
    <x v="19"/>
    <x v="1"/>
    <s v="PPV 2023 - Klub"/>
    <s v="CZ"/>
    <n v="2023"/>
    <n v="38"/>
    <n v="729"/>
    <n v="0.9"/>
    <n v="2333"/>
    <n v="2100"/>
    <x v="1"/>
    <x v="0"/>
    <s v="VT-16 Orlic 2"/>
    <s v="I"/>
    <s v=""/>
    <m/>
  </r>
  <r>
    <x v="245"/>
    <x v="19"/>
    <x v="0"/>
    <x v="3"/>
    <x v="2"/>
    <s v="PPV 2023 - Klub"/>
    <s v="CZ"/>
    <n v="2023"/>
    <n v="39"/>
    <n v="656"/>
    <n v="0.9"/>
    <n v="2063"/>
    <n v="1857"/>
    <x v="1"/>
    <x v="0"/>
    <s v="std. cirrus"/>
    <n v="75"/>
    <s v=""/>
    <m/>
  </r>
  <r>
    <x v="272"/>
    <x v="59"/>
    <x v="0"/>
    <x v="19"/>
    <x v="1"/>
    <s v="PPV 2023 - Klub"/>
    <s v="CZ"/>
    <n v="2023"/>
    <n v="40"/>
    <n v="553"/>
    <n v="0.9"/>
    <n v="1713"/>
    <n v="1542"/>
    <x v="1"/>
    <x v="0"/>
    <s v="VT-16 Orlic 2"/>
    <m/>
    <s v=""/>
    <m/>
  </r>
  <r>
    <x v="273"/>
    <x v="11"/>
    <x v="0"/>
    <x v="23"/>
    <x v="0"/>
    <s v="PPV 2023 - Klub"/>
    <s v="CZ"/>
    <n v="2023"/>
    <n v="41"/>
    <n v="552"/>
    <n v="0.9"/>
    <n v="1639"/>
    <n v="1475"/>
    <x v="1"/>
    <x v="0"/>
    <s v="Std. Cirrus"/>
    <s v="L8"/>
    <s v=""/>
    <m/>
  </r>
  <r>
    <x v="274"/>
    <x v="0"/>
    <x v="0"/>
    <x v="14"/>
    <x v="0"/>
    <s v="PPV 2023 - Klub"/>
    <s v="CZ"/>
    <n v="2023"/>
    <n v="42"/>
    <n v="517"/>
    <n v="0.9"/>
    <n v="1473"/>
    <n v="1326"/>
    <x v="0"/>
    <x v="0"/>
    <s v="Std. Cirrus"/>
    <s v="FU"/>
    <s v=""/>
    <m/>
  </r>
  <r>
    <x v="136"/>
    <x v="30"/>
    <x v="0"/>
    <x v="39"/>
    <x v="0"/>
    <s v="PPV 2023 - Klub"/>
    <s v="CZ"/>
    <n v="2023"/>
    <n v="43"/>
    <n v="0"/>
    <n v="0.9"/>
    <n v="0"/>
    <n v="0"/>
    <x v="0"/>
    <x v="0"/>
    <s v="ASW 15 B"/>
    <s v="6Y"/>
    <s v=""/>
    <m/>
  </r>
  <r>
    <x v="275"/>
    <x v="0"/>
    <x v="0"/>
    <x v="29"/>
    <x v="2"/>
    <s v="PPV 2023 - Klub"/>
    <s v="CZ"/>
    <n v="2023"/>
    <n v="43"/>
    <n v="0"/>
    <n v="0.9"/>
    <n v="0"/>
    <n v="0"/>
    <x v="0"/>
    <x v="0"/>
    <s v="ASW 24 E"/>
    <s v="LD"/>
    <s v=""/>
    <m/>
  </r>
  <r>
    <x v="38"/>
    <x v="26"/>
    <x v="0"/>
    <x v="21"/>
    <x v="0"/>
    <s v="PPV 2023 - Kombi"/>
    <s v="CZ"/>
    <n v="2023"/>
    <n v="1"/>
    <n v="2340"/>
    <n v="0.92"/>
    <n v="10000"/>
    <n v="9200"/>
    <x v="1"/>
    <x v="0"/>
    <s v="JS3 15m"/>
    <s v="XM"/>
    <s v=""/>
    <m/>
  </r>
  <r>
    <x v="217"/>
    <x v="47"/>
    <x v="0"/>
    <x v="38"/>
    <x v="1"/>
    <s v="PPV 2023 - Kombi"/>
    <s v="CZ"/>
    <n v="2023"/>
    <n v="2"/>
    <n v="2334"/>
    <n v="0.92"/>
    <n v="9815"/>
    <n v="9030"/>
    <x v="1"/>
    <x v="0"/>
    <s v="JS1 18m"/>
    <s v="IGC"/>
    <s v=""/>
    <m/>
  </r>
  <r>
    <x v="247"/>
    <x v="24"/>
    <x v="0"/>
    <x v="65"/>
    <x v="2"/>
    <s v="PPV 2023 - Kombi"/>
    <s v="CZ"/>
    <n v="2023"/>
    <n v="3"/>
    <n v="2321"/>
    <n v="0.92"/>
    <n v="9610"/>
    <n v="8841"/>
    <x v="1"/>
    <x v="0"/>
    <s v="Ventus c 17.6m"/>
    <s v="AD"/>
    <s v=""/>
    <m/>
  </r>
  <r>
    <x v="36"/>
    <x v="24"/>
    <x v="0"/>
    <x v="23"/>
    <x v="0"/>
    <s v="PPV 2023 - Kombi"/>
    <s v="CZ"/>
    <n v="2023"/>
    <n v="4"/>
    <n v="2256"/>
    <n v="0.92"/>
    <n v="9249"/>
    <n v="8509"/>
    <x v="1"/>
    <x v="0"/>
    <s v="ASG 29 E 18m"/>
    <s v="QX"/>
    <s v=""/>
    <m/>
  </r>
  <r>
    <x v="138"/>
    <x v="37"/>
    <x v="0"/>
    <x v="39"/>
    <x v="0"/>
    <s v="PPV 2023 - Kombi"/>
    <s v="CZ"/>
    <n v="2023"/>
    <n v="5"/>
    <n v="2102"/>
    <n v="0.92"/>
    <n v="8621"/>
    <n v="7931"/>
    <x v="0"/>
    <x v="0"/>
    <s v="Duo Discus X"/>
    <s v="BB"/>
    <s v=""/>
    <m/>
  </r>
  <r>
    <x v="44"/>
    <x v="29"/>
    <x v="0"/>
    <x v="10"/>
    <x v="0"/>
    <s v="PPV 2023 - Kombi"/>
    <s v="CZ"/>
    <n v="2023"/>
    <n v="6"/>
    <n v="1984"/>
    <n v="0.92"/>
    <n v="8102"/>
    <n v="7454"/>
    <x v="1"/>
    <x v="0"/>
    <s v="HpH 304 MS Shark"/>
    <s v="DJ"/>
    <s v=""/>
    <m/>
  </r>
  <r>
    <x v="35"/>
    <x v="23"/>
    <x v="0"/>
    <x v="15"/>
    <x v="1"/>
    <s v="PPV 2023 - Kombi"/>
    <s v="CZ"/>
    <n v="2023"/>
    <n v="7"/>
    <n v="1836"/>
    <n v="0.92"/>
    <n v="7492"/>
    <n v="6893"/>
    <x v="0"/>
    <x v="0"/>
    <s v="Ventus c 17.6m"/>
    <s v="EG"/>
    <s v=""/>
    <m/>
  </r>
  <r>
    <x v="112"/>
    <x v="25"/>
    <x v="0"/>
    <x v="10"/>
    <x v="0"/>
    <s v="PPV 2023 - Kombi"/>
    <s v="CZ"/>
    <n v="2023"/>
    <n v="8"/>
    <n v="1818"/>
    <n v="0.92"/>
    <n v="7272"/>
    <n v="6690"/>
    <x v="0"/>
    <x v="0"/>
    <s v="Ventus cT 17.6m"/>
    <s v="KR"/>
    <s v=""/>
    <m/>
  </r>
  <r>
    <x v="140"/>
    <x v="27"/>
    <x v="0"/>
    <x v="39"/>
    <x v="0"/>
    <s v="PPV 2023 - Kombi"/>
    <s v="CZ"/>
    <n v="2023"/>
    <n v="9"/>
    <n v="1778"/>
    <n v="0.92"/>
    <n v="6985"/>
    <n v="6426"/>
    <x v="0"/>
    <x v="0"/>
    <s v="Ventus b 16.6m WL"/>
    <s v="7F"/>
    <s v=""/>
    <m/>
  </r>
  <r>
    <x v="276"/>
    <x v="21"/>
    <x v="0"/>
    <x v="1"/>
    <x v="1"/>
    <s v="PPV 2023 - Kombi"/>
    <s v="CZ"/>
    <n v="2023"/>
    <n v="10"/>
    <n v="1705"/>
    <n v="0.92"/>
    <n v="6600"/>
    <n v="6072"/>
    <x v="1"/>
    <x v="0"/>
    <s v="Ventus 2cM 18m"/>
    <s v="LS"/>
    <s v=""/>
    <m/>
  </r>
  <r>
    <x v="277"/>
    <x v="29"/>
    <x v="0"/>
    <x v="28"/>
    <x v="2"/>
    <s v="PPV 2023 - Kombi"/>
    <s v="CZ"/>
    <n v="2023"/>
    <n v="11"/>
    <n v="1634"/>
    <n v="0.92"/>
    <n v="6221"/>
    <n v="5723"/>
    <x v="0"/>
    <x v="0"/>
    <s v="Duo Discus T"/>
    <s v="ZS"/>
    <s v=""/>
    <m/>
  </r>
  <r>
    <x v="278"/>
    <x v="60"/>
    <x v="0"/>
    <x v="10"/>
    <x v="0"/>
    <s v="PPV 2023 - Kombi"/>
    <s v="CZ"/>
    <n v="2023"/>
    <n v="12"/>
    <n v="1438"/>
    <n v="0.92"/>
    <n v="5468"/>
    <n v="5031"/>
    <x v="1"/>
    <x v="0"/>
    <s v="Nimbus 3 22.9m"/>
    <s v="HS"/>
    <s v=""/>
    <m/>
  </r>
  <r>
    <x v="52"/>
    <x v="33"/>
    <x v="0"/>
    <x v="15"/>
    <x v="1"/>
    <s v="PPV 2023 - Kombi"/>
    <s v="CZ"/>
    <n v="2023"/>
    <n v="13"/>
    <n v="1385"/>
    <n v="0.92"/>
    <n v="5143"/>
    <n v="4732"/>
    <x v="0"/>
    <x v="0"/>
    <s v="LS 8"/>
    <s v="ZB"/>
    <s v=""/>
    <m/>
  </r>
  <r>
    <x v="228"/>
    <x v="25"/>
    <x v="0"/>
    <x v="21"/>
    <x v="0"/>
    <s v="PPV 2023 - Kombi"/>
    <s v="CZ"/>
    <n v="2023"/>
    <n v="14"/>
    <n v="1238"/>
    <n v="0.92"/>
    <n v="4537"/>
    <n v="4174"/>
    <x v="0"/>
    <x v="0"/>
    <s v="Ventus c 17.6m"/>
    <s v="PUP"/>
    <s v=""/>
    <m/>
  </r>
  <r>
    <x v="74"/>
    <x v="36"/>
    <x v="0"/>
    <x v="18"/>
    <x v="2"/>
    <s v="PPV 2023 - Kombi"/>
    <s v="CZ"/>
    <n v="2023"/>
    <n v="15"/>
    <n v="1188"/>
    <n v="0.92"/>
    <n v="4221"/>
    <n v="3883"/>
    <x v="0"/>
    <x v="0"/>
    <s v="Ventus cM 17.6m"/>
    <s v="ŠNeK"/>
    <s v=""/>
    <m/>
  </r>
  <r>
    <x v="144"/>
    <x v="27"/>
    <x v="0"/>
    <x v="38"/>
    <x v="1"/>
    <s v="PPV 2023 - Kombi"/>
    <s v="CZ"/>
    <n v="2023"/>
    <n v="16"/>
    <n v="1124"/>
    <n v="0.92"/>
    <n v="3862"/>
    <n v="3553"/>
    <x v="1"/>
    <x v="0"/>
    <s v="ASG 29 Es 18m"/>
    <s v="ET"/>
    <s v=""/>
    <m/>
  </r>
  <r>
    <x v="279"/>
    <x v="35"/>
    <x v="0"/>
    <x v="23"/>
    <x v="0"/>
    <s v="PPV 2023 - Kombi"/>
    <s v="CZ"/>
    <n v="2023"/>
    <n v="17"/>
    <n v="1069"/>
    <n v="0.92"/>
    <n v="3531"/>
    <n v="3249"/>
    <x v="1"/>
    <x v="0"/>
    <s v="Ventus c 17.6m"/>
    <s v="UC"/>
    <s v=""/>
    <m/>
  </r>
  <r>
    <x v="280"/>
    <x v="18"/>
    <x v="0"/>
    <x v="23"/>
    <x v="0"/>
    <s v="PPV 2023 - Kombi"/>
    <s v="CZ"/>
    <n v="2023"/>
    <n v="18"/>
    <n v="971"/>
    <n v="0.92"/>
    <n v="3071"/>
    <n v="2825"/>
    <x v="1"/>
    <x v="0"/>
    <s v="LS 6 18m"/>
    <s v="F5"/>
    <s v=""/>
    <m/>
  </r>
  <r>
    <x v="281"/>
    <x v="2"/>
    <x v="0"/>
    <x v="60"/>
    <x v="2"/>
    <s v="PPV 2023 - Kombi"/>
    <s v="CZ"/>
    <n v="2023"/>
    <n v="19"/>
    <n v="787"/>
    <n v="0.92"/>
    <n v="2354"/>
    <n v="2166"/>
    <x v="0"/>
    <x v="0"/>
    <s v="HpH 304 MS Shark"/>
    <s v="TH"/>
    <s v=""/>
    <m/>
  </r>
  <r>
    <x v="55"/>
    <x v="32"/>
    <x v="0"/>
    <x v="22"/>
    <x v="0"/>
    <s v="PMČR 2023 - Klub"/>
    <s v="CZ"/>
    <n v="2023"/>
    <n v="1"/>
    <n v="6319"/>
    <n v="1.0499999999999998"/>
    <n v="10000"/>
    <n v="10500"/>
    <x v="1"/>
    <x v="0"/>
    <s v="ASW 20L"/>
    <s v="CX"/>
    <s v=""/>
    <m/>
  </r>
  <r>
    <x v="0"/>
    <x v="0"/>
    <x v="0"/>
    <x v="0"/>
    <x v="0"/>
    <s v="PMČR 2023 - Klub"/>
    <s v="CZ"/>
    <n v="2023"/>
    <n v="2"/>
    <n v="6057"/>
    <n v="1.0499999999999998"/>
    <n v="9510"/>
    <n v="9986"/>
    <x v="1"/>
    <x v="0"/>
    <s v="Centrair C-101BC Pegase"/>
    <s v="RT"/>
    <s v=""/>
    <m/>
  </r>
  <r>
    <x v="7"/>
    <x v="6"/>
    <x v="0"/>
    <x v="7"/>
    <x v="2"/>
    <s v="PMČR 2023 - Klub"/>
    <s v="CZ"/>
    <n v="2023"/>
    <n v="3"/>
    <n v="6028"/>
    <n v="1.0499999999999998"/>
    <n v="9278"/>
    <n v="9742"/>
    <x v="1"/>
    <x v="0"/>
    <s v="ASW-20 A"/>
    <s v="LL"/>
    <s v=""/>
    <m/>
  </r>
  <r>
    <x v="1"/>
    <x v="1"/>
    <x v="0"/>
    <x v="1"/>
    <x v="1"/>
    <s v="PMČR 2023 - Klub"/>
    <s v="CZ"/>
    <n v="2023"/>
    <n v="4"/>
    <n v="5785"/>
    <n v="1.0499999999999998"/>
    <n v="8808"/>
    <n v="9248"/>
    <x v="0"/>
    <x v="0"/>
    <s v="LS 4"/>
    <s v="PF"/>
    <s v=""/>
    <m/>
  </r>
  <r>
    <x v="282"/>
    <x v="4"/>
    <x v="1"/>
    <x v="68"/>
    <x v="3"/>
    <s v="PMČR 2023 - Klub"/>
    <s v="CZ"/>
    <n v="2023"/>
    <n v="5"/>
    <n v="5608"/>
    <n v="1.0499999999999998"/>
    <n v="8412"/>
    <n v="8833"/>
    <x v="0"/>
    <x v="0"/>
    <s v="ASW 24"/>
    <s v="ZS"/>
    <s v="Není v databázi"/>
    <m/>
  </r>
  <r>
    <x v="283"/>
    <x v="60"/>
    <x v="0"/>
    <x v="7"/>
    <x v="2"/>
    <s v="PMČR 2023 - Klub"/>
    <s v="CZ"/>
    <n v="2023"/>
    <n v="6"/>
    <n v="5405"/>
    <n v="1.0499999999999998"/>
    <n v="7987"/>
    <n v="8386"/>
    <x v="1"/>
    <x v="0"/>
    <s v="ASW-19"/>
    <s v="AE"/>
    <s v=""/>
    <m/>
  </r>
  <r>
    <x v="251"/>
    <x v="43"/>
    <x v="0"/>
    <x v="23"/>
    <x v="0"/>
    <s v="PMČR 2023 - Klub"/>
    <s v="CZ"/>
    <n v="2023"/>
    <n v="7"/>
    <n v="5185"/>
    <n v="1.0499999999999998"/>
    <n v="7544"/>
    <n v="7921"/>
    <x v="0"/>
    <x v="0"/>
    <s v="Mosquito"/>
    <s v="LC"/>
    <s v=""/>
    <m/>
  </r>
  <r>
    <x v="284"/>
    <x v="4"/>
    <x v="1"/>
    <x v="69"/>
    <x v="3"/>
    <s v="PMČR 2023 - Klub"/>
    <s v="CZ"/>
    <n v="2023"/>
    <n v="8"/>
    <n v="4975"/>
    <n v="1.0499999999999998"/>
    <n v="7111"/>
    <n v="7467"/>
    <x v="0"/>
    <x v="0"/>
    <s v="ASW 20"/>
    <s v="II"/>
    <s v="Není v databázi"/>
    <m/>
  </r>
  <r>
    <x v="153"/>
    <x v="50"/>
    <x v="0"/>
    <x v="8"/>
    <x v="2"/>
    <s v="PMČR 2023 - Klub"/>
    <s v="CZ"/>
    <n v="2023"/>
    <n v="9"/>
    <n v="4947"/>
    <n v="1.0499999999999998"/>
    <n v="6880"/>
    <n v="7224"/>
    <x v="1"/>
    <x v="0"/>
    <s v="LS 1f"/>
    <s v="FD"/>
    <s v="Junior v roce 2026"/>
    <m/>
  </r>
  <r>
    <x v="126"/>
    <x v="47"/>
    <x v="0"/>
    <x v="38"/>
    <x v="1"/>
    <s v="PMČR 2023 - Klub"/>
    <s v="CZ"/>
    <n v="2023"/>
    <n v="10"/>
    <n v="4766"/>
    <n v="1.0499999999999998"/>
    <n v="6480"/>
    <n v="6804"/>
    <x v="0"/>
    <x v="0"/>
    <s v="ASW-15B"/>
    <s v="CW"/>
    <s v=""/>
    <m/>
  </r>
  <r>
    <x v="156"/>
    <x v="3"/>
    <x v="0"/>
    <x v="51"/>
    <x v="1"/>
    <s v="PMČR 2023 - Klub"/>
    <s v="CZ"/>
    <n v="2023"/>
    <n v="11"/>
    <n v="4592"/>
    <n v="1.0499999999999998"/>
    <n v="6087"/>
    <n v="6391"/>
    <x v="1"/>
    <x v="0"/>
    <s v="Std. Cirrus"/>
    <s v="YU"/>
    <s v="Junior v roce 2026"/>
    <m/>
  </r>
  <r>
    <x v="100"/>
    <x v="44"/>
    <x v="0"/>
    <x v="30"/>
    <x v="2"/>
    <s v="PMČR 2023 - Klub"/>
    <s v="CZ"/>
    <n v="2023"/>
    <n v="12"/>
    <n v="4033"/>
    <n v="1.0499999999999998"/>
    <n v="5268"/>
    <n v="5531"/>
    <x v="0"/>
    <x v="0"/>
    <s v="Std. Cirrus"/>
    <s v="MJ"/>
    <s v="Junior v roce 2026"/>
    <m/>
  </r>
  <r>
    <x v="285"/>
    <x v="31"/>
    <x v="0"/>
    <x v="7"/>
    <x v="2"/>
    <s v="PMČR 2023 - Klub"/>
    <s v="CZ"/>
    <n v="2023"/>
    <n v="13"/>
    <n v="3768"/>
    <n v="1.0499999999999998"/>
    <n v="4774"/>
    <n v="5013"/>
    <x v="1"/>
    <x v="0"/>
    <s v="ASW-15B"/>
    <s v="LE"/>
    <s v=""/>
    <m/>
  </r>
  <r>
    <x v="286"/>
    <x v="2"/>
    <x v="2"/>
    <x v="28"/>
    <x v="2"/>
    <s v="PMČR 2023 - Klub"/>
    <s v="CZ"/>
    <n v="2023"/>
    <n v="14"/>
    <n v="3450"/>
    <n v="1.0499999999999998"/>
    <n v="4222"/>
    <n v="4433"/>
    <x v="0"/>
    <x v="0"/>
    <s v="Jantar std. 2"/>
    <s v="SU"/>
    <s v=""/>
    <m/>
  </r>
  <r>
    <x v="163"/>
    <x v="34"/>
    <x v="0"/>
    <x v="30"/>
    <x v="2"/>
    <s v="PMČR 2023 - Klub"/>
    <s v="CZ"/>
    <n v="2023"/>
    <n v="15"/>
    <n v="3150"/>
    <n v="1.0499999999999998"/>
    <n v="3689"/>
    <n v="3873"/>
    <x v="1"/>
    <x v="0"/>
    <s v="DG-300"/>
    <s v="U7"/>
    <s v="Junior v roce 2026"/>
    <m/>
  </r>
  <r>
    <x v="164"/>
    <x v="34"/>
    <x v="0"/>
    <x v="7"/>
    <x v="2"/>
    <s v="PMČR 2023 - Klub"/>
    <s v="CZ"/>
    <n v="2023"/>
    <n v="16"/>
    <n v="2991"/>
    <n v="1.0499999999999998"/>
    <n v="3313"/>
    <n v="3479"/>
    <x v="1"/>
    <x v="0"/>
    <s v="ASW-19B"/>
    <s v="NO"/>
    <s v="Junior v roce 2026"/>
    <m/>
  </r>
  <r>
    <x v="246"/>
    <x v="31"/>
    <x v="0"/>
    <x v="3"/>
    <x v="2"/>
    <s v="PMČR 2023 - Kombi 15m"/>
    <s v="CZ"/>
    <n v="2023"/>
    <n v="1"/>
    <n v="5231"/>
    <n v="1.0449999999999999"/>
    <n v="10000"/>
    <n v="10450"/>
    <x v="1"/>
    <x v="0"/>
    <s v="JS3 15m"/>
    <s v="ZE"/>
    <s v=""/>
    <m/>
  </r>
  <r>
    <x v="42"/>
    <x v="19"/>
    <x v="2"/>
    <x v="24"/>
    <x v="1"/>
    <s v="PMČR 2023 - Kombi 15m"/>
    <s v="CZ"/>
    <n v="2023"/>
    <n v="2"/>
    <n v="5164"/>
    <n v="1.0449999999999999"/>
    <n v="9577"/>
    <n v="10008"/>
    <x v="1"/>
    <x v="1"/>
    <s v="Ventus 2ax"/>
    <s v="AX"/>
    <s v=""/>
    <m/>
  </r>
  <r>
    <x v="287"/>
    <x v="52"/>
    <x v="0"/>
    <x v="12"/>
    <x v="1"/>
    <s v="PMČR 2023 - Kombi 15m"/>
    <s v="CZ"/>
    <n v="2023"/>
    <n v="3"/>
    <n v="5127"/>
    <n v="1.0449999999999999"/>
    <n v="9194"/>
    <n v="9608"/>
    <x v="1"/>
    <x v="0"/>
    <s v="LS 8"/>
    <s v="FX"/>
    <s v=""/>
    <m/>
  </r>
  <r>
    <x v="38"/>
    <x v="26"/>
    <x v="0"/>
    <x v="21"/>
    <x v="0"/>
    <s v="PMČR 2023 - Kombi 15m"/>
    <s v="CZ"/>
    <n v="2023"/>
    <n v="4"/>
    <n v="5035"/>
    <n v="1.0449999999999999"/>
    <n v="8738"/>
    <n v="9131"/>
    <x v="0"/>
    <x v="0"/>
    <s v="JS3 15m"/>
    <s v="XM"/>
    <s v=""/>
    <m/>
  </r>
  <r>
    <x v="288"/>
    <x v="31"/>
    <x v="0"/>
    <x v="17"/>
    <x v="0"/>
    <s v="PMČR 2023 - Kombi 15m"/>
    <s v="CZ"/>
    <n v="2023"/>
    <n v="5"/>
    <n v="4152"/>
    <n v="1.0449999999999999"/>
    <n v="7223"/>
    <n v="7548"/>
    <x v="0"/>
    <x v="0"/>
    <s v="LS-8B"/>
    <s v="JB"/>
    <s v=""/>
    <m/>
  </r>
  <r>
    <x v="289"/>
    <x v="39"/>
    <x v="0"/>
    <x v="7"/>
    <x v="2"/>
    <s v="PMČR 2023 - Kombi 15m"/>
    <s v="CZ"/>
    <n v="2023"/>
    <n v="6"/>
    <n v="4041"/>
    <n v="1.0449999999999999"/>
    <n v="6741"/>
    <n v="7044"/>
    <x v="1"/>
    <x v="0"/>
    <s v="LS 8"/>
    <s v="JW"/>
    <s v=""/>
    <m/>
  </r>
  <r>
    <x v="51"/>
    <x v="16"/>
    <x v="2"/>
    <x v="24"/>
    <x v="1"/>
    <s v="PMČR 2023 - Kombi 15m"/>
    <s v="CZ"/>
    <n v="2023"/>
    <n v="7"/>
    <n v="3577"/>
    <n v="1.0449999999999999"/>
    <n v="5787"/>
    <n v="6047"/>
    <x v="0"/>
    <x v="0"/>
    <s v="LS 8"/>
    <s v="W8"/>
    <s v=""/>
    <m/>
  </r>
  <r>
    <x v="123"/>
    <x v="37"/>
    <x v="0"/>
    <x v="7"/>
    <x v="2"/>
    <s v="PMČR 2023 - Kombi 15m"/>
    <s v="CZ"/>
    <n v="2023"/>
    <n v="8"/>
    <n v="1213"/>
    <n v="1.0449999999999999"/>
    <n v="2290"/>
    <n v="2393"/>
    <x v="0"/>
    <x v="0"/>
    <s v="Ventus C 15m WL"/>
    <s v="MC"/>
    <s v=""/>
    <m/>
  </r>
  <r>
    <x v="54"/>
    <x v="2"/>
    <x v="2"/>
    <x v="21"/>
    <x v="0"/>
    <s v="PMČR 2023 - Kombi 15m"/>
    <s v="CZ"/>
    <n v="2023"/>
    <n v="9"/>
    <n v="1054"/>
    <n v="1.0449999999999999"/>
    <n v="1744"/>
    <n v="1822"/>
    <x v="0"/>
    <x v="0"/>
    <s v="LS 8"/>
    <s v="ID"/>
    <s v=""/>
    <m/>
  </r>
  <r>
    <x v="290"/>
    <x v="60"/>
    <x v="0"/>
    <x v="25"/>
    <x v="1"/>
    <s v="PMČR 2023 - Kombi 15m"/>
    <s v="CZ"/>
    <n v="2023"/>
    <n v="10"/>
    <n v="102"/>
    <n v="1.0449999999999999"/>
    <n v="136"/>
    <n v="142"/>
    <x v="1"/>
    <x v="0"/>
    <s v="ASW 27B"/>
    <s v="MF"/>
    <s v=""/>
    <m/>
  </r>
  <r>
    <x v="27"/>
    <x v="19"/>
    <x v="0"/>
    <x v="18"/>
    <x v="2"/>
    <s v="PMČR 2023 - Kombi Open"/>
    <s v="CZ"/>
    <n v="2023"/>
    <n v="1"/>
    <n v="5348"/>
    <n v="1.0599999999999998"/>
    <n v="10000"/>
    <n v="10600"/>
    <x v="1"/>
    <x v="0"/>
    <s v="JS3 RES"/>
    <s v="Q1"/>
    <s v=""/>
    <m/>
  </r>
  <r>
    <x v="215"/>
    <x v="8"/>
    <x v="0"/>
    <x v="0"/>
    <x v="0"/>
    <s v="PMČR 2023 - Kombi Open"/>
    <s v="CZ"/>
    <n v="2023"/>
    <n v="2"/>
    <n v="5243"/>
    <n v="1.0599999999999998"/>
    <n v="9563"/>
    <n v="10137"/>
    <x v="1"/>
    <x v="0"/>
    <s v="ASG 29 18m"/>
    <s v="NX"/>
    <s v=""/>
    <m/>
  </r>
  <r>
    <x v="29"/>
    <x v="21"/>
    <x v="0"/>
    <x v="19"/>
    <x v="1"/>
    <s v="PMČR 2023 - Kombi Open"/>
    <s v="CZ"/>
    <n v="2023"/>
    <n v="3"/>
    <n v="5205"/>
    <n v="1.0599999999999998"/>
    <n v="9213"/>
    <n v="9766"/>
    <x v="1"/>
    <x v="0"/>
    <s v="EB 28 edition 28,3"/>
    <s v="NA"/>
    <s v=""/>
    <m/>
  </r>
  <r>
    <x v="291"/>
    <x v="18"/>
    <x v="0"/>
    <x v="33"/>
    <x v="2"/>
    <s v="PMČR 2023 - Kombi Open"/>
    <s v="CZ"/>
    <n v="2023"/>
    <n v="4"/>
    <n v="4725"/>
    <n v="1.0599999999999998"/>
    <n v="8285"/>
    <n v="8782"/>
    <x v="1"/>
    <x v="0"/>
    <s v="Diana 3"/>
    <s v="B"/>
    <s v=""/>
    <m/>
  </r>
  <r>
    <x v="214"/>
    <x v="26"/>
    <x v="0"/>
    <x v="2"/>
    <x v="0"/>
    <s v="PMČR 2023 - Kombi Open"/>
    <s v="CZ"/>
    <n v="2023"/>
    <n v="5"/>
    <n v="4559"/>
    <n v="1.0599999999999998"/>
    <n v="7767"/>
    <n v="8233"/>
    <x v="0"/>
    <x v="0"/>
    <s v="Ventus c 17.6m"/>
    <s v="CS"/>
    <s v=""/>
    <m/>
  </r>
  <r>
    <x v="35"/>
    <x v="23"/>
    <x v="0"/>
    <x v="15"/>
    <x v="1"/>
    <s v="PMČR 2023 - Kombi Open"/>
    <s v="CZ"/>
    <n v="2023"/>
    <n v="6"/>
    <n v="4298"/>
    <n v="1.0599999999999998"/>
    <n v="7126"/>
    <n v="7554"/>
    <x v="0"/>
    <x v="0"/>
    <s v="Ventus c 17.6m"/>
    <s v="EG"/>
    <s v=""/>
    <m/>
  </r>
  <r>
    <x v="45"/>
    <x v="30"/>
    <x v="0"/>
    <x v="15"/>
    <x v="1"/>
    <s v="PMČR 2023 - Kombi Open"/>
    <s v="CZ"/>
    <n v="2023"/>
    <n v="7"/>
    <n v="3845"/>
    <n v="1.0599999999999998"/>
    <n v="6233"/>
    <n v="6607"/>
    <x v="1"/>
    <x v="0"/>
    <s v="Ventus c 17,6m"/>
    <s v="VV"/>
    <s v=""/>
    <m/>
  </r>
  <r>
    <x v="292"/>
    <x v="4"/>
    <x v="1"/>
    <x v="70"/>
    <x v="3"/>
    <s v="PMČR 2023 - Kombi Open"/>
    <s v="CZ"/>
    <n v="2023"/>
    <n v="8"/>
    <n v="3270"/>
    <n v="1.0599999999999998"/>
    <n v="5180"/>
    <n v="5491"/>
    <x v="0"/>
    <x v="0"/>
    <s v="Ventus 3f 18m"/>
    <s v="LB"/>
    <s v="Není v databázi"/>
    <m/>
  </r>
  <r>
    <x v="293"/>
    <x v="20"/>
    <x v="0"/>
    <x v="18"/>
    <x v="2"/>
    <s v="PMČR 2023 - Kombi Open"/>
    <s v="CZ"/>
    <n v="2023"/>
    <n v="9"/>
    <n v="3242"/>
    <n v="1.0599999999999998"/>
    <n v="4843"/>
    <n v="5134"/>
    <x v="1"/>
    <x v="0"/>
    <s v="Nimbus 4DM"/>
    <s v="XXL"/>
    <s v=""/>
    <m/>
  </r>
  <r>
    <x v="43"/>
    <x v="8"/>
    <x v="0"/>
    <x v="25"/>
    <x v="1"/>
    <s v="PMČR 2023 - Kombi Open"/>
    <s v="CZ"/>
    <n v="2023"/>
    <n v="10"/>
    <n v="3200"/>
    <n v="1.0599999999999998"/>
    <n v="4488"/>
    <n v="4757"/>
    <x v="0"/>
    <x v="0"/>
    <s v="ASG 29E"/>
    <s v="XZ"/>
    <s v=""/>
    <m/>
  </r>
  <r>
    <x v="76"/>
    <x v="40"/>
    <x v="0"/>
    <x v="30"/>
    <x v="2"/>
    <s v="PMČR 2023 - Kombi Open"/>
    <s v="CZ"/>
    <n v="2023"/>
    <n v="11"/>
    <n v="2100"/>
    <n v="1.0599999999999998"/>
    <n v="2749"/>
    <n v="2914"/>
    <x v="0"/>
    <x v="0"/>
    <s v="LAK 17AT 18m WL"/>
    <s v="GL"/>
    <s v=""/>
    <m/>
  </r>
  <r>
    <x v="294"/>
    <x v="4"/>
    <x v="1"/>
    <x v="71"/>
    <x v="3"/>
    <s v="FCC Gliding 2023 - Klub"/>
    <s v="SK"/>
    <n v="2023"/>
    <n v="1"/>
    <n v="5876"/>
    <n v="0.93500000000000005"/>
    <n v="10000"/>
    <n v="9350"/>
    <x v="0"/>
    <x v="0"/>
    <s v="LS-3 15m WL"/>
    <s v="1A"/>
    <s v="Není v databázi"/>
    <m/>
  </r>
  <r>
    <x v="295"/>
    <x v="4"/>
    <x v="1"/>
    <x v="72"/>
    <x v="3"/>
    <s v="FCC Gliding 2023 - Klub"/>
    <s v="SK"/>
    <n v="2023"/>
    <n v="2"/>
    <n v="5706"/>
    <n v="0.93500000000000005"/>
    <n v="9647"/>
    <n v="9020"/>
    <x v="0"/>
    <x v="0"/>
    <s v="Min-i Nimbus b"/>
    <s v="RX"/>
    <s v="Není v databázi"/>
    <m/>
  </r>
  <r>
    <x v="296"/>
    <x v="4"/>
    <x v="1"/>
    <x v="73"/>
    <x v="3"/>
    <s v="FCC Gliding 2023 - Klub"/>
    <s v="SK"/>
    <n v="2023"/>
    <n v="3"/>
    <n v="5680"/>
    <n v="0.93500000000000005"/>
    <n v="9467"/>
    <n v="8852"/>
    <x v="0"/>
    <x v="0"/>
    <s v="LS 4A WL"/>
    <s v="Y2"/>
    <s v="Není v databázi"/>
    <m/>
  </r>
  <r>
    <x v="297"/>
    <x v="4"/>
    <x v="1"/>
    <x v="74"/>
    <x v="3"/>
    <s v="FCC Gliding 2023 - Klub"/>
    <s v="SK"/>
    <n v="2023"/>
    <n v="4"/>
    <n v="5500"/>
    <n v="0.93500000000000005"/>
    <n v="9102"/>
    <n v="8510"/>
    <x v="0"/>
    <x v="0"/>
    <s v="SZD-55 Promyk"/>
    <s v="TK"/>
    <s v="Není v databázi"/>
    <m/>
  </r>
  <r>
    <x v="298"/>
    <x v="4"/>
    <x v="1"/>
    <x v="75"/>
    <x v="3"/>
    <s v="FCC Gliding 2023 - Klub"/>
    <s v="SK"/>
    <n v="2023"/>
    <n v="5"/>
    <n v="5425"/>
    <n v="0.93500000000000005"/>
    <n v="8863"/>
    <n v="8287"/>
    <x v="0"/>
    <x v="0"/>
    <s v="Discus b"/>
    <n v="70"/>
    <s v="Není v databázi"/>
    <m/>
  </r>
  <r>
    <x v="299"/>
    <x v="23"/>
    <x v="0"/>
    <x v="32"/>
    <x v="2"/>
    <s v="FCC Gliding 2023 - Klub"/>
    <s v="SK"/>
    <n v="2023"/>
    <n v="6"/>
    <n v="5424"/>
    <n v="0.93500000000000005"/>
    <n v="8712"/>
    <n v="8146"/>
    <x v="1"/>
    <x v="0"/>
    <s v="Discus b WL"/>
    <s v="KAL"/>
    <s v=""/>
    <m/>
  </r>
  <r>
    <x v="300"/>
    <x v="4"/>
    <x v="1"/>
    <x v="76"/>
    <x v="3"/>
    <s v="FCC Gliding 2023 - Klub"/>
    <s v="SK"/>
    <n v="2023"/>
    <n v="7"/>
    <n v="5367"/>
    <n v="0.93500000000000005"/>
    <n v="8494"/>
    <n v="7942"/>
    <x v="0"/>
    <x v="0"/>
    <s v="Mini Nimbus HS 7"/>
    <s v="VI"/>
    <s v="Není v databázi"/>
    <m/>
  </r>
  <r>
    <x v="301"/>
    <x v="60"/>
    <x v="2"/>
    <x v="33"/>
    <x v="2"/>
    <s v="FCC Gliding 2023 - Klub"/>
    <s v="SK"/>
    <n v="2023"/>
    <n v="8"/>
    <n v="5351"/>
    <n v="0.93500000000000005"/>
    <n v="8325"/>
    <n v="7784"/>
    <x v="1"/>
    <x v="0"/>
    <s v="asw20L"/>
    <s v="CX"/>
    <s v=""/>
    <m/>
  </r>
  <r>
    <x v="302"/>
    <x v="4"/>
    <x v="1"/>
    <x v="77"/>
    <x v="3"/>
    <s v="FCC Gliding 2023 - Klub"/>
    <s v="SK"/>
    <n v="2023"/>
    <n v="9"/>
    <n v="5184"/>
    <n v="0.93500000000000005"/>
    <n v="7976"/>
    <n v="7458"/>
    <x v="0"/>
    <x v="0"/>
    <s v="LS 4 WL"/>
    <s v="8M"/>
    <s v="Není v databázi"/>
    <m/>
  </r>
  <r>
    <x v="303"/>
    <x v="4"/>
    <x v="1"/>
    <x v="78"/>
    <x v="3"/>
    <s v="FCC Gliding 2023 - Klub"/>
    <s v="SK"/>
    <n v="2023"/>
    <n v="10"/>
    <n v="5142"/>
    <n v="0.93500000000000005"/>
    <n v="7776"/>
    <n v="7271"/>
    <x v="0"/>
    <x v="0"/>
    <s v="SZD-48 Jantar std. 2 WL"/>
    <s v="L"/>
    <s v="Není v databázi"/>
    <m/>
  </r>
  <r>
    <x v="304"/>
    <x v="4"/>
    <x v="1"/>
    <x v="79"/>
    <x v="3"/>
    <s v="FCC Gliding 2023 - Klub"/>
    <s v="SK"/>
    <n v="2023"/>
    <n v="11"/>
    <n v="5129"/>
    <n v="0.93500000000000005"/>
    <n v="7610"/>
    <n v="7115"/>
    <x v="0"/>
    <x v="0"/>
    <s v="SZD-41A Jantar std."/>
    <s v="ZSI"/>
    <s v="Není v databázi"/>
    <m/>
  </r>
  <r>
    <x v="305"/>
    <x v="4"/>
    <x v="1"/>
    <x v="80"/>
    <x v="3"/>
    <s v="FCC Gliding 2023 - Klub"/>
    <s v="SK"/>
    <n v="2023"/>
    <n v="12"/>
    <n v="4969"/>
    <n v="0.93500000000000005"/>
    <n v="7270"/>
    <n v="6797"/>
    <x v="0"/>
    <x v="0"/>
    <s v="ASW20"/>
    <s v="MC"/>
    <s v="Není v databázi"/>
    <m/>
  </r>
  <r>
    <x v="306"/>
    <x v="4"/>
    <x v="1"/>
    <x v="81"/>
    <x v="3"/>
    <s v="FCC Gliding 2023 - Klub"/>
    <s v="SK"/>
    <n v="2023"/>
    <n v="13"/>
    <n v="4874"/>
    <n v="0.93500000000000005"/>
    <n v="7006"/>
    <n v="6551"/>
    <x v="0"/>
    <x v="0"/>
    <s v="SZD-55"/>
    <s v="W07"/>
    <s v="Není v databázi"/>
    <m/>
  </r>
  <r>
    <x v="307"/>
    <x v="4"/>
    <x v="1"/>
    <x v="82"/>
    <x v="3"/>
    <s v="FCC Gliding 2023 - Klub"/>
    <s v="SK"/>
    <n v="2023"/>
    <n v="14"/>
    <n v="4554"/>
    <n v="0.93500000000000005"/>
    <n v="6475"/>
    <n v="6054"/>
    <x v="0"/>
    <x v="0"/>
    <s v="Janus C (FG)"/>
    <s v="DD"/>
    <s v="Není v databázi"/>
    <m/>
  </r>
  <r>
    <x v="308"/>
    <x v="4"/>
    <x v="1"/>
    <x v="83"/>
    <x v="3"/>
    <s v="FCC Gliding 2023 - Klub"/>
    <s v="SK"/>
    <n v="2023"/>
    <n v="15"/>
    <n v="4552"/>
    <n v="0.93500000000000005"/>
    <n v="6323"/>
    <n v="5912"/>
    <x v="0"/>
    <x v="0"/>
    <s v="LS-4"/>
    <s v="OG"/>
    <s v="Není v databázi"/>
    <m/>
  </r>
  <r>
    <x v="309"/>
    <x v="4"/>
    <x v="1"/>
    <x v="84"/>
    <x v="3"/>
    <s v="FCC Gliding 2023 - Klub"/>
    <s v="SK"/>
    <n v="2023"/>
    <n v="16"/>
    <n v="3496"/>
    <n v="0.93500000000000005"/>
    <n v="4915"/>
    <n v="4596"/>
    <x v="0"/>
    <x v="0"/>
    <s v="DG-100"/>
    <n v="30"/>
    <s v="Není v databázi"/>
    <m/>
  </r>
  <r>
    <x v="310"/>
    <x v="4"/>
    <x v="1"/>
    <x v="85"/>
    <x v="3"/>
    <s v="FCC Gliding 2023 - Klub"/>
    <s v="SK"/>
    <n v="2023"/>
    <n v="17"/>
    <n v="3459"/>
    <n v="0.93500000000000005"/>
    <n v="4721"/>
    <n v="4414"/>
    <x v="0"/>
    <x v="0"/>
    <s v="LAK 17B mini FES"/>
    <s v="MA"/>
    <s v="Není v databázi"/>
    <m/>
  </r>
  <r>
    <x v="275"/>
    <x v="0"/>
    <x v="0"/>
    <x v="29"/>
    <x v="2"/>
    <s v="FCC Gliding 2023 - Klub"/>
    <s v="SK"/>
    <n v="2023"/>
    <n v="18"/>
    <n v="3359"/>
    <n v="0.93500000000000005"/>
    <n v="4452"/>
    <n v="4163"/>
    <x v="1"/>
    <x v="0"/>
    <s v="ASW 24 E WL"/>
    <s v="LU"/>
    <s v=""/>
    <m/>
  </r>
  <r>
    <x v="311"/>
    <x v="4"/>
    <x v="1"/>
    <x v="86"/>
    <x v="3"/>
    <s v="FCC Gliding 2023 - Klub"/>
    <s v="SK"/>
    <n v="2023"/>
    <n v="19"/>
    <n v="3357"/>
    <n v="0.93500000000000005"/>
    <n v="4299"/>
    <n v="4020"/>
    <x v="0"/>
    <x v="0"/>
    <s v="LS-4"/>
    <s v="YL"/>
    <s v="Není v databázi"/>
    <m/>
  </r>
  <r>
    <x v="312"/>
    <x v="4"/>
    <x v="1"/>
    <x v="82"/>
    <x v="3"/>
    <s v="FCC Gliding 2023 - Klub"/>
    <s v="SK"/>
    <n v="2023"/>
    <n v="20"/>
    <n v="727"/>
    <n v="0.93500000000000005"/>
    <n v="1016"/>
    <n v="950"/>
    <x v="0"/>
    <x v="0"/>
    <s v="Discus b WL"/>
    <s v="7W"/>
    <s v="Není v databázi"/>
    <m/>
  </r>
  <r>
    <x v="182"/>
    <x v="4"/>
    <x v="1"/>
    <x v="87"/>
    <x v="3"/>
    <s v="FCC Gliding 2023 - Klub"/>
    <s v="SK"/>
    <n v="2023"/>
    <n v="21"/>
    <n v="477"/>
    <n v="0.93500000000000005"/>
    <n v="568"/>
    <n v="531"/>
    <x v="0"/>
    <x v="0"/>
    <s v="SZD-48 Jantar Std. 2"/>
    <s v="Filip"/>
    <s v="Není v databázi"/>
    <m/>
  </r>
  <r>
    <x v="313"/>
    <x v="4"/>
    <x v="1"/>
    <x v="88"/>
    <x v="3"/>
    <s v="FCC Gliding 2023 - Kombi 15m"/>
    <s v="SK"/>
    <n v="2023"/>
    <n v="1"/>
    <n v="5749"/>
    <n v="0.9850000000000001"/>
    <n v="10000"/>
    <n v="9850"/>
    <x v="0"/>
    <x v="0"/>
    <s v="Diana 2 FES"/>
    <s v="GSS"/>
    <s v="Není v databázi"/>
    <m/>
  </r>
  <r>
    <x v="314"/>
    <x v="4"/>
    <x v="1"/>
    <x v="89"/>
    <x v="3"/>
    <s v="FCC Gliding 2023 - Kombi 15m"/>
    <s v="SK"/>
    <n v="2023"/>
    <n v="2"/>
    <n v="5662"/>
    <n v="0.9850000000000001"/>
    <n v="9794"/>
    <n v="9647"/>
    <x v="0"/>
    <x v="0"/>
    <s v="Discus 2a 15m"/>
    <s v="ET"/>
    <s v="Není v databázi"/>
    <m/>
  </r>
  <r>
    <x v="315"/>
    <x v="61"/>
    <x v="2"/>
    <x v="0"/>
    <x v="0"/>
    <s v="FCC Gliding 2023 - Kombi 15m"/>
    <s v="SK"/>
    <n v="2023"/>
    <n v="3"/>
    <n v="5602"/>
    <n v="0.9850000000000001"/>
    <n v="9621"/>
    <n v="9477"/>
    <x v="1"/>
    <x v="0"/>
    <s v="LS-8 15m"/>
    <s v="JB"/>
    <s v=""/>
    <m/>
  </r>
  <r>
    <x v="316"/>
    <x v="4"/>
    <x v="1"/>
    <x v="90"/>
    <x v="3"/>
    <s v="FCC Gliding 2023 - Kombi 15m"/>
    <s v="SK"/>
    <n v="2023"/>
    <n v="4"/>
    <n v="5556"/>
    <n v="0.9850000000000001"/>
    <n v="9465"/>
    <n v="9323"/>
    <x v="0"/>
    <x v="0"/>
    <s v="Discus 2a 15m"/>
    <s v="JPA"/>
    <s v="Není v databázi"/>
    <m/>
  </r>
  <r>
    <x v="317"/>
    <x v="4"/>
    <x v="1"/>
    <x v="73"/>
    <x v="3"/>
    <s v="FCC Gliding 2023 - Kombi 15m"/>
    <s v="SK"/>
    <n v="2023"/>
    <n v="5"/>
    <n v="5504"/>
    <n v="0.9850000000000001"/>
    <n v="9302"/>
    <n v="9162"/>
    <x v="0"/>
    <x v="0"/>
    <s v="Discus 2a 15m"/>
    <s v="YB"/>
    <s v="Není v databázi"/>
    <m/>
  </r>
  <r>
    <x v="51"/>
    <x v="16"/>
    <x v="2"/>
    <x v="24"/>
    <x v="1"/>
    <s v="FCC Gliding 2023 - Kombi 15m"/>
    <s v="SK"/>
    <n v="2023"/>
    <n v="6"/>
    <n v="5500"/>
    <n v="0.9850000000000001"/>
    <n v="9197"/>
    <n v="9059"/>
    <x v="1"/>
    <x v="1"/>
    <s v="LS-8 15m"/>
    <s v="W8"/>
    <s v=""/>
    <m/>
  </r>
  <r>
    <x v="318"/>
    <x v="4"/>
    <x v="1"/>
    <x v="91"/>
    <x v="3"/>
    <s v="FCC Gliding 2023 - Kombi 15m"/>
    <s v="SK"/>
    <n v="2023"/>
    <n v="7"/>
    <n v="5499"/>
    <n v="0.9850000000000001"/>
    <n v="9096"/>
    <n v="8960"/>
    <x v="0"/>
    <x v="0"/>
    <s v="LS-8 15m"/>
    <s v="P1"/>
    <s v="Není v databázi"/>
    <m/>
  </r>
  <r>
    <x v="319"/>
    <x v="4"/>
    <x v="1"/>
    <x v="92"/>
    <x v="3"/>
    <s v="FCC Gliding 2023 - Kombi 15m"/>
    <s v="SK"/>
    <n v="2023"/>
    <n v="8"/>
    <n v="5491"/>
    <n v="0.9850000000000001"/>
    <n v="8986"/>
    <n v="8851"/>
    <x v="0"/>
    <x v="0"/>
    <s v="Discus 2ax 15m"/>
    <s v="GX"/>
    <s v="Není v databázi"/>
    <m/>
  </r>
  <r>
    <x v="54"/>
    <x v="2"/>
    <x v="2"/>
    <x v="21"/>
    <x v="0"/>
    <s v="FCC Gliding 2023 - Kombi 15m"/>
    <s v="SK"/>
    <n v="2023"/>
    <n v="9"/>
    <n v="5480"/>
    <n v="0.9850000000000001"/>
    <n v="8872"/>
    <n v="8739"/>
    <x v="1"/>
    <x v="0"/>
    <s v="LS-8 15m"/>
    <s v="ID"/>
    <s v=""/>
    <m/>
  </r>
  <r>
    <x v="287"/>
    <x v="52"/>
    <x v="0"/>
    <x v="12"/>
    <x v="1"/>
    <s v="FCC Gliding 2023 - Kombi 15m"/>
    <s v="SK"/>
    <n v="2023"/>
    <n v="10"/>
    <n v="5453"/>
    <n v="0.9850000000000001"/>
    <n v="8740"/>
    <n v="8609"/>
    <x v="0"/>
    <x v="0"/>
    <s v="LS-8 15m"/>
    <s v="FX"/>
    <s v=""/>
    <m/>
  </r>
  <r>
    <x v="320"/>
    <x v="4"/>
    <x v="1"/>
    <x v="93"/>
    <x v="3"/>
    <s v="FCC Gliding 2023 - Kombi 15m"/>
    <s v="SK"/>
    <n v="2023"/>
    <n v="11"/>
    <n v="5442"/>
    <n v="0.9850000000000001"/>
    <n v="8626"/>
    <n v="8497"/>
    <x v="0"/>
    <x v="0"/>
    <s v="DuoDiscus XT"/>
    <s v="SNV"/>
    <s v="Není v databázi"/>
    <m/>
  </r>
  <r>
    <x v="321"/>
    <x v="4"/>
    <x v="1"/>
    <x v="94"/>
    <x v="3"/>
    <s v="FCC Gliding 2023 - Kombi 15m"/>
    <s v="SK"/>
    <n v="2023"/>
    <n v="12"/>
    <n v="5422"/>
    <n v="0.9850000000000001"/>
    <n v="8502"/>
    <n v="8374"/>
    <x v="0"/>
    <x v="0"/>
    <s v="Ventus 2a 15m"/>
    <s v="1R"/>
    <s v="Není v databázi"/>
    <m/>
  </r>
  <r>
    <x v="322"/>
    <x v="4"/>
    <x v="1"/>
    <x v="95"/>
    <x v="3"/>
    <s v="FCC Gliding 2023 - Kombi 15m"/>
    <s v="SK"/>
    <n v="2023"/>
    <n v="13"/>
    <n v="5405"/>
    <n v="0.9850000000000001"/>
    <n v="8381"/>
    <n v="8255"/>
    <x v="0"/>
    <x v="0"/>
    <s v="Discus 2a 15m"/>
    <s v="I"/>
    <s v="Není v databázi"/>
    <m/>
  </r>
  <r>
    <x v="288"/>
    <x v="31"/>
    <x v="0"/>
    <x v="17"/>
    <x v="0"/>
    <s v="FCC Gliding 2023 - Kombi 15m"/>
    <s v="SK"/>
    <n v="2023"/>
    <n v="14"/>
    <n v="5377"/>
    <n v="0.9850000000000001"/>
    <n v="8247"/>
    <n v="8123"/>
    <x v="0"/>
    <x v="0"/>
    <s v="LS-8a 15m"/>
    <s v="EU"/>
    <s v=""/>
    <m/>
  </r>
  <r>
    <x v="323"/>
    <x v="4"/>
    <x v="1"/>
    <x v="96"/>
    <x v="3"/>
    <s v="FCC Gliding 2023 - Kombi 15m"/>
    <s v="SK"/>
    <n v="2023"/>
    <n v="15"/>
    <n v="5176"/>
    <n v="0.9850000000000001"/>
    <n v="7902"/>
    <n v="7783"/>
    <x v="0"/>
    <x v="0"/>
    <s v="LS-6a 15m"/>
    <s v="BB"/>
    <s v="Není v databázi"/>
    <m/>
  </r>
  <r>
    <x v="324"/>
    <x v="4"/>
    <x v="1"/>
    <x v="97"/>
    <x v="3"/>
    <s v="FCC Gliding 2023 - Kombi 15m"/>
    <s v="SK"/>
    <n v="2023"/>
    <n v="16"/>
    <n v="5153"/>
    <n v="0.9850000000000001"/>
    <n v="7774"/>
    <n v="7657"/>
    <x v="0"/>
    <x v="0"/>
    <s v="Duo Discus XLT"/>
    <s v="POL"/>
    <s v="Není v databázi"/>
    <m/>
  </r>
  <r>
    <x v="325"/>
    <x v="4"/>
    <x v="1"/>
    <x v="98"/>
    <x v="3"/>
    <s v="FCC Gliding 2023 - Kombi 15m"/>
    <s v="SK"/>
    <n v="2023"/>
    <n v="17"/>
    <n v="5124"/>
    <n v="0.9850000000000001"/>
    <n v="7639"/>
    <n v="7524"/>
    <x v="0"/>
    <x v="0"/>
    <s v="Ventus 2b 15m"/>
    <s v="BX"/>
    <s v="Není v databázi"/>
    <m/>
  </r>
  <r>
    <x v="326"/>
    <x v="20"/>
    <x v="0"/>
    <x v="67"/>
    <x v="1"/>
    <s v="FCC Gliding 2023 - Kombi 15m"/>
    <s v="SK"/>
    <n v="2023"/>
    <n v="18"/>
    <n v="4955"/>
    <n v="0.9850000000000001"/>
    <n v="7333"/>
    <n v="7223"/>
    <x v="1"/>
    <x v="0"/>
    <s v="Duo Discus T -700kg"/>
    <s v="ZS"/>
    <s v=""/>
    <m/>
  </r>
  <r>
    <x v="139"/>
    <x v="4"/>
    <x v="1"/>
    <x v="99"/>
    <x v="3"/>
    <s v="FCC Gliding 2023 - Kombi 15m"/>
    <s v="SK"/>
    <n v="2023"/>
    <n v="19"/>
    <n v="4834"/>
    <n v="0.9850000000000001"/>
    <n v="7086"/>
    <n v="6980"/>
    <x v="0"/>
    <x v="0"/>
    <s v="LAK 17A 15m WL"/>
    <s v="LE"/>
    <s v="Není v databázi"/>
    <m/>
  </r>
  <r>
    <x v="327"/>
    <x v="4"/>
    <x v="1"/>
    <x v="73"/>
    <x v="3"/>
    <s v="FCC Gliding 2023 - Kombi 15m"/>
    <s v="SK"/>
    <n v="2023"/>
    <n v="20"/>
    <n v="4785"/>
    <n v="0.9850000000000001"/>
    <n v="6926"/>
    <n v="6822"/>
    <x v="0"/>
    <x v="0"/>
    <s v="Discus 2a 15m"/>
    <s v="Y1"/>
    <s v="Není v databázi"/>
    <m/>
  </r>
  <r>
    <x v="46"/>
    <x v="31"/>
    <x v="0"/>
    <x v="0"/>
    <x v="0"/>
    <s v="FCC Gliding 2023 - Kombi 15m"/>
    <s v="SK"/>
    <n v="2023"/>
    <n v="21"/>
    <n v="4734"/>
    <n v="0.9850000000000001"/>
    <n v="6764"/>
    <n v="6663"/>
    <x v="0"/>
    <x v="0"/>
    <s v="LS-8 15m"/>
    <s v="AU"/>
    <s v=""/>
    <m/>
  </r>
  <r>
    <x v="328"/>
    <x v="4"/>
    <x v="1"/>
    <x v="73"/>
    <x v="3"/>
    <s v="FCC Gliding 2023 - Kombi 15m"/>
    <s v="SK"/>
    <n v="2023"/>
    <n v="22"/>
    <n v="4720"/>
    <n v="0.9850000000000001"/>
    <n v="6647"/>
    <n v="6547"/>
    <x v="0"/>
    <x v="0"/>
    <s v="Discus 2a"/>
    <s v="YA"/>
    <s v="Není v databázi"/>
    <m/>
  </r>
  <r>
    <x v="329"/>
    <x v="4"/>
    <x v="1"/>
    <x v="81"/>
    <x v="3"/>
    <s v="FCC Gliding 2023 - Kombi 15m"/>
    <s v="SK"/>
    <n v="2023"/>
    <n v="23"/>
    <n v="4645"/>
    <n v="0.9850000000000001"/>
    <n v="6456"/>
    <n v="6359"/>
    <x v="0"/>
    <x v="0"/>
    <s v="LS-6c 15m"/>
    <s v="KK"/>
    <s v="Není v databázi"/>
    <m/>
  </r>
  <r>
    <x v="330"/>
    <x v="20"/>
    <x v="0"/>
    <x v="18"/>
    <x v="2"/>
    <s v="FCC Gliding 2023 - Kombi 15m"/>
    <s v="SK"/>
    <n v="2023"/>
    <n v="24"/>
    <n v="4465"/>
    <n v="0.9850000000000001"/>
    <n v="6137"/>
    <n v="6045"/>
    <x v="1"/>
    <x v="0"/>
    <s v="Discus b WL"/>
    <s v="IYB"/>
    <s v=""/>
    <m/>
  </r>
  <r>
    <x v="331"/>
    <x v="4"/>
    <x v="1"/>
    <x v="100"/>
    <x v="3"/>
    <s v="FCC Gliding 2023 - Kombi 15m"/>
    <s v="SK"/>
    <n v="2023"/>
    <n v="25"/>
    <n v="4261"/>
    <n v="0.9850000000000001"/>
    <n v="5788"/>
    <n v="5701"/>
    <x v="0"/>
    <x v="0"/>
    <s v="LAK 19 15m WL"/>
    <s v="DC"/>
    <s v="Není v databázi"/>
    <m/>
  </r>
  <r>
    <x v="332"/>
    <x v="4"/>
    <x v="1"/>
    <x v="101"/>
    <x v="3"/>
    <s v="FCC Gliding 2023 - Kombi 15m"/>
    <s v="SK"/>
    <n v="2023"/>
    <n v="26"/>
    <n v="4169"/>
    <n v="0.9850000000000001"/>
    <n v="5576"/>
    <n v="5492"/>
    <x v="0"/>
    <x v="0"/>
    <s v="Ventus 2a 15m"/>
    <s v="PE"/>
    <s v="Není v databázi"/>
    <m/>
  </r>
  <r>
    <x v="333"/>
    <x v="4"/>
    <x v="1"/>
    <x v="83"/>
    <x v="3"/>
    <s v="FCC Gliding 2023 - Kombi 15m"/>
    <s v="SK"/>
    <n v="2023"/>
    <n v="27"/>
    <n v="4095"/>
    <n v="0.9850000000000001"/>
    <n v="5386"/>
    <n v="5305"/>
    <x v="0"/>
    <x v="0"/>
    <s v="Discus 2a 15m"/>
    <s v="Y"/>
    <s v="Není v databázi"/>
    <m/>
  </r>
  <r>
    <x v="334"/>
    <x v="4"/>
    <x v="1"/>
    <x v="102"/>
    <x v="3"/>
    <s v="FCC Gliding 2023 - Kombi 15m"/>
    <s v="SK"/>
    <n v="2023"/>
    <n v="28"/>
    <n v="3931"/>
    <n v="0.9850000000000001"/>
    <n v="5086"/>
    <n v="5010"/>
    <x v="0"/>
    <x v="0"/>
    <s v="LAK 17B FES 15m -525 kg"/>
    <n v="77"/>
    <s v="Není v databázi"/>
    <m/>
  </r>
  <r>
    <x v="335"/>
    <x v="4"/>
    <x v="1"/>
    <x v="103"/>
    <x v="3"/>
    <s v="FCC Gliding 2023 - Kombi 15m"/>
    <s v="SK"/>
    <n v="2023"/>
    <n v="29"/>
    <n v="3706"/>
    <n v="0.9850000000000001"/>
    <n v="4712"/>
    <n v="4641"/>
    <x v="0"/>
    <x v="0"/>
    <s v="Discus 2cT 15m"/>
    <s v="JH"/>
    <s v="Není v databázi"/>
    <m/>
  </r>
  <r>
    <x v="336"/>
    <x v="4"/>
    <x v="1"/>
    <x v="78"/>
    <x v="3"/>
    <s v="FCC Gliding 2023 - Kombi 15m"/>
    <s v="SK"/>
    <n v="2023"/>
    <n v="30"/>
    <n v="3656"/>
    <n v="0.9850000000000001"/>
    <n v="4552"/>
    <n v="4484"/>
    <x v="0"/>
    <x v="0"/>
    <s v="Ventus 2b 15m"/>
    <s v="CB"/>
    <s v="Není v databázi"/>
    <m/>
  </r>
  <r>
    <x v="337"/>
    <x v="4"/>
    <x v="1"/>
    <x v="97"/>
    <x v="3"/>
    <s v="FCC Gliding 2023 - Kombi 15m"/>
    <s v="SK"/>
    <n v="2023"/>
    <n v="31"/>
    <n v="3302"/>
    <n v="0.9850000000000001"/>
    <n v="4021"/>
    <n v="3961"/>
    <x v="0"/>
    <x v="0"/>
    <s v="SZD-56-2 Diana-2 FES"/>
    <s v="AI"/>
    <s v="Není v databázi"/>
    <m/>
  </r>
  <r>
    <x v="338"/>
    <x v="61"/>
    <x v="0"/>
    <x v="58"/>
    <x v="1"/>
    <s v="FCC Gliding 2023 - Kombi Open"/>
    <s v="SK"/>
    <n v="2023"/>
    <n v="1"/>
    <n v="5781"/>
    <n v="0.95500000000000007"/>
    <n v="10000"/>
    <n v="9550"/>
    <x v="1"/>
    <x v="0"/>
    <s v="JS1-C 18 m"/>
    <s v="ZF"/>
    <s v=""/>
    <m/>
  </r>
  <r>
    <x v="339"/>
    <x v="4"/>
    <x v="1"/>
    <x v="104"/>
    <x v="3"/>
    <s v="FCC Gliding 2023 - Kombi Open"/>
    <s v="SK"/>
    <n v="2023"/>
    <n v="2"/>
    <n v="5736"/>
    <n v="0.95500000000000007"/>
    <n v="9869"/>
    <n v="9425"/>
    <x v="0"/>
    <x v="0"/>
    <s v="ASG 29E 18m"/>
    <s v="PES"/>
    <s v="Není v databázi"/>
    <m/>
  </r>
  <r>
    <x v="340"/>
    <x v="4"/>
    <x v="1"/>
    <x v="105"/>
    <x v="3"/>
    <s v="FCC Gliding 2023 - Kombi Open"/>
    <s v="SK"/>
    <n v="2023"/>
    <n v="3"/>
    <n v="5708"/>
    <n v="0.95500000000000007"/>
    <n v="9758"/>
    <n v="9319"/>
    <x v="0"/>
    <x v="0"/>
    <s v="Ventus 3M 18m"/>
    <s v="TE"/>
    <s v="Není v databázi"/>
    <m/>
  </r>
  <r>
    <x v="341"/>
    <x v="4"/>
    <x v="1"/>
    <x v="73"/>
    <x v="3"/>
    <s v="FCC Gliding 2023 - Kombi Open"/>
    <s v="SK"/>
    <n v="2023"/>
    <n v="4"/>
    <n v="5690"/>
    <n v="0.95500000000000007"/>
    <n v="9659"/>
    <n v="9224"/>
    <x v="0"/>
    <x v="0"/>
    <s v="ASG-32 Mi-800 kg"/>
    <s v="AK"/>
    <s v="Není v databázi"/>
    <m/>
  </r>
  <r>
    <x v="28"/>
    <x v="20"/>
    <x v="0"/>
    <x v="18"/>
    <x v="2"/>
    <s v="FCC Gliding 2023 - Kombi Open"/>
    <s v="SK"/>
    <n v="2023"/>
    <n v="5"/>
    <n v="5646"/>
    <n v="0.95500000000000007"/>
    <n v="9529"/>
    <n v="9100"/>
    <x v="0"/>
    <x v="0"/>
    <s v="JS3 TJ 18m"/>
    <s v="VB"/>
    <s v=""/>
    <m/>
  </r>
  <r>
    <x v="342"/>
    <x v="4"/>
    <x v="1"/>
    <x v="106"/>
    <x v="3"/>
    <s v="FCC Gliding 2023 - Kombi Open"/>
    <s v="SK"/>
    <n v="2023"/>
    <n v="6"/>
    <n v="5605"/>
    <n v="0.95500000000000007"/>
    <n v="9402"/>
    <n v="8979"/>
    <x v="0"/>
    <x v="0"/>
    <s v="Ventus 3M 18m"/>
    <s v="C8"/>
    <s v="Není v databázi"/>
    <m/>
  </r>
  <r>
    <x v="343"/>
    <x v="4"/>
    <x v="1"/>
    <x v="107"/>
    <x v="3"/>
    <s v="FCC Gliding 2023 - Kombi Open"/>
    <s v="SK"/>
    <n v="2023"/>
    <n v="7"/>
    <n v="5604"/>
    <n v="0.95500000000000007"/>
    <n v="9324"/>
    <n v="8904"/>
    <x v="0"/>
    <x v="0"/>
    <s v="Js3 MD"/>
    <s v="ZB"/>
    <s v="Není v databázi"/>
    <m/>
  </r>
  <r>
    <x v="27"/>
    <x v="19"/>
    <x v="0"/>
    <x v="18"/>
    <x v="2"/>
    <s v="FCC Gliding 2023 - Kombi Open"/>
    <s v="SK"/>
    <n v="2023"/>
    <n v="8"/>
    <n v="5586"/>
    <n v="0.95500000000000007"/>
    <n v="9225"/>
    <n v="8810"/>
    <x v="0"/>
    <x v="0"/>
    <s v="AS 33 Es"/>
    <n v="12"/>
    <s v=""/>
    <m/>
  </r>
  <r>
    <x v="344"/>
    <x v="4"/>
    <x v="1"/>
    <x v="108"/>
    <x v="3"/>
    <s v="FCC Gliding 2023 - Kombi Open"/>
    <s v="SK"/>
    <n v="2023"/>
    <n v="9"/>
    <n v="5566"/>
    <n v="0.95500000000000007"/>
    <n v="9124"/>
    <n v="8713"/>
    <x v="0"/>
    <x v="0"/>
    <s v="ASG 29E 18m"/>
    <s v="A2"/>
    <s v="Není v databázi"/>
    <m/>
  </r>
  <r>
    <x v="345"/>
    <x v="4"/>
    <x v="1"/>
    <x v="109"/>
    <x v="3"/>
    <s v="FCC Gliding 2023 - Kombi Open"/>
    <s v="SK"/>
    <n v="2023"/>
    <n v="9"/>
    <n v="5566"/>
    <n v="0.95500000000000007"/>
    <n v="9124"/>
    <n v="8713"/>
    <x v="0"/>
    <x v="0"/>
    <s v="JS3 MD"/>
    <s v="TO"/>
    <s v="Není v databázi"/>
    <m/>
  </r>
  <r>
    <x v="346"/>
    <x v="4"/>
    <x v="1"/>
    <x v="110"/>
    <x v="3"/>
    <s v="FCC Gliding 2023 - Kombi Open"/>
    <s v="SK"/>
    <n v="2023"/>
    <n v="11"/>
    <n v="5487"/>
    <n v="0.95500000000000007"/>
    <n v="8875"/>
    <n v="8476"/>
    <x v="0"/>
    <x v="0"/>
    <s v="ASG 29E 18m"/>
    <s v="PL"/>
    <s v="Není v databázi"/>
    <m/>
  </r>
  <r>
    <x v="291"/>
    <x v="18"/>
    <x v="0"/>
    <x v="33"/>
    <x v="2"/>
    <s v="FCC Gliding 2023 - Kombi Open"/>
    <s v="SK"/>
    <n v="2023"/>
    <n v="12"/>
    <n v="5480"/>
    <n v="0.95500000000000007"/>
    <n v="8789"/>
    <n v="8393"/>
    <x v="0"/>
    <x v="0"/>
    <s v="Diana 3 FES"/>
    <s v="B"/>
    <s v=""/>
    <m/>
  </r>
  <r>
    <x v="347"/>
    <x v="4"/>
    <x v="1"/>
    <x v="111"/>
    <x v="3"/>
    <s v="FCC Gliding 2023 - Kombi Open"/>
    <s v="SK"/>
    <n v="2023"/>
    <n v="13"/>
    <n v="5380"/>
    <n v="0.95500000000000007"/>
    <n v="8591"/>
    <n v="8204"/>
    <x v="0"/>
    <x v="0"/>
    <s v="ASG 29E 18m"/>
    <s v="HBI"/>
    <s v="Není v databázi"/>
    <m/>
  </r>
  <r>
    <x v="348"/>
    <x v="4"/>
    <x v="1"/>
    <x v="112"/>
    <x v="3"/>
    <s v="FCC Gliding 2023 - Kombi Open"/>
    <s v="SK"/>
    <n v="2023"/>
    <n v="14"/>
    <n v="5305"/>
    <n v="0.95500000000000007"/>
    <n v="8424"/>
    <n v="8045"/>
    <x v="0"/>
    <x v="0"/>
    <s v="ASG 29E 18m"/>
    <s v="BG"/>
    <s v="Není v databázi"/>
    <m/>
  </r>
  <r>
    <x v="349"/>
    <x v="0"/>
    <x v="0"/>
    <x v="9"/>
    <x v="1"/>
    <s v="FCC Gliding 2023 - Kombi Open"/>
    <s v="SK"/>
    <n v="2023"/>
    <n v="15"/>
    <n v="5290"/>
    <n v="0.95500000000000007"/>
    <n v="8329"/>
    <n v="7954"/>
    <x v="1"/>
    <x v="0"/>
    <s v="JS-1bTJ EVO"/>
    <s v="IGC"/>
    <s v=""/>
    <m/>
  </r>
  <r>
    <x v="350"/>
    <x v="4"/>
    <x v="1"/>
    <x v="112"/>
    <x v="3"/>
    <s v="FCC Gliding 2023 - Kombi Open"/>
    <s v="SK"/>
    <n v="2023"/>
    <n v="16"/>
    <n v="5218"/>
    <n v="0.95500000000000007"/>
    <n v="8164"/>
    <n v="7797"/>
    <x v="0"/>
    <x v="0"/>
    <s v="ASG 29E 18m"/>
    <s v="MS"/>
    <s v="Není v databázi"/>
    <m/>
  </r>
  <r>
    <x v="351"/>
    <x v="4"/>
    <x v="1"/>
    <x v="113"/>
    <x v="3"/>
    <s v="FCC Gliding 2023 - Kombi Open"/>
    <s v="SK"/>
    <n v="2023"/>
    <n v="17"/>
    <n v="5172"/>
    <n v="0.95500000000000007"/>
    <n v="8032"/>
    <n v="7671"/>
    <x v="0"/>
    <x v="0"/>
    <s v="Ventus 2ct 18m -600 kg"/>
    <s v="GE"/>
    <s v="Není v databázi"/>
    <m/>
  </r>
  <r>
    <x v="352"/>
    <x v="4"/>
    <x v="1"/>
    <x v="114"/>
    <x v="3"/>
    <s v="FCC Gliding 2023 - Kombi Open"/>
    <s v="SK"/>
    <n v="2023"/>
    <n v="18"/>
    <n v="5170"/>
    <n v="0.95500000000000007"/>
    <n v="7952"/>
    <n v="7594"/>
    <x v="0"/>
    <x v="0"/>
    <s v="ASG 29E 18m"/>
    <s v="EMI"/>
    <s v="Není v databázi"/>
    <m/>
  </r>
  <r>
    <x v="353"/>
    <x v="4"/>
    <x v="1"/>
    <x v="93"/>
    <x v="3"/>
    <s v="FCC Gliding 2023 - Kombi Open"/>
    <s v="SK"/>
    <n v="2023"/>
    <n v="19"/>
    <n v="5129"/>
    <n v="0.95500000000000007"/>
    <n v="7826"/>
    <n v="7474"/>
    <x v="0"/>
    <x v="0"/>
    <s v="Discus 2cT 18m"/>
    <s v="DJ"/>
    <s v="Není v databázi"/>
    <m/>
  </r>
  <r>
    <x v="32"/>
    <x v="14"/>
    <x v="0"/>
    <x v="21"/>
    <x v="0"/>
    <s v="FCC Gliding 2023 - Kombi Open"/>
    <s v="SK"/>
    <n v="2023"/>
    <n v="20"/>
    <n v="5122"/>
    <n v="0.95500000000000007"/>
    <n v="7741"/>
    <n v="7393"/>
    <x v="0"/>
    <x v="0"/>
    <s v="ASG 29 18m"/>
    <s v="QZ"/>
    <s v=""/>
    <m/>
  </r>
  <r>
    <x v="354"/>
    <x v="4"/>
    <x v="1"/>
    <x v="115"/>
    <x v="3"/>
    <s v="FCC Gliding 2023 - Kombi Open"/>
    <s v="SK"/>
    <n v="2023"/>
    <n v="21"/>
    <n v="4989"/>
    <n v="0.95500000000000007"/>
    <n v="7503"/>
    <n v="7165"/>
    <x v="0"/>
    <x v="0"/>
    <s v="Arcus T"/>
    <s v="HUX"/>
    <s v="Není v databázi"/>
    <m/>
  </r>
  <r>
    <x v="37"/>
    <x v="25"/>
    <x v="2"/>
    <x v="0"/>
    <x v="0"/>
    <s v="FCC Gliding 2023 - Kombi Open"/>
    <s v="SK"/>
    <n v="2023"/>
    <n v="22"/>
    <n v="4952"/>
    <n v="0.95500000000000007"/>
    <n v="7381"/>
    <n v="7049"/>
    <x v="0"/>
    <x v="0"/>
    <s v="JS3 18m"/>
    <s v="ZE"/>
    <s v=""/>
    <m/>
  </r>
  <r>
    <x v="355"/>
    <x v="4"/>
    <x v="1"/>
    <x v="5"/>
    <x v="3"/>
    <s v="FCC Gliding 2023 - Kombi Open"/>
    <s v="SK"/>
    <n v="2023"/>
    <n v="23"/>
    <n v="4951"/>
    <n v="0.95500000000000007"/>
    <n v="7303"/>
    <n v="6974"/>
    <x v="0"/>
    <x v="0"/>
    <s v="Arcus M"/>
    <s v="CAR"/>
    <s v="Není v databázi"/>
    <m/>
  </r>
  <r>
    <x v="356"/>
    <x v="4"/>
    <x v="1"/>
    <x v="116"/>
    <x v="3"/>
    <s v="FCC Gliding 2023 - Kombi Open"/>
    <s v="SK"/>
    <n v="2023"/>
    <n v="24"/>
    <n v="4922"/>
    <n v="0.95500000000000007"/>
    <n v="7191"/>
    <n v="6867"/>
    <x v="0"/>
    <x v="0"/>
    <s v="ASW-22BLE 27m -810 kg"/>
    <s v="BY"/>
    <s v="Není v databázi"/>
    <m/>
  </r>
  <r>
    <x v="357"/>
    <x v="4"/>
    <x v="1"/>
    <x v="117"/>
    <x v="3"/>
    <s v="FCC Gliding 2023 - Kombi Open"/>
    <s v="SK"/>
    <n v="2023"/>
    <n v="25"/>
    <n v="4650"/>
    <n v="0.95500000000000007"/>
    <n v="6784"/>
    <n v="6479"/>
    <x v="0"/>
    <x v="0"/>
    <s v="JS1-C 18 m"/>
    <s v="RZ"/>
    <s v="Není v databázi"/>
    <m/>
  </r>
  <r>
    <x v="358"/>
    <x v="4"/>
    <x v="1"/>
    <x v="55"/>
    <x v="3"/>
    <s v="FCC Gliding 2023 - Kombi Open"/>
    <s v="SK"/>
    <n v="2023"/>
    <n v="26"/>
    <n v="4490"/>
    <n v="0.95500000000000007"/>
    <n v="6514"/>
    <n v="6221"/>
    <x v="0"/>
    <x v="0"/>
    <s v="EB-29D 28,3m"/>
    <s v="HB"/>
    <s v="Není v databázi"/>
    <m/>
  </r>
  <r>
    <x v="359"/>
    <x v="4"/>
    <x v="1"/>
    <x v="55"/>
    <x v="3"/>
    <s v="FCC Gliding 2023 - Kombi Open"/>
    <s v="SK"/>
    <n v="2023"/>
    <n v="27"/>
    <n v="4355"/>
    <n v="0.95500000000000007"/>
    <n v="6273"/>
    <n v="5991"/>
    <x v="0"/>
    <x v="0"/>
    <s v="ASH 25Mi 26m"/>
    <s v="L"/>
    <s v="Není v databázi"/>
    <m/>
  </r>
  <r>
    <x v="360"/>
    <x v="22"/>
    <x v="0"/>
    <x v="33"/>
    <x v="2"/>
    <s v="FCC Gliding 2023 - Kombi Open"/>
    <s v="SK"/>
    <n v="2023"/>
    <n v="28"/>
    <n v="4152"/>
    <n v="0.95500000000000007"/>
    <n v="5951"/>
    <n v="5683"/>
    <x v="1"/>
    <x v="0"/>
    <s v="Diana 3 FES"/>
    <s v="D3"/>
    <s v=""/>
    <m/>
  </r>
  <r>
    <x v="361"/>
    <x v="4"/>
    <x v="1"/>
    <x v="118"/>
    <x v="3"/>
    <s v="FCC Gliding 2023 - Kombi Open"/>
    <s v="SK"/>
    <n v="2023"/>
    <n v="29"/>
    <n v="4093"/>
    <n v="0.95500000000000007"/>
    <n v="5802"/>
    <n v="5541"/>
    <x v="0"/>
    <x v="0"/>
    <s v="ASG 29E 18m"/>
    <n v="29"/>
    <s v="Není v databázi"/>
    <m/>
  </r>
  <r>
    <x v="362"/>
    <x v="4"/>
    <x v="1"/>
    <x v="113"/>
    <x v="3"/>
    <s v="FCC Gliding 2023 - Kombi Open"/>
    <s v="SK"/>
    <n v="2023"/>
    <n v="30"/>
    <n v="4071"/>
    <n v="0.95500000000000007"/>
    <n v="5699"/>
    <n v="5443"/>
    <x v="0"/>
    <x v="0"/>
    <s v="ASG 29E 18m"/>
    <s v="IR"/>
    <s v="Není v databázi"/>
    <m/>
  </r>
  <r>
    <x v="363"/>
    <x v="4"/>
    <x v="1"/>
    <x v="119"/>
    <x v="3"/>
    <s v="FCC Gliding 2023 - Kombi Open"/>
    <s v="SK"/>
    <n v="2023"/>
    <n v="31"/>
    <n v="3871"/>
    <n v="0.95500000000000007"/>
    <n v="5380"/>
    <n v="5138"/>
    <x v="0"/>
    <x v="0"/>
    <s v="Ventus 3M 18m"/>
    <s v="CAT"/>
    <s v="Není v databázi"/>
    <m/>
  </r>
  <r>
    <x v="364"/>
    <x v="4"/>
    <x v="1"/>
    <x v="120"/>
    <x v="3"/>
    <s v="FCC Gliding 2023 - Kombi Open"/>
    <s v="SK"/>
    <n v="2023"/>
    <n v="32"/>
    <n v="3630"/>
    <n v="0.95500000000000007"/>
    <n v="5011"/>
    <n v="4786"/>
    <x v="0"/>
    <x v="0"/>
    <s v="JS-MD 3 RES 18m"/>
    <s v="KOL"/>
    <s v="Není v databázi"/>
    <m/>
  </r>
  <r>
    <x v="365"/>
    <x v="4"/>
    <x v="1"/>
    <x v="121"/>
    <x v="3"/>
    <s v="FCC Gliding 2023 - Kombi Open"/>
    <s v="SK"/>
    <n v="2023"/>
    <n v="33"/>
    <n v="3620"/>
    <n v="0.95500000000000007"/>
    <n v="4922"/>
    <n v="4701"/>
    <x v="0"/>
    <x v="0"/>
    <s v="ASG-32 Mi-800 kg"/>
    <s v="MD"/>
    <s v="Není v databázi"/>
    <m/>
  </r>
  <r>
    <x v="292"/>
    <x v="4"/>
    <x v="1"/>
    <x v="103"/>
    <x v="3"/>
    <s v="FCC Gliding 2023 - Kombi Open"/>
    <s v="SK"/>
    <n v="2023"/>
    <n v="34"/>
    <n v="3045"/>
    <n v="0.95500000000000007"/>
    <n v="4149"/>
    <n v="3962"/>
    <x v="0"/>
    <x v="0"/>
    <s v="Ventus 3F 18m"/>
    <s v="LB"/>
    <s v="Není v databázi"/>
    <m/>
  </r>
  <r>
    <x v="366"/>
    <x v="4"/>
    <x v="1"/>
    <x v="122"/>
    <x v="3"/>
    <s v="FCC Gliding 2023 - Kombi Open"/>
    <s v="SK"/>
    <n v="2023"/>
    <n v="35"/>
    <n v="2812"/>
    <n v="0.95500000000000007"/>
    <n v="3790"/>
    <n v="3619"/>
    <x v="0"/>
    <x v="0"/>
    <s v="Ventus 3M 18m"/>
    <s v="EM"/>
    <s v="Není v databázi"/>
    <m/>
  </r>
  <r>
    <x v="367"/>
    <x v="4"/>
    <x v="1"/>
    <x v="123"/>
    <x v="3"/>
    <s v="FCC Gliding 2023 - Kombi Open"/>
    <s v="SK"/>
    <n v="2023"/>
    <n v="36"/>
    <n v="2338"/>
    <n v="0.95500000000000007"/>
    <n v="3139"/>
    <n v="2998"/>
    <x v="0"/>
    <x v="0"/>
    <s v="ASG 29E 18m"/>
    <s v="BB"/>
    <s v="Není v databázi"/>
    <m/>
  </r>
  <r>
    <x v="368"/>
    <x v="4"/>
    <x v="1"/>
    <x v="124"/>
    <x v="3"/>
    <s v="FCC Gliding 2023 - Kombi Open"/>
    <s v="SK"/>
    <n v="2023"/>
    <n v="37"/>
    <n v="2086"/>
    <n v="0.95500000000000007"/>
    <n v="2757"/>
    <n v="2633"/>
    <x v="0"/>
    <x v="0"/>
    <s v="JS3 TC 18m"/>
    <s v="CT"/>
    <s v="Není v databázi"/>
    <m/>
  </r>
  <r>
    <x v="369"/>
    <x v="4"/>
    <x v="1"/>
    <x v="119"/>
    <x v="3"/>
    <s v="FCC Gliding 2023 - Kombi Open"/>
    <s v="SK"/>
    <n v="2023"/>
    <n v="38"/>
    <n v="1386"/>
    <n v="0.95500000000000007"/>
    <n v="1832"/>
    <n v="1750"/>
    <x v="0"/>
    <x v="0"/>
    <s v="Discus 2cT 18m"/>
    <s v="EF"/>
    <s v="Není v databázi"/>
    <m/>
  </r>
  <r>
    <x v="370"/>
    <x v="4"/>
    <x v="1"/>
    <x v="125"/>
    <x v="3"/>
    <s v="FCC Gliding 2023 - Kombi Open"/>
    <s v="SK"/>
    <n v="2023"/>
    <n v="39"/>
    <n v="1194"/>
    <n v="0.95500000000000007"/>
    <n v="1523"/>
    <n v="1454"/>
    <x v="0"/>
    <x v="0"/>
    <s v="DG-808 C Clasic 18m WL"/>
    <s v="VN"/>
    <s v="Není v databázi"/>
    <m/>
  </r>
  <r>
    <x v="371"/>
    <x v="4"/>
    <x v="1"/>
    <x v="126"/>
    <x v="3"/>
    <s v="FCC Gliding 2023 - Kombi Open"/>
    <s v="SK"/>
    <n v="2023"/>
    <n v="40"/>
    <n v="0"/>
    <n v="0.95500000000000007"/>
    <n v="0"/>
    <n v="0"/>
    <x v="0"/>
    <x v="0"/>
    <s v="Ventus 2cm 18m -525 kg"/>
    <s v="HX"/>
    <s v="Není v databázi"/>
    <m/>
  </r>
  <r>
    <x v="200"/>
    <x v="19"/>
    <x v="0"/>
    <x v="8"/>
    <x v="2"/>
    <s v="Fatraglide 2023 - Klub"/>
    <s v="SK"/>
    <n v="2023"/>
    <n v="1"/>
    <n v="2700"/>
    <n v="0.755"/>
    <n v="10000"/>
    <n v="7550"/>
    <x v="0"/>
    <x v="0"/>
    <s v="CIRRUS Std"/>
    <s v="A7"/>
    <s v=""/>
    <m/>
  </r>
  <r>
    <x v="240"/>
    <x v="15"/>
    <x v="0"/>
    <x v="8"/>
    <x v="2"/>
    <s v="Fatraglide 2023 - Klub"/>
    <s v="SK"/>
    <n v="2023"/>
    <n v="2"/>
    <n v="2686"/>
    <n v="0.755"/>
    <n v="9797"/>
    <n v="7397"/>
    <x v="1"/>
    <x v="0"/>
    <s v="CIRRUS Std"/>
    <s v="EX"/>
    <s v=""/>
    <m/>
  </r>
  <r>
    <x v="282"/>
    <x v="4"/>
    <x v="1"/>
    <x v="127"/>
    <x v="3"/>
    <s v="Fatraglide 2023 - Klub"/>
    <s v="SK"/>
    <n v="2023"/>
    <n v="3"/>
    <n v="2661"/>
    <n v="0.755"/>
    <n v="9566"/>
    <n v="7222"/>
    <x v="0"/>
    <x v="0"/>
    <s v="ASW 24 WL"/>
    <s v="ZS"/>
    <s v="Není v databázi"/>
    <m/>
  </r>
  <r>
    <x v="7"/>
    <x v="6"/>
    <x v="0"/>
    <x v="7"/>
    <x v="2"/>
    <s v="Fatraglide 2023 - Klub"/>
    <s v="SK"/>
    <n v="2023"/>
    <n v="4"/>
    <n v="2604"/>
    <n v="0.755"/>
    <n v="9251"/>
    <n v="6985"/>
    <x v="0"/>
    <x v="0"/>
    <s v="ASW 20"/>
    <s v="LL"/>
    <s v=""/>
    <m/>
  </r>
  <r>
    <x v="372"/>
    <x v="5"/>
    <x v="0"/>
    <x v="0"/>
    <x v="0"/>
    <s v="Fatraglide 2023 - Klub"/>
    <s v="SK"/>
    <n v="2023"/>
    <n v="5"/>
    <n v="2483"/>
    <n v="0.755"/>
    <n v="8771"/>
    <n v="6622"/>
    <x v="1"/>
    <x v="0"/>
    <s v="ASW 20A WL"/>
    <s v="WX"/>
    <s v=""/>
    <m/>
  </r>
  <r>
    <x v="373"/>
    <x v="4"/>
    <x v="1"/>
    <x v="128"/>
    <x v="3"/>
    <s v="Fatraglide 2023 - Klub"/>
    <s v="SK"/>
    <n v="2023"/>
    <n v="6"/>
    <n v="2467"/>
    <n v="0.755"/>
    <n v="8563"/>
    <n v="6465"/>
    <x v="0"/>
    <x v="0"/>
    <s v="ASW 20"/>
    <s v="S"/>
    <s v="Není v databázi"/>
    <m/>
  </r>
  <r>
    <x v="374"/>
    <x v="4"/>
    <x v="1"/>
    <x v="5"/>
    <x v="3"/>
    <s v="Fatraglide 2023 - Klub"/>
    <s v="SK"/>
    <n v="2023"/>
    <n v="7"/>
    <n v="2140"/>
    <n v="0.755"/>
    <n v="7548"/>
    <n v="5699"/>
    <x v="0"/>
    <x v="0"/>
    <s v="ASW 20C"/>
    <s v="VG"/>
    <s v="Není v databázi"/>
    <m/>
  </r>
  <r>
    <x v="375"/>
    <x v="4"/>
    <x v="1"/>
    <x v="129"/>
    <x v="3"/>
    <s v="Fatraglide 2023 - Klub"/>
    <s v="SK"/>
    <n v="2023"/>
    <n v="8"/>
    <n v="2002"/>
    <n v="0.755"/>
    <n v="7024"/>
    <n v="5303"/>
    <x v="0"/>
    <x v="0"/>
    <s v="C-101 A PEGASE"/>
    <s v="OI"/>
    <s v="Není v databázi"/>
    <m/>
  </r>
  <r>
    <x v="376"/>
    <x v="4"/>
    <x v="1"/>
    <x v="130"/>
    <x v="3"/>
    <s v="Fatraglide 2023 - Klub"/>
    <s v="SK"/>
    <n v="2023"/>
    <n v="9"/>
    <n v="1830"/>
    <n v="0.755"/>
    <n v="6411"/>
    <n v="4840"/>
    <x v="0"/>
    <x v="0"/>
    <s v="CIRRUS Std"/>
    <s v="MJ"/>
    <s v="Není v databázi"/>
    <m/>
  </r>
  <r>
    <x v="377"/>
    <x v="4"/>
    <x v="1"/>
    <x v="130"/>
    <x v="3"/>
    <s v="Fatraglide 2023 - Klub"/>
    <s v="SK"/>
    <n v="2023"/>
    <n v="10"/>
    <n v="1789"/>
    <n v="0.755"/>
    <n v="6138"/>
    <n v="4634"/>
    <x v="0"/>
    <x v="0"/>
    <s v="C-101 D PEGASE"/>
    <s v="HS"/>
    <s v="Není v databázi"/>
    <m/>
  </r>
  <r>
    <x v="378"/>
    <x v="4"/>
    <x v="1"/>
    <x v="5"/>
    <x v="3"/>
    <s v="Fatraglide 2023 - Klub"/>
    <s v="SK"/>
    <n v="2023"/>
    <n v="11"/>
    <n v="1688"/>
    <n v="0.755"/>
    <n v="5710"/>
    <n v="4311"/>
    <x v="0"/>
    <x v="0"/>
    <s v="ASW 19B"/>
    <s v="A4"/>
    <s v="Není v databázi"/>
    <m/>
  </r>
  <r>
    <x v="379"/>
    <x v="4"/>
    <x v="1"/>
    <x v="131"/>
    <x v="3"/>
    <s v="Fatraglide 2023 - Klub"/>
    <s v="SK"/>
    <n v="2023"/>
    <n v="12"/>
    <n v="1552"/>
    <n v="0.755"/>
    <n v="5190"/>
    <n v="3918"/>
    <x v="0"/>
    <x v="0"/>
    <s v="MINI NIMBUS"/>
    <s v="SU"/>
    <s v="Není v databázi"/>
    <m/>
  </r>
  <r>
    <x v="380"/>
    <x v="9"/>
    <x v="0"/>
    <x v="8"/>
    <x v="2"/>
    <s v="Fatraglide 2023 - Klub"/>
    <s v="SK"/>
    <n v="2023"/>
    <n v="13"/>
    <n v="1496"/>
    <n v="0.755"/>
    <n v="4879"/>
    <n v="3684"/>
    <x v="1"/>
    <x v="0"/>
    <s v="CIRRUS Std"/>
    <s v="MS"/>
    <s v=""/>
    <m/>
  </r>
  <r>
    <x v="381"/>
    <x v="4"/>
    <x v="1"/>
    <x v="132"/>
    <x v="3"/>
    <s v="Fatraglide 2023 - Klub"/>
    <s v="SK"/>
    <n v="2023"/>
    <n v="14"/>
    <n v="1427"/>
    <n v="0.755"/>
    <n v="4533"/>
    <n v="3422"/>
    <x v="0"/>
    <x v="0"/>
    <s v="LS 4"/>
    <s v="MA"/>
    <s v="Není v databázi"/>
    <m/>
  </r>
  <r>
    <x v="382"/>
    <x v="4"/>
    <x v="1"/>
    <x v="131"/>
    <x v="3"/>
    <s v="Fatraglide 2023 - Klub"/>
    <s v="SK"/>
    <n v="2023"/>
    <n v="15"/>
    <n v="1416"/>
    <n v="0.755"/>
    <n v="4338"/>
    <n v="3275"/>
    <x v="0"/>
    <x v="0"/>
    <s v="ASTIR CS TOP"/>
    <s v="PC"/>
    <s v="Není v databázi"/>
    <m/>
  </r>
  <r>
    <x v="383"/>
    <x v="4"/>
    <x v="1"/>
    <x v="130"/>
    <x v="3"/>
    <s v="Fatraglide 2023 - Klub"/>
    <s v="SK"/>
    <n v="2023"/>
    <n v="16"/>
    <n v="919"/>
    <n v="0.755"/>
    <n v="2883"/>
    <n v="2177"/>
    <x v="0"/>
    <x v="0"/>
    <s v="CIRRUS Std"/>
    <s v="CV"/>
    <s v="Není v databázi"/>
    <m/>
  </r>
  <r>
    <x v="384"/>
    <x v="4"/>
    <x v="1"/>
    <x v="133"/>
    <x v="3"/>
    <s v="Fatraglide 2023 - Klub"/>
    <s v="SK"/>
    <n v="2023"/>
    <n v="17"/>
    <n v="560"/>
    <n v="0.755"/>
    <n v="1785"/>
    <n v="1348"/>
    <x v="0"/>
    <x v="0"/>
    <s v="ASW 19B"/>
    <s v="A1"/>
    <s v="Není v databázi"/>
    <m/>
  </r>
  <r>
    <x v="385"/>
    <x v="4"/>
    <x v="1"/>
    <x v="134"/>
    <x v="3"/>
    <s v="Fatraglide 2023 - Klub"/>
    <s v="SK"/>
    <n v="2023"/>
    <n v="18"/>
    <n v="525"/>
    <n v="0.755"/>
    <n v="1528"/>
    <n v="1154"/>
    <x v="0"/>
    <x v="0"/>
    <s v="ASTIR CS 77"/>
    <s v="WW"/>
    <s v="Není v databázi"/>
    <m/>
  </r>
  <r>
    <x v="386"/>
    <x v="4"/>
    <x v="1"/>
    <x v="132"/>
    <x v="3"/>
    <s v="Fatraglide 2023 - Klub"/>
    <s v="SK"/>
    <n v="2023"/>
    <n v="19"/>
    <n v="0"/>
    <n v="0.755"/>
    <n v="0"/>
    <n v="0"/>
    <x v="0"/>
    <x v="0"/>
    <s v="C 101 A PEGASE"/>
    <s v="MT"/>
    <s v="Není v databázi"/>
    <m/>
  </r>
  <r>
    <x v="387"/>
    <x v="4"/>
    <x v="1"/>
    <x v="133"/>
    <x v="3"/>
    <s v="Fatraglide 2023 - Kombi"/>
    <s v="SK"/>
    <n v="2023"/>
    <n v="1"/>
    <n v="2532"/>
    <n v="0.755"/>
    <n v="10000"/>
    <n v="7550"/>
    <x v="0"/>
    <x v="0"/>
    <s v="JS 3 RES"/>
    <s v="VV"/>
    <s v="Není v databázi"/>
    <m/>
  </r>
  <r>
    <x v="388"/>
    <x v="4"/>
    <x v="1"/>
    <x v="5"/>
    <x v="3"/>
    <s v="Fatraglide 2023 - Kombi"/>
    <s v="SK"/>
    <n v="2023"/>
    <n v="2"/>
    <n v="2468"/>
    <n v="0.755"/>
    <n v="9609"/>
    <n v="7255"/>
    <x v="0"/>
    <x v="0"/>
    <s v="AS 33"/>
    <n v="12"/>
    <s v="Není v databázi"/>
    <m/>
  </r>
  <r>
    <x v="217"/>
    <x v="47"/>
    <x v="0"/>
    <x v="38"/>
    <x v="1"/>
    <s v="Fatraglide 2023 - Kombi"/>
    <s v="SK"/>
    <n v="2023"/>
    <n v="3"/>
    <n v="2457"/>
    <n v="0.755"/>
    <n v="9364"/>
    <n v="7070"/>
    <x v="0"/>
    <x v="0"/>
    <s v="JS 1B"/>
    <s v="IGC"/>
    <s v=""/>
    <m/>
  </r>
  <r>
    <x v="389"/>
    <x v="4"/>
    <x v="1"/>
    <x v="135"/>
    <x v="3"/>
    <s v="Fatraglide 2023 - Kombi"/>
    <s v="SK"/>
    <n v="2023"/>
    <n v="4"/>
    <n v="2445"/>
    <n v="0.755"/>
    <n v="9117"/>
    <n v="6883"/>
    <x v="0"/>
    <x v="0"/>
    <s v="VENTUS 2 CXT"/>
    <s v="AI"/>
    <s v="Není v databázi"/>
    <m/>
  </r>
  <r>
    <x v="390"/>
    <x v="4"/>
    <x v="1"/>
    <x v="5"/>
    <x v="3"/>
    <s v="Fatraglide 2023 - Kombi"/>
    <s v="SK"/>
    <n v="2023"/>
    <n v="5"/>
    <n v="2348"/>
    <n v="0.755"/>
    <n v="8634"/>
    <n v="6519"/>
    <x v="0"/>
    <x v="0"/>
    <s v="Ventus 17.6m"/>
    <s v="TN"/>
    <s v="Není v databázi"/>
    <m/>
  </r>
  <r>
    <x v="391"/>
    <x v="4"/>
    <x v="1"/>
    <x v="136"/>
    <x v="3"/>
    <s v="Fatraglide 2023 - Kombi"/>
    <s v="SK"/>
    <n v="2023"/>
    <n v="6"/>
    <n v="2324"/>
    <n v="0.755"/>
    <n v="8354"/>
    <n v="6307"/>
    <x v="0"/>
    <x v="0"/>
    <s v="JS 1C 21"/>
    <s v="J"/>
    <s v="Není v databázi"/>
    <m/>
  </r>
  <r>
    <x v="392"/>
    <x v="4"/>
    <x v="1"/>
    <x v="129"/>
    <x v="3"/>
    <s v="Fatraglide 2023 - Kombi"/>
    <s v="SK"/>
    <n v="2023"/>
    <n v="7"/>
    <n v="1978"/>
    <n v="0.755"/>
    <n v="7183"/>
    <n v="5423"/>
    <x v="0"/>
    <x v="0"/>
    <s v="Duo Discus"/>
    <s v="2X"/>
    <s v="Není v databázi"/>
    <m/>
  </r>
  <r>
    <x v="393"/>
    <x v="4"/>
    <x v="1"/>
    <x v="5"/>
    <x v="3"/>
    <s v="Fatraglide 2023 - Kombi"/>
    <s v="SK"/>
    <n v="2023"/>
    <n v="8"/>
    <n v="1832"/>
    <n v="0.755"/>
    <n v="6565"/>
    <n v="4957"/>
    <x v="0"/>
    <x v="0"/>
    <s v="ARCUS M"/>
    <s v="CAR"/>
    <s v="Není v databázi"/>
    <m/>
  </r>
  <r>
    <x v="394"/>
    <x v="4"/>
    <x v="1"/>
    <x v="133"/>
    <x v="3"/>
    <s v="Fatraglide 2023 - Kombi"/>
    <s v="SK"/>
    <n v="2023"/>
    <n v="9"/>
    <n v="1763"/>
    <n v="0.755"/>
    <n v="6160"/>
    <n v="4651"/>
    <x v="0"/>
    <x v="0"/>
    <s v="ARCUS M"/>
    <s v="TA3"/>
    <s v="Není v databázi"/>
    <m/>
  </r>
  <r>
    <x v="315"/>
    <x v="61"/>
    <x v="2"/>
    <x v="0"/>
    <x v="0"/>
    <s v="Fatraglide 2023 - Kombi"/>
    <s v="SK"/>
    <n v="2023"/>
    <n v="10"/>
    <n v="1685"/>
    <n v="0.755"/>
    <n v="5730"/>
    <n v="4326"/>
    <x v="0"/>
    <x v="0"/>
    <s v="LS 8 NEO"/>
    <s v="JB"/>
    <s v=""/>
    <m/>
  </r>
  <r>
    <x v="395"/>
    <x v="31"/>
    <x v="0"/>
    <x v="8"/>
    <x v="2"/>
    <s v="Fatraglide 2023 - Kombi"/>
    <s v="SK"/>
    <n v="2023"/>
    <n v="11"/>
    <n v="1588"/>
    <n v="0.755"/>
    <n v="5247"/>
    <n v="3961"/>
    <x v="1"/>
    <x v="0"/>
    <s v="VENTUS C"/>
    <s v="PD"/>
    <s v=""/>
    <m/>
  </r>
  <r>
    <x v="396"/>
    <x v="4"/>
    <x v="1"/>
    <x v="137"/>
    <x v="3"/>
    <s v="Fatraglide 2023 - Kombi"/>
    <s v="SK"/>
    <n v="2023"/>
    <n v="12"/>
    <n v="1492"/>
    <n v="0.755"/>
    <n v="4768"/>
    <n v="3600"/>
    <x v="0"/>
    <x v="0"/>
    <s v="DISCUS 2B"/>
    <s v="DI"/>
    <s v="Není v databázi"/>
    <m/>
  </r>
  <r>
    <x v="397"/>
    <x v="4"/>
    <x v="1"/>
    <x v="132"/>
    <x v="3"/>
    <s v="Fatraglide 2023 - Kombi"/>
    <s v="SK"/>
    <n v="2023"/>
    <n v="13"/>
    <n v="1490"/>
    <n v="0.755"/>
    <n v="4548"/>
    <n v="3434"/>
    <x v="0"/>
    <x v="0"/>
    <s v="VENTUS 2 CXT"/>
    <s v="MJ1"/>
    <s v="Není v databázi"/>
    <m/>
  </r>
  <r>
    <x v="398"/>
    <x v="4"/>
    <x v="1"/>
    <x v="138"/>
    <x v="3"/>
    <s v="Fatraglide 2023 - Kombi"/>
    <s v="SK"/>
    <n v="2023"/>
    <n v="14"/>
    <n v="465"/>
    <n v="0.755"/>
    <n v="1500"/>
    <n v="1133"/>
    <x v="0"/>
    <x v="0"/>
    <s v="DUO DISCUS XLT"/>
    <s v="SNV"/>
    <s v="Není v databázi"/>
    <m/>
  </r>
  <r>
    <x v="399"/>
    <x v="4"/>
    <x v="1"/>
    <x v="5"/>
    <x v="3"/>
    <s v="Fatraglide 2023 - Kombi"/>
    <s v="SK"/>
    <n v="2023"/>
    <n v="15"/>
    <n v="297"/>
    <n v="0.755"/>
    <n v="821"/>
    <n v="620"/>
    <x v="0"/>
    <x v="0"/>
    <s v="LS 8"/>
    <s v="SI"/>
    <s v="Není v databázi"/>
    <m/>
  </r>
  <r>
    <x v="320"/>
    <x v="4"/>
    <x v="1"/>
    <x v="93"/>
    <x v="3"/>
    <s v="PMSR 2023 - Kombi Open"/>
    <s v="SK"/>
    <n v="2023"/>
    <n v="1"/>
    <n v="7607"/>
    <n v="0.95000000000000007"/>
    <n v="10000"/>
    <n v="9500"/>
    <x v="0"/>
    <x v="0"/>
    <s v="AS 33 Es 18m"/>
    <s v="D"/>
    <s v="Není v databázi"/>
    <m/>
  </r>
  <r>
    <x v="33"/>
    <x v="6"/>
    <x v="0"/>
    <x v="22"/>
    <x v="0"/>
    <s v="PMSR 2023 - Kombi Open"/>
    <s v="SK"/>
    <n v="2023"/>
    <n v="2"/>
    <n v="7455"/>
    <n v="0.95000000000000007"/>
    <n v="9629"/>
    <n v="9148"/>
    <x v="1"/>
    <x v="0"/>
    <s v="ASG 29 E 18m"/>
    <s v="GO"/>
    <s v=""/>
    <m/>
  </r>
  <r>
    <x v="31"/>
    <x v="4"/>
    <x v="1"/>
    <x v="43"/>
    <x v="3"/>
    <s v="PMSR 2023 - Kombi Open"/>
    <s v="SK"/>
    <n v="2023"/>
    <n v="3"/>
    <n v="7320"/>
    <n v="0.95000000000000007"/>
    <n v="9274"/>
    <n v="8810"/>
    <x v="0"/>
    <x v="0"/>
    <s v="JS3 18m"/>
    <n v="3"/>
    <s v="Není v databázi"/>
    <m/>
  </r>
  <r>
    <x v="400"/>
    <x v="5"/>
    <x v="0"/>
    <x v="17"/>
    <x v="0"/>
    <s v="PMSR 2023 - Kombi Open"/>
    <s v="SK"/>
    <n v="2023"/>
    <n v="4"/>
    <n v="7195"/>
    <n v="0.95000000000000007"/>
    <n v="8929"/>
    <n v="8483"/>
    <x v="1"/>
    <x v="0"/>
    <s v="Ventus 2cxM 18m"/>
    <s v="RS"/>
    <s v=""/>
    <m/>
  </r>
  <r>
    <x v="291"/>
    <x v="18"/>
    <x v="0"/>
    <x v="33"/>
    <x v="2"/>
    <s v="PMSR 2023 - Kombi Open"/>
    <s v="SK"/>
    <n v="2023"/>
    <n v="5"/>
    <n v="6948"/>
    <n v="0.95000000000000007"/>
    <n v="8471"/>
    <n v="8047"/>
    <x v="0"/>
    <x v="0"/>
    <s v="Diana 3FES"/>
    <s v="B"/>
    <s v=""/>
    <m/>
  </r>
  <r>
    <x v="391"/>
    <x v="4"/>
    <x v="1"/>
    <x v="5"/>
    <x v="3"/>
    <s v="PMSR 2023 - Kombi Open"/>
    <s v="SK"/>
    <n v="2023"/>
    <n v="6"/>
    <n v="6759"/>
    <n v="0.95000000000000007"/>
    <n v="8066"/>
    <n v="7663"/>
    <x v="0"/>
    <x v="0"/>
    <s v="JS1C 21m"/>
    <s v="J"/>
    <s v="Není v databázi"/>
    <m/>
  </r>
  <r>
    <x v="357"/>
    <x v="4"/>
    <x v="1"/>
    <x v="139"/>
    <x v="3"/>
    <s v="PMSR 2023 - Kombi Open"/>
    <s v="SK"/>
    <n v="2023"/>
    <n v="7"/>
    <n v="6063"/>
    <n v="0.95000000000000007"/>
    <n v="7195"/>
    <n v="6835"/>
    <x v="0"/>
    <x v="0"/>
    <s v="JS1 18m"/>
    <s v="RZ"/>
    <s v="Není v databázi"/>
    <m/>
  </r>
  <r>
    <x v="389"/>
    <x v="4"/>
    <x v="1"/>
    <x v="140"/>
    <x v="3"/>
    <s v="PMSR 2023 - Kombi Open"/>
    <s v="SK"/>
    <n v="2023"/>
    <n v="8"/>
    <n v="5470"/>
    <n v="0.95000000000000007"/>
    <n v="6418"/>
    <n v="6097"/>
    <x v="0"/>
    <x v="0"/>
    <s v="Ventus 2cxT 18m"/>
    <s v="AI"/>
    <s v="Není v databázi"/>
    <m/>
  </r>
  <r>
    <x v="401"/>
    <x v="4"/>
    <x v="1"/>
    <x v="141"/>
    <x v="3"/>
    <s v="PMSR 2023 - Kombi Open"/>
    <s v="SK"/>
    <n v="2023"/>
    <n v="9"/>
    <n v="5315"/>
    <n v="0.95000000000000007"/>
    <n v="6045"/>
    <n v="5743"/>
    <x v="0"/>
    <x v="0"/>
    <s v="LAK-17A T 18m WL"/>
    <s v="AK"/>
    <s v="Není v databázi"/>
    <m/>
  </r>
  <r>
    <x v="402"/>
    <x v="4"/>
    <x v="1"/>
    <x v="142"/>
    <x v="3"/>
    <s v="PMSR 2023 - Kombi Open"/>
    <s v="SK"/>
    <n v="2023"/>
    <n v="10"/>
    <n v="4693"/>
    <n v="0.95000000000000007"/>
    <n v="5242"/>
    <n v="4980"/>
    <x v="0"/>
    <x v="0"/>
    <s v="ASW 22 BLE"/>
    <s v="BY"/>
    <s v="Není v databázi"/>
    <m/>
  </r>
  <r>
    <x v="292"/>
    <x v="4"/>
    <x v="1"/>
    <x v="143"/>
    <x v="3"/>
    <s v="PMSR 2023 - Kombi Open"/>
    <s v="SK"/>
    <n v="2023"/>
    <n v="11"/>
    <n v="4642"/>
    <n v="0.95000000000000007"/>
    <n v="4964"/>
    <n v="4716"/>
    <x v="0"/>
    <x v="0"/>
    <s v="Ventus 3F 18m"/>
    <s v="LB"/>
    <s v="Není v databázi"/>
    <m/>
  </r>
  <r>
    <x v="363"/>
    <x v="4"/>
    <x v="1"/>
    <x v="144"/>
    <x v="3"/>
    <s v="PMSR 2023 - Kombi Open"/>
    <s v="SK"/>
    <n v="2023"/>
    <n v="12"/>
    <n v="4400"/>
    <n v="0.95000000000000007"/>
    <n v="4510"/>
    <n v="4285"/>
    <x v="0"/>
    <x v="0"/>
    <s v="Ventus 3M 18m"/>
    <s v="CAT"/>
    <s v="Není v databázi"/>
    <m/>
  </r>
  <r>
    <x v="397"/>
    <x v="4"/>
    <x v="1"/>
    <x v="145"/>
    <x v="3"/>
    <s v="PMSR 2023 - Kombi Open"/>
    <s v="SK"/>
    <n v="2023"/>
    <n v="13"/>
    <n v="4334"/>
    <n v="0.95000000000000007"/>
    <n v="4219"/>
    <n v="4008"/>
    <x v="0"/>
    <x v="0"/>
    <s v="Ventus 2cxT 18m"/>
    <s v="MJ1"/>
    <s v="Není v databázi"/>
    <m/>
  </r>
  <r>
    <x v="387"/>
    <x v="4"/>
    <x v="1"/>
    <x v="146"/>
    <x v="3"/>
    <s v="PMSR 2023 - Kombi Open"/>
    <s v="SK"/>
    <n v="2023"/>
    <n v="14"/>
    <n v="2215"/>
    <n v="0.95000000000000007"/>
    <n v="2038"/>
    <n v="1936"/>
    <x v="0"/>
    <x v="0"/>
    <s v="JS3 RES 18m"/>
    <s v="VV"/>
    <s v="Není v databázi"/>
    <m/>
  </r>
  <r>
    <x v="403"/>
    <x v="4"/>
    <x v="1"/>
    <x v="147"/>
    <x v="3"/>
    <s v="WWGC 2023 - Klub"/>
    <s v="SP"/>
    <n v="2023"/>
    <n v="1"/>
    <n v="6486"/>
    <n v="1.0449999999999999"/>
    <n v="10000"/>
    <n v="10450"/>
    <x v="0"/>
    <x v="0"/>
    <s v="LS 7"/>
    <s v="HG"/>
    <s v="Není v databázi"/>
    <m/>
  </r>
  <r>
    <x v="404"/>
    <x v="44"/>
    <x v="2"/>
    <x v="12"/>
    <x v="1"/>
    <s v="WWGC 2023 - Klub"/>
    <s v="SP"/>
    <n v="2023"/>
    <n v="2"/>
    <n v="6444"/>
    <n v="1.0449999999999999"/>
    <n v="9788"/>
    <n v="10228"/>
    <x v="0"/>
    <x v="1"/>
    <s v="LS 4"/>
    <s v="6L"/>
    <s v="Junior v roce 2026"/>
    <m/>
  </r>
  <r>
    <x v="405"/>
    <x v="4"/>
    <x v="1"/>
    <x v="148"/>
    <x v="3"/>
    <s v="WWGC 2023 - Klub"/>
    <s v="SP"/>
    <n v="2023"/>
    <n v="3"/>
    <n v="6375"/>
    <n v="1.0449999999999999"/>
    <n v="9547"/>
    <n v="9977"/>
    <x v="0"/>
    <x v="0"/>
    <s v="LS 7 WL"/>
    <s v="FOX"/>
    <s v="Není v databázi"/>
    <m/>
  </r>
  <r>
    <x v="406"/>
    <x v="48"/>
    <x v="2"/>
    <x v="48"/>
    <x v="1"/>
    <s v="WWGC 2023 - Klub"/>
    <s v="SP"/>
    <n v="2023"/>
    <n v="4"/>
    <n v="6190"/>
    <n v="1.0449999999999999"/>
    <n v="9181"/>
    <n v="9594"/>
    <x v="0"/>
    <x v="1"/>
    <s v="LS 4"/>
    <s v="IX"/>
    <s v=""/>
    <m/>
  </r>
  <r>
    <x v="407"/>
    <x v="4"/>
    <x v="1"/>
    <x v="148"/>
    <x v="3"/>
    <s v="WWGC 2023 - Klub"/>
    <s v="SP"/>
    <n v="2023"/>
    <n v="5"/>
    <n v="6138"/>
    <n v="1.0449999999999999"/>
    <n v="8958"/>
    <n v="9361"/>
    <x v="0"/>
    <x v="0"/>
    <s v="LS 7"/>
    <s v="PG"/>
    <s v="Není v databázi"/>
    <m/>
  </r>
  <r>
    <x v="408"/>
    <x v="4"/>
    <x v="1"/>
    <x v="147"/>
    <x v="3"/>
    <s v="WWGC 2023 - Klub"/>
    <s v="SP"/>
    <n v="2023"/>
    <n v="6"/>
    <n v="6011"/>
    <n v="1.0449999999999999"/>
    <n v="8654"/>
    <n v="9043"/>
    <x v="0"/>
    <x v="0"/>
    <s v="LS 7"/>
    <s v="AG"/>
    <s v="Není v databázi"/>
    <m/>
  </r>
  <r>
    <x v="409"/>
    <x v="4"/>
    <x v="1"/>
    <x v="149"/>
    <x v="3"/>
    <s v="WWGC 2023 - Klub"/>
    <s v="SP"/>
    <n v="2023"/>
    <n v="7"/>
    <n v="5922"/>
    <n v="1.0449999999999999"/>
    <n v="8391"/>
    <n v="8769"/>
    <x v="0"/>
    <x v="0"/>
    <s v="Discus a"/>
    <n v="40"/>
    <s v="Není v databázi"/>
    <m/>
  </r>
  <r>
    <x v="410"/>
    <x v="4"/>
    <x v="1"/>
    <x v="150"/>
    <x v="3"/>
    <s v="WWGC 2023 - Klub"/>
    <s v="SP"/>
    <n v="2023"/>
    <n v="8"/>
    <n v="5837"/>
    <n v="1.0449999999999999"/>
    <n v="8133"/>
    <n v="8499"/>
    <x v="0"/>
    <x v="0"/>
    <s v="ASW 20"/>
    <s v="AL"/>
    <s v="Není v databázi"/>
    <m/>
  </r>
  <r>
    <x v="301"/>
    <x v="60"/>
    <x v="2"/>
    <x v="33"/>
    <x v="2"/>
    <s v="WWGC 2023 - Klub"/>
    <s v="SP"/>
    <n v="2023"/>
    <n v="9"/>
    <n v="5773"/>
    <n v="1.0449999999999999"/>
    <n v="7897"/>
    <n v="8252"/>
    <x v="0"/>
    <x v="1"/>
    <s v="ASW 20"/>
    <s v="CX"/>
    <s v=""/>
    <m/>
  </r>
  <r>
    <x v="411"/>
    <x v="4"/>
    <x v="1"/>
    <x v="147"/>
    <x v="3"/>
    <s v="WWGC 2023 - Klub"/>
    <s v="SP"/>
    <n v="2023"/>
    <n v="10"/>
    <n v="5607"/>
    <n v="1.0449999999999999"/>
    <n v="7551"/>
    <n v="7891"/>
    <x v="0"/>
    <x v="0"/>
    <s v="ASW 20"/>
    <s v="LX"/>
    <s v="Není v databázi"/>
    <m/>
  </r>
  <r>
    <x v="412"/>
    <x v="4"/>
    <x v="1"/>
    <x v="151"/>
    <x v="3"/>
    <s v="WWGC 2023 - Klub"/>
    <s v="SP"/>
    <n v="2023"/>
    <n v="11"/>
    <n v="5521"/>
    <n v="1.0449999999999999"/>
    <n v="7292"/>
    <n v="7620"/>
    <x v="0"/>
    <x v="0"/>
    <s v="LS 1-f neo"/>
    <s v="CH"/>
    <s v="Není v databázi"/>
    <m/>
  </r>
  <r>
    <x v="413"/>
    <x v="4"/>
    <x v="1"/>
    <x v="148"/>
    <x v="3"/>
    <s v="WWGC 2023 - Klub"/>
    <s v="SP"/>
    <n v="2023"/>
    <n v="12"/>
    <n v="5344"/>
    <n v="1.0449999999999999"/>
    <n v="6934"/>
    <n v="7246"/>
    <x v="0"/>
    <x v="0"/>
    <s v="LS 4"/>
    <n v="99"/>
    <s v="Není v databázi"/>
    <m/>
  </r>
  <r>
    <x v="414"/>
    <x v="4"/>
    <x v="1"/>
    <x v="151"/>
    <x v="3"/>
    <s v="WWGC 2023 - Klub"/>
    <s v="SP"/>
    <n v="2023"/>
    <n v="13"/>
    <n v="5280"/>
    <n v="1.0449999999999999"/>
    <n v="6698"/>
    <n v="6999"/>
    <x v="0"/>
    <x v="0"/>
    <s v="LS 4"/>
    <s v="LS4"/>
    <s v="Není v databázi"/>
    <m/>
  </r>
  <r>
    <x v="415"/>
    <x v="4"/>
    <x v="1"/>
    <x v="152"/>
    <x v="3"/>
    <s v="WWGC 2023 - Klub"/>
    <s v="SP"/>
    <n v="2023"/>
    <n v="14"/>
    <n v="4625"/>
    <n v="1.0449999999999999"/>
    <n v="5825"/>
    <n v="6087"/>
    <x v="0"/>
    <x v="0"/>
    <s v="Std. Cirrus"/>
    <s v="OLE"/>
    <s v="Není v databázi"/>
    <m/>
  </r>
  <r>
    <x v="416"/>
    <x v="4"/>
    <x v="1"/>
    <x v="152"/>
    <x v="3"/>
    <s v="WWGC 2023 - Klub"/>
    <s v="SP"/>
    <n v="2023"/>
    <n v="15"/>
    <n v="4540"/>
    <n v="1.0449999999999999"/>
    <n v="5566"/>
    <n v="5816"/>
    <x v="0"/>
    <x v="0"/>
    <s v="ASW 20"/>
    <s v="ET1"/>
    <s v="Není v databázi"/>
    <m/>
  </r>
  <r>
    <x v="417"/>
    <x v="4"/>
    <x v="1"/>
    <x v="153"/>
    <x v="3"/>
    <s v="WWGC 2023 - Klub"/>
    <s v="SP"/>
    <n v="2023"/>
    <n v="16"/>
    <n v="4538"/>
    <n v="1.0449999999999999"/>
    <n v="5398"/>
    <n v="5641"/>
    <x v="0"/>
    <x v="0"/>
    <s v="LS 1-f"/>
    <s v="SH"/>
    <s v="Není v databázi"/>
    <m/>
  </r>
  <r>
    <x v="418"/>
    <x v="4"/>
    <x v="1"/>
    <x v="154"/>
    <x v="3"/>
    <s v="WWGC 2023 - Klub"/>
    <s v="SP"/>
    <n v="2023"/>
    <n v="17"/>
    <n v="2862"/>
    <n v="1.0449999999999999"/>
    <n v="3422"/>
    <n v="3576"/>
    <x v="0"/>
    <x v="0"/>
    <s v="DG 100"/>
    <s v="L"/>
    <s v="Není v databázi"/>
    <m/>
  </r>
  <r>
    <x v="419"/>
    <x v="4"/>
    <x v="1"/>
    <x v="151"/>
    <x v="3"/>
    <s v="WWGC 2023 - Klub"/>
    <s v="SP"/>
    <n v="2023"/>
    <n v="18"/>
    <n v="1998"/>
    <n v="1.0449999999999999"/>
    <n v="2323"/>
    <n v="2428"/>
    <x v="0"/>
    <x v="0"/>
    <s v="ASW 20 L"/>
    <s v="EEJ"/>
    <s v="Není v databázi"/>
    <m/>
  </r>
  <r>
    <x v="420"/>
    <x v="4"/>
    <x v="1"/>
    <x v="155"/>
    <x v="3"/>
    <s v="WWGC 2023 - Klub"/>
    <s v="SP"/>
    <n v="2023"/>
    <n v="19"/>
    <n v="807"/>
    <n v="1.0449999999999999"/>
    <n v="871"/>
    <n v="910"/>
    <x v="0"/>
    <x v="0"/>
    <s v="DG 300 WL"/>
    <s v="TC"/>
    <s v="Není v databázi"/>
    <m/>
  </r>
  <r>
    <x v="315"/>
    <x v="61"/>
    <x v="2"/>
    <x v="0"/>
    <x v="0"/>
    <s v="WWGC 2023 - Std"/>
    <s v="SP"/>
    <n v="2023"/>
    <n v="1"/>
    <n v="8704"/>
    <n v="1.0549999999999999"/>
    <n v="10000"/>
    <n v="10550"/>
    <x v="0"/>
    <x v="1"/>
    <s v="LS 8"/>
    <s v="JB"/>
    <s v=""/>
    <m/>
  </r>
  <r>
    <x v="421"/>
    <x v="4"/>
    <x v="1"/>
    <x v="147"/>
    <x v="3"/>
    <s v="WWGC 2023 - Std"/>
    <s v="SP"/>
    <n v="2023"/>
    <n v="2"/>
    <n v="8656"/>
    <n v="1.0549999999999999"/>
    <n v="9761"/>
    <n v="10298"/>
    <x v="0"/>
    <x v="0"/>
    <s v="Discus 2a"/>
    <s v="JPA"/>
    <s v="Není v databázi"/>
    <m/>
  </r>
  <r>
    <x v="422"/>
    <x v="4"/>
    <x v="1"/>
    <x v="147"/>
    <x v="3"/>
    <s v="WWGC 2023 - Std"/>
    <s v="SP"/>
    <n v="2023"/>
    <n v="3"/>
    <n v="8605"/>
    <n v="1.0549999999999999"/>
    <n v="9520"/>
    <n v="10044"/>
    <x v="0"/>
    <x v="0"/>
    <s v="Discus 2a"/>
    <s v="AX"/>
    <s v="Není v databázi"/>
    <m/>
  </r>
  <r>
    <x v="423"/>
    <x v="4"/>
    <x v="1"/>
    <x v="148"/>
    <x v="3"/>
    <s v="WWGC 2023 - Std"/>
    <s v="SP"/>
    <n v="2023"/>
    <n v="4"/>
    <n v="8413"/>
    <n v="1.0549999999999999"/>
    <n v="9166"/>
    <n v="9670"/>
    <x v="0"/>
    <x v="0"/>
    <s v="Discus 2a"/>
    <s v="HZ"/>
    <s v="Není v databázi"/>
    <m/>
  </r>
  <r>
    <x v="54"/>
    <x v="2"/>
    <x v="2"/>
    <x v="21"/>
    <x v="0"/>
    <s v="WWGC 2023 - Std"/>
    <s v="SP"/>
    <n v="2023"/>
    <n v="5"/>
    <n v="8290"/>
    <n v="1.0549999999999999"/>
    <n v="8867"/>
    <n v="9355"/>
    <x v="0"/>
    <x v="1"/>
    <s v="LS 8b"/>
    <s v="FX"/>
    <s v=""/>
    <m/>
  </r>
  <r>
    <x v="424"/>
    <x v="4"/>
    <x v="1"/>
    <x v="147"/>
    <x v="3"/>
    <s v="WWGC 2023 - Std"/>
    <s v="SP"/>
    <n v="2023"/>
    <n v="6"/>
    <n v="8072"/>
    <n v="1.0549999999999999"/>
    <n v="8492"/>
    <n v="8959"/>
    <x v="0"/>
    <x v="0"/>
    <s v="Discus 2a"/>
    <s v="ET"/>
    <s v="Není v databázi"/>
    <m/>
  </r>
  <r>
    <x v="51"/>
    <x v="16"/>
    <x v="2"/>
    <x v="24"/>
    <x v="1"/>
    <s v="WWGC 2023 - Std"/>
    <s v="SP"/>
    <n v="2023"/>
    <n v="7"/>
    <n v="7592"/>
    <n v="1.0549999999999999"/>
    <n v="7906"/>
    <n v="8341"/>
    <x v="0"/>
    <x v="0"/>
    <s v="LS 8"/>
    <s v="W8"/>
    <s v=""/>
    <m/>
  </r>
  <r>
    <x v="425"/>
    <x v="4"/>
    <x v="1"/>
    <x v="148"/>
    <x v="3"/>
    <s v="WWGC 2023 - Std"/>
    <s v="SP"/>
    <n v="2023"/>
    <n v="8"/>
    <n v="7378"/>
    <n v="1.0549999999999999"/>
    <n v="7534"/>
    <n v="7948"/>
    <x v="0"/>
    <x v="0"/>
    <s v="LS 8"/>
    <s v="3S"/>
    <s v="Není v databázi"/>
    <m/>
  </r>
  <r>
    <x v="426"/>
    <x v="4"/>
    <x v="1"/>
    <x v="156"/>
    <x v="3"/>
    <s v="WWGC 2023 - Std"/>
    <s v="SP"/>
    <n v="2023"/>
    <n v="9"/>
    <n v="7372"/>
    <n v="1.0549999999999999"/>
    <n v="7329"/>
    <n v="7732"/>
    <x v="0"/>
    <x v="0"/>
    <s v="Discus 2a"/>
    <s v="L2"/>
    <s v="Není v databázi"/>
    <m/>
  </r>
  <r>
    <x v="427"/>
    <x v="4"/>
    <x v="1"/>
    <x v="151"/>
    <x v="3"/>
    <s v="WWGC 2023 - Std"/>
    <s v="SP"/>
    <n v="2023"/>
    <n v="10"/>
    <n v="7013"/>
    <n v="1.0549999999999999"/>
    <n v="6840"/>
    <n v="7216"/>
    <x v="0"/>
    <x v="0"/>
    <s v="LS 8"/>
    <s v="IT"/>
    <s v="Není v databázi"/>
    <m/>
  </r>
  <r>
    <x v="428"/>
    <x v="4"/>
    <x v="1"/>
    <x v="157"/>
    <x v="3"/>
    <s v="WWGC 2023 - Std"/>
    <s v="SP"/>
    <n v="2023"/>
    <n v="11"/>
    <n v="6906"/>
    <n v="1.0549999999999999"/>
    <n v="6554"/>
    <n v="6914"/>
    <x v="0"/>
    <x v="0"/>
    <s v="LS 8"/>
    <s v="HT"/>
    <s v="Není v databázi"/>
    <m/>
  </r>
  <r>
    <x v="429"/>
    <x v="4"/>
    <x v="1"/>
    <x v="148"/>
    <x v="3"/>
    <s v="WWGC 2023 - Std"/>
    <s v="SP"/>
    <n v="2023"/>
    <n v="12"/>
    <n v="6835"/>
    <n v="1.0549999999999999"/>
    <n v="6297"/>
    <n v="6643"/>
    <x v="0"/>
    <x v="0"/>
    <s v="LS 8"/>
    <s v="VZ"/>
    <s v="Není v databázi"/>
    <m/>
  </r>
  <r>
    <x v="333"/>
    <x v="4"/>
    <x v="1"/>
    <x v="158"/>
    <x v="3"/>
    <s v="WWGC 2023 - Std"/>
    <s v="SP"/>
    <n v="2023"/>
    <n v="13"/>
    <n v="6416"/>
    <n v="1.0549999999999999"/>
    <n v="5760"/>
    <n v="6077"/>
    <x v="0"/>
    <x v="0"/>
    <s v="Discus 2a"/>
    <s v="I"/>
    <s v="Není v databázi"/>
    <m/>
  </r>
  <r>
    <x v="430"/>
    <x v="4"/>
    <x v="1"/>
    <x v="159"/>
    <x v="3"/>
    <s v="WWGC 2023 - Std"/>
    <s v="SP"/>
    <n v="2023"/>
    <n v="14"/>
    <n v="6174"/>
    <n v="1.0549999999999999"/>
    <n v="5365"/>
    <n v="5660"/>
    <x v="0"/>
    <x v="0"/>
    <s v="LS 8"/>
    <s v="JG"/>
    <s v="Není v databázi"/>
    <m/>
  </r>
  <r>
    <x v="431"/>
    <x v="4"/>
    <x v="1"/>
    <x v="148"/>
    <x v="3"/>
    <s v="WWGC 2023 - Std"/>
    <s v="SP"/>
    <n v="2023"/>
    <n v="15"/>
    <n v="5446"/>
    <n v="1.0549999999999999"/>
    <n v="4580"/>
    <n v="4832"/>
    <x v="0"/>
    <x v="0"/>
    <s v="LS 8e neo"/>
    <n v="71"/>
    <s v="Není v databázi"/>
    <m/>
  </r>
  <r>
    <x v="432"/>
    <x v="4"/>
    <x v="1"/>
    <x v="159"/>
    <x v="3"/>
    <s v="WWGC 2023 - Std"/>
    <s v="SP"/>
    <n v="2023"/>
    <n v="16"/>
    <n v="3228"/>
    <n v="1.0549999999999999"/>
    <n v="2596"/>
    <n v="2739"/>
    <x v="0"/>
    <x v="0"/>
    <s v="Discus 2cFES 15m"/>
    <s v="EB"/>
    <s v="Není v databázi"/>
    <m/>
  </r>
  <r>
    <x v="37"/>
    <x v="25"/>
    <x v="2"/>
    <x v="0"/>
    <x v="0"/>
    <s v="WWGC 2023 - 18m"/>
    <s v="SP"/>
    <n v="2023"/>
    <n v="1"/>
    <n v="8885"/>
    <n v="1.04"/>
    <n v="10000"/>
    <n v="10400"/>
    <x v="0"/>
    <x v="1"/>
    <s v="JS3 18m"/>
    <s v="ZE"/>
    <s v=""/>
    <m/>
  </r>
  <r>
    <x v="433"/>
    <x v="4"/>
    <x v="1"/>
    <x v="147"/>
    <x v="3"/>
    <s v="WWGC 2023 - 18m"/>
    <s v="SP"/>
    <n v="2023"/>
    <n v="2"/>
    <n v="8571"/>
    <n v="1.04"/>
    <n v="9480"/>
    <n v="9859"/>
    <x v="0"/>
    <x v="0"/>
    <s v="JS3 18m"/>
    <s v="LB"/>
    <s v="Není v databázi"/>
    <m/>
  </r>
  <r>
    <x v="434"/>
    <x v="4"/>
    <x v="1"/>
    <x v="147"/>
    <x v="3"/>
    <s v="WWGC 2023 - 18m"/>
    <s v="SP"/>
    <n v="2023"/>
    <n v="3"/>
    <n v="8459"/>
    <n v="1.04"/>
    <n v="9119"/>
    <n v="9484"/>
    <x v="0"/>
    <x v="0"/>
    <s v="JS3 18m"/>
    <s v="KW"/>
    <s v="Není v databázi"/>
    <m/>
  </r>
  <r>
    <x v="53"/>
    <x v="34"/>
    <x v="2"/>
    <x v="2"/>
    <x v="0"/>
    <s v="WWGC 2023 - 18m"/>
    <s v="SP"/>
    <n v="2023"/>
    <n v="4"/>
    <n v="8334"/>
    <n v="1.04"/>
    <n v="8748"/>
    <n v="9098"/>
    <x v="0"/>
    <x v="0"/>
    <s v="AS 33 Es 18m"/>
    <s v="EA"/>
    <s v="Junior v roce 2026"/>
    <m/>
  </r>
  <r>
    <x v="42"/>
    <x v="19"/>
    <x v="2"/>
    <x v="24"/>
    <x v="1"/>
    <s v="WWGC 2023 - 18m"/>
    <s v="SP"/>
    <n v="2023"/>
    <n v="5"/>
    <n v="8115"/>
    <n v="1.04"/>
    <n v="8302"/>
    <n v="8634"/>
    <x v="0"/>
    <x v="0"/>
    <s v="JS3 18m"/>
    <s v="XM"/>
    <s v=""/>
    <m/>
  </r>
  <r>
    <x v="435"/>
    <x v="4"/>
    <x v="1"/>
    <x v="148"/>
    <x v="3"/>
    <s v="WWGC 2023 - 18m"/>
    <s v="SP"/>
    <n v="2023"/>
    <n v="6"/>
    <n v="7983"/>
    <n v="1.04"/>
    <n v="7926"/>
    <n v="8243"/>
    <x v="0"/>
    <x v="0"/>
    <s v="JS3 18m Jet"/>
    <s v="BK"/>
    <s v="Není v databázi"/>
    <m/>
  </r>
  <r>
    <x v="436"/>
    <x v="4"/>
    <x v="1"/>
    <x v="151"/>
    <x v="3"/>
    <s v="WWGC 2023 - 18m"/>
    <s v="SP"/>
    <n v="2023"/>
    <n v="7"/>
    <n v="7016"/>
    <n v="1.04"/>
    <n v="6891"/>
    <n v="7167"/>
    <x v="0"/>
    <x v="0"/>
    <s v="ASG 29 18m"/>
    <n v="0"/>
    <s v="Není v databázi"/>
    <m/>
  </r>
  <r>
    <x v="437"/>
    <x v="4"/>
    <x v="1"/>
    <x v="148"/>
    <x v="3"/>
    <s v="WWGC 2023 - 18m"/>
    <s v="SP"/>
    <n v="2023"/>
    <n v="8"/>
    <n v="6591"/>
    <n v="1.04"/>
    <n v="6284"/>
    <n v="6535"/>
    <x v="0"/>
    <x v="0"/>
    <s v="ASG 29 18m"/>
    <s v="LEO"/>
    <s v="Není v databázi"/>
    <m/>
  </r>
  <r>
    <x v="438"/>
    <x v="4"/>
    <x v="1"/>
    <x v="147"/>
    <x v="3"/>
    <s v="WWGC 2023 - 18m"/>
    <s v="SP"/>
    <n v="2023"/>
    <n v="9"/>
    <n v="6306"/>
    <n v="1.04"/>
    <n v="5786"/>
    <n v="6017"/>
    <x v="0"/>
    <x v="0"/>
    <s v="JS3 18m"/>
    <s v="FM"/>
    <s v="Není v databázi"/>
    <m/>
  </r>
  <r>
    <x v="439"/>
    <x v="4"/>
    <x v="1"/>
    <x v="148"/>
    <x v="3"/>
    <s v="WWGC 2023 - 18m"/>
    <s v="SP"/>
    <n v="2023"/>
    <n v="10"/>
    <n v="5982"/>
    <n v="1.04"/>
    <n v="5258"/>
    <n v="5468"/>
    <x v="0"/>
    <x v="0"/>
    <s v="ASG 29 Es 18m"/>
    <s v="J3"/>
    <s v="Není v databázi"/>
    <m/>
  </r>
  <r>
    <x v="440"/>
    <x v="4"/>
    <x v="1"/>
    <x v="151"/>
    <x v="3"/>
    <s v="WWGC 2023 - 18m"/>
    <s v="SP"/>
    <n v="2023"/>
    <n v="11"/>
    <n v="5909"/>
    <n v="1.04"/>
    <n v="4928"/>
    <n v="5125"/>
    <x v="0"/>
    <x v="0"/>
    <s v="JS3 18m"/>
    <s v="J7"/>
    <s v="Není v databázi"/>
    <m/>
  </r>
  <r>
    <x v="441"/>
    <x v="4"/>
    <x v="1"/>
    <x v="156"/>
    <x v="3"/>
    <s v="WWGC 2023 - 18m"/>
    <s v="SP"/>
    <n v="2023"/>
    <n v="12"/>
    <n v="5740"/>
    <n v="1.04"/>
    <n v="4522"/>
    <n v="4703"/>
    <x v="0"/>
    <x v="0"/>
    <s v="Ventus 2cxM 18m"/>
    <s v="MA"/>
    <s v="Není v databázi"/>
    <m/>
  </r>
  <r>
    <x v="442"/>
    <x v="4"/>
    <x v="1"/>
    <x v="55"/>
    <x v="3"/>
    <s v="EGC 2023 - 18m"/>
    <s v="PL"/>
    <n v="2023"/>
    <n v="1"/>
    <n v="5836"/>
    <n v="1.095"/>
    <n v="10000"/>
    <n v="10950"/>
    <x v="0"/>
    <x v="0"/>
    <s v="Ventus 3T"/>
    <s v="8L"/>
    <s v="Není v databázi"/>
    <m/>
  </r>
  <r>
    <x v="443"/>
    <x v="4"/>
    <x v="1"/>
    <x v="55"/>
    <x v="3"/>
    <s v="EGC 2023 - 18m"/>
    <s v="PL"/>
    <n v="2023"/>
    <n v="2"/>
    <n v="5804"/>
    <n v="1.095"/>
    <n v="9876"/>
    <n v="10814"/>
    <x v="0"/>
    <x v="0"/>
    <s v="JS3 RES"/>
    <s v="PM"/>
    <s v="Není v databázi"/>
    <m/>
  </r>
  <r>
    <x v="313"/>
    <x v="4"/>
    <x v="1"/>
    <x v="55"/>
    <x v="3"/>
    <s v="EGC 2023 - 18m"/>
    <s v="PL"/>
    <n v="2023"/>
    <n v="3"/>
    <n v="5794"/>
    <n v="1.095"/>
    <n v="9778"/>
    <n v="10707"/>
    <x v="0"/>
    <x v="0"/>
    <s v="Ventus 3T"/>
    <s v="S"/>
    <s v="Není v databázi"/>
    <m/>
  </r>
  <r>
    <x v="444"/>
    <x v="4"/>
    <x v="1"/>
    <x v="55"/>
    <x v="3"/>
    <s v="EGC 2023 - 18m"/>
    <s v="PL"/>
    <n v="2023"/>
    <n v="4"/>
    <n v="5469"/>
    <n v="1.095"/>
    <n v="9303"/>
    <n v="10187"/>
    <x v="0"/>
    <x v="0"/>
    <s v="Ventus 3TS"/>
    <s v="WO"/>
    <s v="Není v databázi"/>
    <m/>
  </r>
  <r>
    <x v="445"/>
    <x v="4"/>
    <x v="1"/>
    <x v="55"/>
    <x v="3"/>
    <s v="EGC 2023 - 18m"/>
    <s v="PL"/>
    <n v="2023"/>
    <n v="5"/>
    <n v="5439"/>
    <n v="1.095"/>
    <n v="9181"/>
    <n v="10053"/>
    <x v="0"/>
    <x v="0"/>
    <s v="JS3 RES"/>
    <s v="MR"/>
    <s v="Není v databázi"/>
    <m/>
  </r>
  <r>
    <x v="446"/>
    <x v="4"/>
    <x v="1"/>
    <x v="55"/>
    <x v="3"/>
    <s v="EGC 2023 - 18m"/>
    <s v="PL"/>
    <n v="2023"/>
    <n v="6"/>
    <n v="5383"/>
    <n v="1.095"/>
    <n v="9028"/>
    <n v="9886"/>
    <x v="0"/>
    <x v="0"/>
    <s v="JS3 Jet"/>
    <s v="AB"/>
    <s v="Není v databázi"/>
    <m/>
  </r>
  <r>
    <x v="447"/>
    <x v="4"/>
    <x v="1"/>
    <x v="55"/>
    <x v="3"/>
    <s v="EGC 2023 - 18m"/>
    <s v="PL"/>
    <n v="2023"/>
    <n v="7"/>
    <n v="5381"/>
    <n v="1.095"/>
    <n v="8940"/>
    <n v="9789"/>
    <x v="0"/>
    <x v="0"/>
    <s v="Ventus 3T"/>
    <s v="3V"/>
    <s v="Není v databázi"/>
    <m/>
  </r>
  <r>
    <x v="448"/>
    <x v="4"/>
    <x v="1"/>
    <x v="55"/>
    <x v="3"/>
    <s v="EGC 2023 - 18m"/>
    <s v="PL"/>
    <n v="2023"/>
    <n v="8"/>
    <n v="5300"/>
    <n v="1.095"/>
    <n v="8757"/>
    <n v="9589"/>
    <x v="0"/>
    <x v="0"/>
    <s v="Ventus 3TS"/>
    <n v="21"/>
    <s v="Není v databázi"/>
    <m/>
  </r>
  <r>
    <x v="449"/>
    <x v="4"/>
    <x v="1"/>
    <x v="55"/>
    <x v="3"/>
    <s v="EGC 2023 - 18m"/>
    <s v="PL"/>
    <n v="2023"/>
    <n v="9"/>
    <n v="5264"/>
    <n v="1.095"/>
    <n v="8628"/>
    <n v="9448"/>
    <x v="0"/>
    <x v="0"/>
    <s v="JS3 Jet"/>
    <s v="BL"/>
    <s v="Není v databázi"/>
    <m/>
  </r>
  <r>
    <x v="450"/>
    <x v="4"/>
    <x v="1"/>
    <x v="55"/>
    <x v="3"/>
    <s v="EGC 2023 - 18m"/>
    <s v="PL"/>
    <n v="2023"/>
    <n v="10"/>
    <n v="5244"/>
    <n v="1.095"/>
    <n v="8518"/>
    <n v="9327"/>
    <x v="0"/>
    <x v="0"/>
    <s v="JS3"/>
    <s v="MK"/>
    <s v="Není v databázi"/>
    <m/>
  </r>
  <r>
    <x v="451"/>
    <x v="4"/>
    <x v="1"/>
    <x v="55"/>
    <x v="3"/>
    <s v="EGC 2023 - 18m"/>
    <s v="PL"/>
    <n v="2023"/>
    <n v="11"/>
    <n v="5190"/>
    <n v="1.095"/>
    <n v="8368"/>
    <n v="9163"/>
    <x v="0"/>
    <x v="0"/>
    <s v="Ventus 3TS"/>
    <s v="HX"/>
    <s v="Není v databázi"/>
    <m/>
  </r>
  <r>
    <x v="452"/>
    <x v="4"/>
    <x v="1"/>
    <x v="55"/>
    <x v="3"/>
    <s v="EGC 2023 - 18m"/>
    <s v="PL"/>
    <n v="2023"/>
    <n v="12"/>
    <n v="5168"/>
    <n v="1.095"/>
    <n v="8256"/>
    <n v="9040"/>
    <x v="0"/>
    <x v="0"/>
    <s v="JS3"/>
    <s v="BX"/>
    <s v="Není v databázi"/>
    <m/>
  </r>
  <r>
    <x v="453"/>
    <x v="4"/>
    <x v="1"/>
    <x v="55"/>
    <x v="3"/>
    <s v="EGC 2023 - 18m"/>
    <s v="PL"/>
    <n v="2023"/>
    <n v="13"/>
    <n v="5097"/>
    <n v="1.095"/>
    <n v="8085"/>
    <n v="8853"/>
    <x v="0"/>
    <x v="0"/>
    <s v="AS 33 Es"/>
    <s v="2U"/>
    <s v="Není v databázi"/>
    <m/>
  </r>
  <r>
    <x v="454"/>
    <x v="4"/>
    <x v="1"/>
    <x v="55"/>
    <x v="3"/>
    <s v="EGC 2023 - 18m"/>
    <s v="PL"/>
    <n v="2023"/>
    <n v="14"/>
    <n v="5066"/>
    <n v="1.095"/>
    <n v="7962"/>
    <n v="8718"/>
    <x v="0"/>
    <x v="0"/>
    <s v="Ventus 3"/>
    <s v="W"/>
    <s v="Není v databázi"/>
    <m/>
  </r>
  <r>
    <x v="455"/>
    <x v="5"/>
    <x v="0"/>
    <x v="3"/>
    <x v="2"/>
    <s v="EGC 2023 - 18m"/>
    <s v="PL"/>
    <n v="2023"/>
    <n v="15"/>
    <n v="5054"/>
    <n v="1.095"/>
    <n v="7862"/>
    <n v="8609"/>
    <x v="1"/>
    <x v="0"/>
    <s v="JS-MD 3"/>
    <s v="ZE"/>
    <s v=""/>
    <m/>
  </r>
  <r>
    <x v="456"/>
    <x v="4"/>
    <x v="1"/>
    <x v="55"/>
    <x v="3"/>
    <s v="EGC 2023 - 18m"/>
    <s v="PL"/>
    <n v="2023"/>
    <n v="16"/>
    <n v="5026"/>
    <n v="1.095"/>
    <n v="7743"/>
    <n v="8479"/>
    <x v="0"/>
    <x v="0"/>
    <s v="JS-MD 3"/>
    <s v="E1"/>
    <s v="Není v databázi"/>
    <m/>
  </r>
  <r>
    <x v="434"/>
    <x v="4"/>
    <x v="1"/>
    <x v="55"/>
    <x v="3"/>
    <s v="EGC 2023 - 18m"/>
    <s v="PL"/>
    <n v="2023"/>
    <n v="17"/>
    <n v="5001"/>
    <n v="1.095"/>
    <n v="7627"/>
    <n v="8352"/>
    <x v="0"/>
    <x v="0"/>
    <s v="JS3"/>
    <s v="AY"/>
    <s v="Není v databázi"/>
    <m/>
  </r>
  <r>
    <x v="457"/>
    <x v="4"/>
    <x v="1"/>
    <x v="55"/>
    <x v="3"/>
    <s v="EGC 2023 - 18m"/>
    <s v="PL"/>
    <n v="2023"/>
    <n v="18"/>
    <n v="4942"/>
    <n v="1.095"/>
    <n v="7471"/>
    <n v="8181"/>
    <x v="0"/>
    <x v="0"/>
    <s v="ASG 29"/>
    <s v="M7"/>
    <s v="Není v databázi"/>
    <m/>
  </r>
  <r>
    <x v="458"/>
    <x v="4"/>
    <x v="1"/>
    <x v="55"/>
    <x v="3"/>
    <s v="EGC 2023 - 18m"/>
    <s v="PL"/>
    <n v="2023"/>
    <n v="19"/>
    <n v="4937"/>
    <n v="1.095"/>
    <n v="7379"/>
    <n v="8080"/>
    <x v="0"/>
    <x v="0"/>
    <s v="AS 33 Es"/>
    <s v="GPS"/>
    <s v="Není v databázi"/>
    <m/>
  </r>
  <r>
    <x v="459"/>
    <x v="4"/>
    <x v="1"/>
    <x v="55"/>
    <x v="3"/>
    <s v="EGC 2023 - 18m"/>
    <s v="PL"/>
    <n v="2023"/>
    <n v="20"/>
    <n v="4921"/>
    <n v="1.095"/>
    <n v="7274"/>
    <n v="7965"/>
    <x v="0"/>
    <x v="0"/>
    <s v="AS 33"/>
    <s v="WG"/>
    <s v="Není v databázi"/>
    <m/>
  </r>
  <r>
    <x v="460"/>
    <x v="4"/>
    <x v="1"/>
    <x v="55"/>
    <x v="3"/>
    <s v="EGC 2023 - 18m"/>
    <s v="PL"/>
    <n v="2023"/>
    <n v="21"/>
    <n v="4887"/>
    <n v="1.095"/>
    <n v="7147"/>
    <n v="7826"/>
    <x v="0"/>
    <x v="0"/>
    <s v="JS3"/>
    <s v="SP"/>
    <s v="Není v databázi"/>
    <m/>
  </r>
  <r>
    <x v="461"/>
    <x v="4"/>
    <x v="1"/>
    <x v="55"/>
    <x v="3"/>
    <s v="EGC 2023 - 18m"/>
    <s v="PL"/>
    <n v="2023"/>
    <n v="22"/>
    <n v="4840"/>
    <n v="1.095"/>
    <n v="7005"/>
    <n v="7670"/>
    <x v="0"/>
    <x v="0"/>
    <s v="JS1"/>
    <s v="LEO"/>
    <s v="Není v databázi"/>
    <m/>
  </r>
  <r>
    <x v="462"/>
    <x v="4"/>
    <x v="1"/>
    <x v="55"/>
    <x v="3"/>
    <s v="EGC 2023 - 18m"/>
    <s v="PL"/>
    <n v="2023"/>
    <n v="23"/>
    <n v="4815"/>
    <n v="1.095"/>
    <n v="6890"/>
    <n v="7545"/>
    <x v="0"/>
    <x v="0"/>
    <s v="JS3"/>
    <s v="KW"/>
    <s v="Není v databázi"/>
    <m/>
  </r>
  <r>
    <x v="463"/>
    <x v="4"/>
    <x v="1"/>
    <x v="55"/>
    <x v="3"/>
    <s v="EGC 2023 - 18m"/>
    <s v="PL"/>
    <n v="2023"/>
    <n v="24"/>
    <n v="4694"/>
    <n v="1.095"/>
    <n v="6659"/>
    <n v="7292"/>
    <x v="0"/>
    <x v="0"/>
    <s v="Ventus 3F"/>
    <s v="CU"/>
    <s v="Není v databázi"/>
    <m/>
  </r>
  <r>
    <x v="464"/>
    <x v="4"/>
    <x v="1"/>
    <x v="55"/>
    <x v="3"/>
    <s v="EGC 2023 - 18m"/>
    <s v="PL"/>
    <n v="2023"/>
    <n v="25"/>
    <n v="4439"/>
    <n v="1.095"/>
    <n v="6267"/>
    <n v="6862"/>
    <x v="0"/>
    <x v="0"/>
    <s v="AS 33 Es"/>
    <n v="10"/>
    <s v="Není v databázi"/>
    <m/>
  </r>
  <r>
    <x v="465"/>
    <x v="4"/>
    <x v="1"/>
    <x v="55"/>
    <x v="3"/>
    <s v="EGC 2023 - 18m"/>
    <s v="PL"/>
    <n v="2023"/>
    <n v="26"/>
    <n v="4425"/>
    <n v="1.095"/>
    <n v="6165"/>
    <n v="6751"/>
    <x v="0"/>
    <x v="0"/>
    <s v="AS 33 Es"/>
    <s v="PE"/>
    <s v="Není v databázi"/>
    <m/>
  </r>
  <r>
    <x v="466"/>
    <x v="4"/>
    <x v="1"/>
    <x v="55"/>
    <x v="3"/>
    <s v="EGC 2023 - 18m"/>
    <s v="PL"/>
    <n v="2023"/>
    <n v="27"/>
    <n v="4393"/>
    <n v="1.095"/>
    <n v="6041"/>
    <n v="6615"/>
    <x v="0"/>
    <x v="0"/>
    <s v="Ventus 2 cxa FES"/>
    <s v="AL"/>
    <s v="Není v databázi"/>
    <m/>
  </r>
  <r>
    <x v="467"/>
    <x v="4"/>
    <x v="1"/>
    <x v="55"/>
    <x v="3"/>
    <s v="EGC 2023 - 18m"/>
    <s v="PL"/>
    <n v="2023"/>
    <n v="28"/>
    <n v="4293"/>
    <n v="1.095"/>
    <n v="5835"/>
    <n v="6389"/>
    <x v="0"/>
    <x v="0"/>
    <s v="JS3 RES"/>
    <s v="EL"/>
    <s v="Není v databázi"/>
    <m/>
  </r>
  <r>
    <x v="31"/>
    <x v="4"/>
    <x v="1"/>
    <x v="55"/>
    <x v="3"/>
    <s v="EGC 2023 - 18m"/>
    <s v="PL"/>
    <n v="2023"/>
    <n v="29"/>
    <n v="4290"/>
    <n v="1.095"/>
    <n v="5746"/>
    <n v="6292"/>
    <x v="0"/>
    <x v="0"/>
    <s v="JS3"/>
    <n v="3"/>
    <s v="Není v databázi"/>
    <m/>
  </r>
  <r>
    <x v="468"/>
    <x v="4"/>
    <x v="1"/>
    <x v="55"/>
    <x v="3"/>
    <s v="EGC 2023 - 18m"/>
    <s v="PL"/>
    <n v="2023"/>
    <n v="30"/>
    <n v="4208"/>
    <n v="1.095"/>
    <n v="5562"/>
    <n v="6090"/>
    <x v="0"/>
    <x v="0"/>
    <s v="JS1 B"/>
    <s v="LR"/>
    <s v="Není v databázi"/>
    <m/>
  </r>
  <r>
    <x v="469"/>
    <x v="4"/>
    <x v="1"/>
    <x v="55"/>
    <x v="3"/>
    <s v="EGC 2023 - 18m"/>
    <s v="PL"/>
    <n v="2023"/>
    <s v="HC"/>
    <n v="3994"/>
    <m/>
    <m/>
    <m/>
    <x v="0"/>
    <x v="0"/>
    <s v="JS3"/>
    <s v="AX"/>
    <s v="Není v databázi"/>
    <m/>
  </r>
  <r>
    <x v="27"/>
    <x v="19"/>
    <x v="0"/>
    <x v="18"/>
    <x v="2"/>
    <s v="EGC 2023 - 18m"/>
    <s v="PL"/>
    <n v="2023"/>
    <n v="31"/>
    <n v="3756"/>
    <n v="1.095"/>
    <n v="4934"/>
    <n v="5403"/>
    <x v="0"/>
    <x v="0"/>
    <s v="AS 33 Es"/>
    <n v="12"/>
    <s v=""/>
    <m/>
  </r>
  <r>
    <x v="470"/>
    <x v="4"/>
    <x v="1"/>
    <x v="55"/>
    <x v="3"/>
    <s v="EGC 2023 - 18m"/>
    <s v="PL"/>
    <n v="2023"/>
    <n v="32"/>
    <n v="3639"/>
    <n v="1.095"/>
    <n v="4708"/>
    <n v="5155"/>
    <x v="0"/>
    <x v="0"/>
    <s v="JS1 C"/>
    <s v="DZ"/>
    <s v="Není v databázi"/>
    <m/>
  </r>
  <r>
    <x v="471"/>
    <x v="4"/>
    <x v="1"/>
    <x v="55"/>
    <x v="3"/>
    <s v="EGC 2023 - 18m"/>
    <s v="PL"/>
    <n v="2023"/>
    <n v="33"/>
    <n v="3596"/>
    <n v="1.095"/>
    <n v="4570"/>
    <n v="5004"/>
    <x v="0"/>
    <x v="0"/>
    <s v="JS3"/>
    <s v="7A"/>
    <s v="Není v databázi"/>
    <m/>
  </r>
  <r>
    <x v="472"/>
    <x v="4"/>
    <x v="1"/>
    <x v="55"/>
    <x v="3"/>
    <s v="EGC 2023 - 18m"/>
    <s v="PL"/>
    <n v="2023"/>
    <n v="34"/>
    <n v="3285"/>
    <n v="1.095"/>
    <n v="4112"/>
    <n v="4503"/>
    <x v="0"/>
    <x v="0"/>
    <s v="JS3 Jet"/>
    <s v="MM"/>
    <s v="Není v databázi"/>
    <m/>
  </r>
  <r>
    <x v="473"/>
    <x v="4"/>
    <x v="1"/>
    <x v="55"/>
    <x v="3"/>
    <s v="EGC 2023 - 18m"/>
    <s v="PL"/>
    <n v="2023"/>
    <n v="35"/>
    <n v="3101"/>
    <n v="1.095"/>
    <n v="3805"/>
    <n v="4166"/>
    <x v="0"/>
    <x v="0"/>
    <s v="Ventus 3M"/>
    <s v="RH"/>
    <s v="Není v databázi"/>
    <m/>
  </r>
  <r>
    <x v="474"/>
    <x v="4"/>
    <x v="1"/>
    <x v="55"/>
    <x v="3"/>
    <s v="EGC 2023 - 18m"/>
    <s v="PL"/>
    <n v="2023"/>
    <n v="36"/>
    <n v="2975"/>
    <n v="1.095"/>
    <n v="3568"/>
    <n v="3907"/>
    <x v="0"/>
    <x v="0"/>
    <s v="Ventus 2cxT"/>
    <s v="UR"/>
    <s v="Není v databázi"/>
    <m/>
  </r>
  <r>
    <x v="475"/>
    <x v="4"/>
    <x v="1"/>
    <x v="55"/>
    <x v="3"/>
    <s v="EGC 2023 - Open"/>
    <s v="PL"/>
    <n v="2023"/>
    <n v="1"/>
    <n v="6178"/>
    <n v="1.06"/>
    <n v="10000"/>
    <n v="10600"/>
    <x v="0"/>
    <x v="0"/>
    <s v="EB29R"/>
    <s v="FE"/>
    <s v="Není v databázi"/>
    <m/>
  </r>
  <r>
    <x v="476"/>
    <x v="4"/>
    <x v="1"/>
    <x v="55"/>
    <x v="3"/>
    <s v="EGC 2023 - Open"/>
    <s v="PL"/>
    <n v="2023"/>
    <n v="2"/>
    <n v="5952"/>
    <n v="1.06"/>
    <n v="9530"/>
    <n v="10102"/>
    <x v="0"/>
    <x v="0"/>
    <s v="JS1 C"/>
    <s v="P"/>
    <s v="Není v databázi"/>
    <m/>
  </r>
  <r>
    <x v="477"/>
    <x v="4"/>
    <x v="1"/>
    <x v="55"/>
    <x v="3"/>
    <s v="EGC 2023 - Open"/>
    <s v="PL"/>
    <n v="2023"/>
    <n v="3"/>
    <n v="5945"/>
    <n v="1.06"/>
    <n v="9307"/>
    <n v="9865"/>
    <x v="0"/>
    <x v="0"/>
    <s v="EB29R"/>
    <n v="72"/>
    <s v="Není v databázi"/>
    <m/>
  </r>
  <r>
    <x v="478"/>
    <x v="4"/>
    <x v="1"/>
    <x v="55"/>
    <x v="3"/>
    <s v="EGC 2023 - Open"/>
    <s v="PL"/>
    <n v="2023"/>
    <n v="4"/>
    <n v="5889"/>
    <n v="1.06"/>
    <n v="9030"/>
    <n v="9572"/>
    <x v="0"/>
    <x v="0"/>
    <s v="EB29R"/>
    <s v="XR"/>
    <s v="Není v databázi"/>
    <m/>
  </r>
  <r>
    <x v="338"/>
    <x v="61"/>
    <x v="0"/>
    <x v="58"/>
    <x v="1"/>
    <s v="EGC 2023 - Open"/>
    <s v="PL"/>
    <n v="2023"/>
    <n v="5"/>
    <n v="5845"/>
    <n v="1.06"/>
    <n v="8766"/>
    <n v="9292"/>
    <x v="0"/>
    <x v="0"/>
    <s v="JS1 C"/>
    <s v="ZF"/>
    <s v=""/>
    <m/>
  </r>
  <r>
    <x v="479"/>
    <x v="4"/>
    <x v="1"/>
    <x v="55"/>
    <x v="3"/>
    <s v="EGC 2023 - Open"/>
    <s v="PL"/>
    <n v="2023"/>
    <n v="6"/>
    <n v="5615"/>
    <n v="1.06"/>
    <n v="8291"/>
    <n v="8788"/>
    <x v="0"/>
    <x v="0"/>
    <s v="EB29R"/>
    <s v="OR"/>
    <s v="Není v databázi"/>
    <m/>
  </r>
  <r>
    <x v="480"/>
    <x v="4"/>
    <x v="1"/>
    <x v="55"/>
    <x v="3"/>
    <s v="EGC 2023 - Open"/>
    <s v="PL"/>
    <n v="2023"/>
    <n v="7"/>
    <n v="5337"/>
    <n v="1.06"/>
    <n v="7761"/>
    <n v="8227"/>
    <x v="0"/>
    <x v="0"/>
    <s v="JS-MD 1C"/>
    <n v="80"/>
    <s v="Není v databázi"/>
    <m/>
  </r>
  <r>
    <x v="481"/>
    <x v="4"/>
    <x v="1"/>
    <x v="55"/>
    <x v="3"/>
    <s v="EGC 2023 - Open"/>
    <s v="PL"/>
    <n v="2023"/>
    <n v="8"/>
    <n v="5263"/>
    <n v="1.06"/>
    <n v="7463"/>
    <n v="7911"/>
    <x v="0"/>
    <x v="0"/>
    <s v="JS1 C"/>
    <s v="TJ"/>
    <s v="Není v databázi"/>
    <m/>
  </r>
  <r>
    <x v="482"/>
    <x v="4"/>
    <x v="1"/>
    <x v="55"/>
    <x v="3"/>
    <s v="EGC 2023 - Open"/>
    <s v="PL"/>
    <n v="2023"/>
    <n v="9"/>
    <n v="5184"/>
    <n v="1.06"/>
    <n v="7159"/>
    <n v="7589"/>
    <x v="0"/>
    <x v="0"/>
    <s v="EB28 Edition"/>
    <s v="EX"/>
    <s v="Není v databázi"/>
    <m/>
  </r>
  <r>
    <x v="433"/>
    <x v="4"/>
    <x v="1"/>
    <x v="55"/>
    <x v="3"/>
    <s v="EGC 2023 - Open"/>
    <s v="PL"/>
    <n v="2023"/>
    <n v="10"/>
    <n v="5000"/>
    <n v="1.06"/>
    <n v="6737"/>
    <n v="7141"/>
    <x v="0"/>
    <x v="0"/>
    <s v="JS1"/>
    <s v="FD"/>
    <s v="Není v databázi"/>
    <m/>
  </r>
  <r>
    <x v="483"/>
    <x v="4"/>
    <x v="1"/>
    <x v="55"/>
    <x v="3"/>
    <s v="EGC 2023 - Open"/>
    <s v="PL"/>
    <n v="2023"/>
    <n v="11"/>
    <n v="4699"/>
    <n v="1.06"/>
    <n v="6181"/>
    <n v="6552"/>
    <x v="0"/>
    <x v="0"/>
    <s v="JS1 C"/>
    <n v="56"/>
    <s v="Není v databázi"/>
    <m/>
  </r>
  <r>
    <x v="484"/>
    <x v="4"/>
    <x v="1"/>
    <x v="55"/>
    <x v="3"/>
    <s v="EGC 2023 - Open"/>
    <s v="PL"/>
    <n v="2023"/>
    <n v="12"/>
    <n v="4404"/>
    <n v="1.06"/>
    <n v="5633"/>
    <n v="5971"/>
    <x v="0"/>
    <x v="0"/>
    <s v="JS3 Jet"/>
    <s v="ZB"/>
    <s v="Není v databázi"/>
    <m/>
  </r>
  <r>
    <x v="485"/>
    <x v="4"/>
    <x v="1"/>
    <x v="55"/>
    <x v="3"/>
    <s v="EGC 2023 - Open"/>
    <s v="PL"/>
    <n v="2023"/>
    <n v="13"/>
    <n v="4204"/>
    <n v="1.06"/>
    <n v="5192"/>
    <n v="5504"/>
    <x v="0"/>
    <x v="0"/>
    <s v="EB29D"/>
    <s v="HB"/>
    <s v="Není v databázi"/>
    <m/>
  </r>
  <r>
    <x v="29"/>
    <x v="21"/>
    <x v="0"/>
    <x v="19"/>
    <x v="1"/>
    <s v="EGC 2023 - Open"/>
    <s v="PL"/>
    <n v="2023"/>
    <n v="14"/>
    <n v="4070"/>
    <n v="1.06"/>
    <n v="4826"/>
    <n v="5116"/>
    <x v="0"/>
    <x v="0"/>
    <s v="EB 28 edition"/>
    <s v="NA"/>
    <s v=""/>
    <m/>
  </r>
  <r>
    <x v="486"/>
    <x v="4"/>
    <x v="1"/>
    <x v="55"/>
    <x v="3"/>
    <s v="EGC 2023 - Open"/>
    <s v="PL"/>
    <n v="2023"/>
    <n v="15"/>
    <n v="3599"/>
    <n v="1.06"/>
    <n v="4078"/>
    <n v="4323"/>
    <x v="0"/>
    <x v="0"/>
    <s v="JS1 C"/>
    <s v="AAD"/>
    <s v="Není v databázi"/>
    <m/>
  </r>
  <r>
    <x v="487"/>
    <x v="4"/>
    <x v="1"/>
    <x v="55"/>
    <x v="3"/>
    <s v="EGC 2023 - Duo 20m"/>
    <s v="PL"/>
    <n v="2023"/>
    <n v="1"/>
    <n v="6358"/>
    <n v="1.085"/>
    <n v="10000"/>
    <n v="10850"/>
    <x v="0"/>
    <x v="0"/>
    <s v="Arcus M"/>
    <s v="AM"/>
    <s v="Není v databázi"/>
    <m/>
  </r>
  <r>
    <x v="488"/>
    <x v="4"/>
    <x v="1"/>
    <x v="55"/>
    <x v="3"/>
    <s v="EGC 2023 - Duo 20m"/>
    <s v="PL"/>
    <n v="2023"/>
    <n v="2"/>
    <n v="6356"/>
    <n v="1.085"/>
    <n v="9855"/>
    <n v="10693"/>
    <x v="0"/>
    <x v="0"/>
    <s v="Arcus M"/>
    <n v="5"/>
    <s v="Není v databázi"/>
    <m/>
  </r>
  <r>
    <x v="489"/>
    <x v="4"/>
    <x v="1"/>
    <x v="55"/>
    <x v="3"/>
    <s v="EGC 2023 - Duo 20m"/>
    <s v="PL"/>
    <n v="2023"/>
    <n v="3"/>
    <n v="6196"/>
    <n v="1.085"/>
    <n v="9536"/>
    <n v="10347"/>
    <x v="0"/>
    <x v="0"/>
    <s v="Arcus M"/>
    <s v="I10"/>
    <s v="Není v databázi"/>
    <m/>
  </r>
  <r>
    <x v="490"/>
    <x v="4"/>
    <x v="1"/>
    <x v="55"/>
    <x v="3"/>
    <s v="EGC 2023 - Duo 20m"/>
    <s v="PL"/>
    <n v="2023"/>
    <n v="4"/>
    <n v="6125"/>
    <n v="1.085"/>
    <n v="9315"/>
    <n v="10107"/>
    <x v="0"/>
    <x v="0"/>
    <s v="Arcus 20T"/>
    <s v="DX"/>
    <s v="Není v databázi"/>
    <m/>
  </r>
  <r>
    <x v="491"/>
    <x v="4"/>
    <x v="1"/>
    <x v="55"/>
    <x v="3"/>
    <s v="EGC 2023 - Duo 20m"/>
    <s v="PL"/>
    <n v="2023"/>
    <n v="5"/>
    <n v="5988"/>
    <n v="1.085"/>
    <n v="9021"/>
    <n v="9788"/>
    <x v="0"/>
    <x v="0"/>
    <s v="Arcus T"/>
    <s v="HLB"/>
    <s v="Není v databázi"/>
    <m/>
  </r>
  <r>
    <x v="492"/>
    <x v="4"/>
    <x v="1"/>
    <x v="55"/>
    <x v="3"/>
    <s v="EGC 2023 - Duo 20m"/>
    <s v="PL"/>
    <n v="2023"/>
    <n v="6"/>
    <n v="5935"/>
    <n v="1.085"/>
    <n v="8820"/>
    <n v="9570"/>
    <x v="0"/>
    <x v="0"/>
    <s v="Arcus T"/>
    <s v="V8"/>
    <s v="Není v databázi"/>
    <m/>
  </r>
  <r>
    <x v="493"/>
    <x v="4"/>
    <x v="1"/>
    <x v="55"/>
    <x v="3"/>
    <s v="EGC 2023 - Duo 20m"/>
    <s v="PL"/>
    <n v="2023"/>
    <n v="7"/>
    <n v="5827"/>
    <n v="1.085"/>
    <n v="8558"/>
    <n v="9285"/>
    <x v="0"/>
    <x v="0"/>
    <s v="Arcus T"/>
    <s v="HUX"/>
    <s v="Není v databázi"/>
    <m/>
  </r>
  <r>
    <x v="494"/>
    <x v="4"/>
    <x v="1"/>
    <x v="55"/>
    <x v="3"/>
    <s v="EGC 2023 - Duo 20m"/>
    <s v="PL"/>
    <n v="2023"/>
    <n v="8"/>
    <n v="5809"/>
    <n v="1.085"/>
    <n v="8396"/>
    <n v="9110"/>
    <x v="0"/>
    <x v="0"/>
    <s v="Arcus 20T"/>
    <s v="MG"/>
    <s v="Není v databázi"/>
    <m/>
  </r>
  <r>
    <x v="495"/>
    <x v="4"/>
    <x v="1"/>
    <x v="55"/>
    <x v="3"/>
    <s v="EGC 2023 - Duo 20m"/>
    <s v="PL"/>
    <n v="2023"/>
    <n v="9"/>
    <n v="5643"/>
    <n v="1.085"/>
    <n v="8070"/>
    <n v="8756"/>
    <x v="0"/>
    <x v="0"/>
    <s v="Arcus T"/>
    <s v="CR"/>
    <s v="Není v databázi"/>
    <m/>
  </r>
  <r>
    <x v="496"/>
    <x v="4"/>
    <x v="1"/>
    <x v="55"/>
    <x v="3"/>
    <s v="EGC 2023 - Duo 20m"/>
    <s v="PL"/>
    <n v="2023"/>
    <n v="10"/>
    <n v="5131"/>
    <n v="1.085"/>
    <n v="7363"/>
    <n v="7989"/>
    <x v="0"/>
    <x v="0"/>
    <s v="Arcus M"/>
    <s v="FJ"/>
    <s v="Není v databázi"/>
    <m/>
  </r>
  <r>
    <x v="497"/>
    <x v="4"/>
    <x v="1"/>
    <x v="55"/>
    <x v="3"/>
    <s v="EGC 2023 - Duo 20m"/>
    <s v="PL"/>
    <n v="2023"/>
    <n v="11"/>
    <n v="5080"/>
    <n v="1.085"/>
    <n v="7164"/>
    <n v="7773"/>
    <x v="0"/>
    <x v="0"/>
    <s v="Arcus T"/>
    <s v="BI"/>
    <s v="Není v databázi"/>
    <m/>
  </r>
  <r>
    <x v="498"/>
    <x v="4"/>
    <x v="1"/>
    <x v="55"/>
    <x v="3"/>
    <s v="EGC 2023 - Duo 20m"/>
    <s v="PL"/>
    <n v="2023"/>
    <n v="12"/>
    <n v="5059"/>
    <n v="1.085"/>
    <n v="6998"/>
    <n v="7593"/>
    <x v="0"/>
    <x v="0"/>
    <s v="Duo Discus T"/>
    <s v="POL"/>
    <s v="Není v databázi"/>
    <m/>
  </r>
  <r>
    <x v="499"/>
    <x v="4"/>
    <x v="1"/>
    <x v="55"/>
    <x v="3"/>
    <s v="EGC 2023 - Duo 20m"/>
    <s v="PL"/>
    <n v="2023"/>
    <n v="13"/>
    <n v="5058"/>
    <n v="1.085"/>
    <n v="6854"/>
    <n v="7437"/>
    <x v="0"/>
    <x v="0"/>
    <s v="Arcus T"/>
    <s v="KA"/>
    <s v="Není v databázi"/>
    <m/>
  </r>
  <r>
    <x v="500"/>
    <x v="4"/>
    <x v="1"/>
    <x v="55"/>
    <x v="3"/>
    <s v="EGC 2023 - Duo 20m"/>
    <s v="PL"/>
    <n v="2023"/>
    <n v="14"/>
    <n v="4987"/>
    <n v="1.085"/>
    <n v="6633"/>
    <n v="7197"/>
    <x v="0"/>
    <x v="0"/>
    <s v="Arcus M"/>
    <s v="CAR"/>
    <s v="Není v databázi"/>
    <m/>
  </r>
  <r>
    <x v="58"/>
    <x v="21"/>
    <x v="0"/>
    <x v="0"/>
    <x v="0"/>
    <s v="EGC 2023 - Duo 20m"/>
    <s v="PL"/>
    <n v="2023"/>
    <n v="15"/>
    <n v="4969"/>
    <n v="1.085"/>
    <n v="6471"/>
    <n v="7021"/>
    <x v="0"/>
    <x v="0"/>
    <s v="Arcus M"/>
    <s v="EY"/>
    <s v=""/>
    <m/>
  </r>
  <r>
    <x v="501"/>
    <x v="4"/>
    <x v="1"/>
    <x v="55"/>
    <x v="3"/>
    <s v="EGC 2023 - Duo 20m"/>
    <s v="PL"/>
    <n v="2023"/>
    <n v="16"/>
    <n v="4968"/>
    <n v="1.085"/>
    <n v="6327"/>
    <n v="6865"/>
    <x v="0"/>
    <x v="0"/>
    <s v="Arcus M"/>
    <n v="13"/>
    <s v="Není v databázi"/>
    <m/>
  </r>
  <r>
    <x v="502"/>
    <x v="4"/>
    <x v="1"/>
    <x v="55"/>
    <x v="3"/>
    <s v="EGC 2023 - Duo 20m"/>
    <s v="PL"/>
    <n v="2023"/>
    <n v="17"/>
    <n v="4721"/>
    <n v="1.085"/>
    <n v="5912"/>
    <n v="6415"/>
    <x v="0"/>
    <x v="0"/>
    <s v="Arcus M"/>
    <s v="BPG"/>
    <s v="Není v databázi"/>
    <m/>
  </r>
  <r>
    <x v="503"/>
    <x v="4"/>
    <x v="1"/>
    <x v="55"/>
    <x v="3"/>
    <s v="EGC 2023 - Duo 20m"/>
    <s v="PL"/>
    <n v="2023"/>
    <n v="18"/>
    <n v="4058"/>
    <n v="1.085"/>
    <n v="5039"/>
    <n v="5467"/>
    <x v="0"/>
    <x v="0"/>
    <s v="Arcus T"/>
    <s v="JT"/>
    <s v="Není v databázi"/>
    <m/>
  </r>
  <r>
    <x v="504"/>
    <x v="4"/>
    <x v="1"/>
    <x v="55"/>
    <x v="3"/>
    <s v="EGC 2023 - Duo 20m"/>
    <s v="PL"/>
    <n v="2023"/>
    <n v="19"/>
    <n v="3970"/>
    <n v="1.085"/>
    <n v="4799"/>
    <n v="5207"/>
    <x v="0"/>
    <x v="0"/>
    <s v="Arcus M"/>
    <n v="1"/>
    <s v="Není v databázi"/>
    <m/>
  </r>
  <r>
    <x v="32"/>
    <x v="14"/>
    <x v="0"/>
    <x v="21"/>
    <x v="0"/>
    <s v="EGC 2023 - Duo 20m"/>
    <s v="PL"/>
    <n v="2023"/>
    <n v="20"/>
    <n v="3760"/>
    <n v="1.085"/>
    <n v="4425"/>
    <n v="4801"/>
    <x v="0"/>
    <x v="0"/>
    <s v="HpH304 TS Twin Shark"/>
    <s v="FNC"/>
    <s v=""/>
    <m/>
  </r>
  <r>
    <x v="505"/>
    <x v="4"/>
    <x v="1"/>
    <x v="55"/>
    <x v="3"/>
    <s v="EGC 2023 - Duo 20m"/>
    <s v="PL"/>
    <n v="2023"/>
    <n v="21"/>
    <n v="3585"/>
    <n v="1.085"/>
    <n v="4090"/>
    <n v="4438"/>
    <x v="0"/>
    <x v="0"/>
    <s v="Arcus T"/>
    <s v="ZAR"/>
    <s v="Není v databázi"/>
    <m/>
  </r>
  <r>
    <x v="506"/>
    <x v="4"/>
    <x v="1"/>
    <x v="55"/>
    <x v="3"/>
    <s v="EGC 2023 - Duo 20m"/>
    <s v="PL"/>
    <n v="2023"/>
    <n v="22"/>
    <n v="2383"/>
    <n v="1.085"/>
    <n v="2624"/>
    <n v="2847"/>
    <x v="0"/>
    <x v="0"/>
    <s v="Arcus T"/>
    <s v="SQ"/>
    <s v="Není v databázi"/>
    <m/>
  </r>
  <r>
    <x v="507"/>
    <x v="4"/>
    <x v="1"/>
    <x v="160"/>
    <x v="3"/>
    <s v="JEGC 2023 - Klub"/>
    <s v="DK"/>
    <n v="2023"/>
    <n v="1"/>
    <n v="2823"/>
    <n v="1.02"/>
    <n v="10000"/>
    <n v="10200"/>
    <x v="0"/>
    <x v="0"/>
    <s v="LS 7"/>
    <s v="KT"/>
    <s v="Není v databázi"/>
    <m/>
  </r>
  <r>
    <x v="508"/>
    <x v="4"/>
    <x v="1"/>
    <x v="151"/>
    <x v="3"/>
    <s v="JEGC 2023 - Klub"/>
    <s v="DK"/>
    <n v="2023"/>
    <n v="2"/>
    <n v="2822"/>
    <n v="1.02"/>
    <n v="9912"/>
    <n v="10110"/>
    <x v="0"/>
    <x v="0"/>
    <s v="ASW 20"/>
    <n v="212"/>
    <s v="Není v databázi"/>
    <m/>
  </r>
  <r>
    <x v="147"/>
    <x v="4"/>
    <x v="1"/>
    <x v="147"/>
    <x v="3"/>
    <s v="JEGC 2023 - Klub"/>
    <s v="DK"/>
    <n v="2023"/>
    <n v="3"/>
    <n v="2773"/>
    <n v="1.02"/>
    <n v="9705"/>
    <n v="9899"/>
    <x v="0"/>
    <x v="0"/>
    <s v="ASW 20"/>
    <s v="WE"/>
    <s v="Není v databázi"/>
    <m/>
  </r>
  <r>
    <x v="509"/>
    <x v="4"/>
    <x v="1"/>
    <x v="147"/>
    <x v="3"/>
    <s v="JEGC 2023 - Klub"/>
    <s v="DK"/>
    <n v="2023"/>
    <n v="4"/>
    <n v="2764"/>
    <n v="1.02"/>
    <n v="9597"/>
    <n v="9789"/>
    <x v="0"/>
    <x v="0"/>
    <s v="ASW 20F"/>
    <s v="X29"/>
    <s v="Není v databázi"/>
    <m/>
  </r>
  <r>
    <x v="8"/>
    <x v="3"/>
    <x v="0"/>
    <x v="8"/>
    <x v="2"/>
    <s v="JEGC 2023 - Klub"/>
    <s v="DK"/>
    <n v="2023"/>
    <n v="5"/>
    <n v="2736"/>
    <n v="1.02"/>
    <n v="9441"/>
    <n v="9630"/>
    <x v="1"/>
    <x v="0"/>
    <s v="ASW 20"/>
    <s v="CPI"/>
    <s v="Junior v roce 2026"/>
    <m/>
  </r>
  <r>
    <x v="510"/>
    <x v="4"/>
    <x v="1"/>
    <x v="157"/>
    <x v="3"/>
    <s v="JEGC 2023 - Klub"/>
    <s v="DK"/>
    <n v="2023"/>
    <n v="6"/>
    <n v="2696"/>
    <n v="1.02"/>
    <n v="9257"/>
    <n v="9442"/>
    <x v="0"/>
    <x v="0"/>
    <s v="LS 4b"/>
    <s v="S4"/>
    <s v="Není v databázi"/>
    <m/>
  </r>
  <r>
    <x v="511"/>
    <x v="4"/>
    <x v="1"/>
    <x v="161"/>
    <x v="3"/>
    <s v="JEGC 2023 - Klub"/>
    <s v="DK"/>
    <n v="2023"/>
    <n v="7"/>
    <n v="2661"/>
    <n v="1.02"/>
    <n v="9084"/>
    <n v="9266"/>
    <x v="0"/>
    <x v="0"/>
    <s v="ASW 24"/>
    <s v="CK"/>
    <s v="Není v databázi"/>
    <m/>
  </r>
  <r>
    <x v="512"/>
    <x v="4"/>
    <x v="1"/>
    <x v="148"/>
    <x v="3"/>
    <s v="JEGC 2023 - Klub"/>
    <s v="DK"/>
    <n v="2023"/>
    <n v="8"/>
    <n v="2658"/>
    <n v="1.02"/>
    <n v="8991"/>
    <n v="9171"/>
    <x v="0"/>
    <x v="0"/>
    <s v="LS 4"/>
    <s v="7E"/>
    <s v="Není v databázi"/>
    <m/>
  </r>
  <r>
    <x v="513"/>
    <x v="4"/>
    <x v="1"/>
    <x v="158"/>
    <x v="3"/>
    <s v="JEGC 2023 - Klub"/>
    <s v="DK"/>
    <n v="2023"/>
    <n v="9"/>
    <n v="2650"/>
    <n v="1.02"/>
    <n v="8885"/>
    <n v="9063"/>
    <x v="0"/>
    <x v="0"/>
    <s v="Mini Nimbus"/>
    <s v="DF"/>
    <s v="Není v databázi"/>
    <m/>
  </r>
  <r>
    <x v="514"/>
    <x v="4"/>
    <x v="1"/>
    <x v="158"/>
    <x v="3"/>
    <s v="JEGC 2023 - Klub"/>
    <s v="DK"/>
    <n v="2023"/>
    <n v="10"/>
    <n v="2626"/>
    <n v="1.02"/>
    <n v="8740"/>
    <n v="8915"/>
    <x v="0"/>
    <x v="0"/>
    <s v="ASW 20F"/>
    <s v="LN"/>
    <s v="Není v databázi"/>
    <m/>
  </r>
  <r>
    <x v="515"/>
    <x v="4"/>
    <x v="1"/>
    <x v="148"/>
    <x v="3"/>
    <s v="JEGC 2023 - Klub"/>
    <s v="DK"/>
    <n v="2023"/>
    <n v="10"/>
    <n v="2626"/>
    <n v="1.02"/>
    <n v="8740"/>
    <n v="8915"/>
    <x v="0"/>
    <x v="0"/>
    <s v="LS 4"/>
    <s v="FT"/>
    <s v="Není v databázi"/>
    <m/>
  </r>
  <r>
    <x v="516"/>
    <x v="4"/>
    <x v="1"/>
    <x v="153"/>
    <x v="3"/>
    <s v="JEGC 2023 - Klub"/>
    <s v="DK"/>
    <n v="2023"/>
    <n v="12"/>
    <n v="2623"/>
    <n v="1.02"/>
    <n v="8561"/>
    <n v="8732"/>
    <x v="0"/>
    <x v="0"/>
    <s v="ASW 20"/>
    <s v="CB"/>
    <s v="Není v databázi"/>
    <m/>
  </r>
  <r>
    <x v="517"/>
    <x v="4"/>
    <x v="1"/>
    <x v="153"/>
    <x v="3"/>
    <s v="JEGC 2023 - Klub"/>
    <s v="DK"/>
    <n v="2023"/>
    <n v="13"/>
    <n v="2605"/>
    <n v="1.02"/>
    <n v="8431"/>
    <n v="8600"/>
    <x v="0"/>
    <x v="0"/>
    <s v="LS 3a"/>
    <s v="TM"/>
    <s v="Není v databázi"/>
    <m/>
  </r>
  <r>
    <x v="518"/>
    <x v="4"/>
    <x v="1"/>
    <x v="148"/>
    <x v="3"/>
    <s v="JEGC 2023 - Klub"/>
    <s v="DK"/>
    <n v="2023"/>
    <n v="14"/>
    <n v="2589"/>
    <n v="1.02"/>
    <n v="8305"/>
    <n v="8471"/>
    <x v="0"/>
    <x v="0"/>
    <s v="LS 4b"/>
    <s v="I"/>
    <s v="Není v databázi"/>
    <m/>
  </r>
  <r>
    <x v="519"/>
    <x v="4"/>
    <x v="1"/>
    <x v="149"/>
    <x v="3"/>
    <s v="JEGC 2023 - Klub"/>
    <s v="DK"/>
    <n v="2023"/>
    <n v="15"/>
    <n v="2573"/>
    <n v="1.02"/>
    <n v="8180"/>
    <n v="8344"/>
    <x v="0"/>
    <x v="0"/>
    <s v="Discus b"/>
    <s v="5I"/>
    <s v="Není v databázi"/>
    <m/>
  </r>
  <r>
    <x v="520"/>
    <x v="4"/>
    <x v="1"/>
    <x v="162"/>
    <x v="3"/>
    <s v="JEGC 2023 - Klub"/>
    <s v="DK"/>
    <n v="2023"/>
    <n v="16"/>
    <n v="2555"/>
    <n v="1.02"/>
    <n v="8050"/>
    <n v="8211"/>
    <x v="0"/>
    <x v="0"/>
    <s v="LS 4"/>
    <s v="XD"/>
    <s v="Není v databázi"/>
    <m/>
  </r>
  <r>
    <x v="521"/>
    <x v="4"/>
    <x v="1"/>
    <x v="157"/>
    <x v="3"/>
    <s v="JEGC 2023 - Klub"/>
    <s v="DK"/>
    <n v="2023"/>
    <n v="17"/>
    <n v="2499"/>
    <n v="1.02"/>
    <n v="7825"/>
    <n v="7982"/>
    <x v="0"/>
    <x v="0"/>
    <s v="LS 4"/>
    <s v="AU"/>
    <s v="Není v databázi"/>
    <m/>
  </r>
  <r>
    <x v="522"/>
    <x v="4"/>
    <x v="1"/>
    <x v="160"/>
    <x v="3"/>
    <s v="JEGC 2023 - Klub"/>
    <s v="DK"/>
    <n v="2023"/>
    <n v="18"/>
    <n v="2451"/>
    <n v="1.02"/>
    <n v="7620"/>
    <n v="7772"/>
    <x v="0"/>
    <x v="0"/>
    <s v="LS 7"/>
    <s v="HV"/>
    <s v="Není v databázi"/>
    <m/>
  </r>
  <r>
    <x v="523"/>
    <x v="4"/>
    <x v="1"/>
    <x v="157"/>
    <x v="3"/>
    <s v="JEGC 2023 - Klub"/>
    <s v="DK"/>
    <n v="2023"/>
    <n v="19"/>
    <n v="2440"/>
    <n v="1.02"/>
    <n v="7507"/>
    <n v="7657"/>
    <x v="0"/>
    <x v="0"/>
    <s v="LS 4a"/>
    <s v="AG"/>
    <s v="Není v databázi"/>
    <m/>
  </r>
  <r>
    <x v="524"/>
    <x v="4"/>
    <x v="1"/>
    <x v="160"/>
    <x v="3"/>
    <s v="JEGC 2023 - Klub"/>
    <s v="DK"/>
    <n v="2023"/>
    <n v="20"/>
    <n v="2436"/>
    <n v="1.02"/>
    <n v="7412"/>
    <n v="7560"/>
    <x v="0"/>
    <x v="0"/>
    <s v="LS 7"/>
    <s v="GE"/>
    <s v="Není v databázi"/>
    <m/>
  </r>
  <r>
    <x v="525"/>
    <x v="4"/>
    <x v="1"/>
    <x v="163"/>
    <x v="3"/>
    <s v="JEGC 2023 - Klub"/>
    <s v="DK"/>
    <n v="2023"/>
    <n v="21"/>
    <n v="2382"/>
    <n v="1.02"/>
    <n v="7192"/>
    <n v="7336"/>
    <x v="0"/>
    <x v="0"/>
    <s v="ASW 20F"/>
    <s v="W4"/>
    <s v="Není v databázi"/>
    <m/>
  </r>
  <r>
    <x v="526"/>
    <x v="4"/>
    <x v="1"/>
    <x v="158"/>
    <x v="3"/>
    <s v="JEGC 2023 - Klub"/>
    <s v="DK"/>
    <n v="2023"/>
    <n v="22"/>
    <n v="2305"/>
    <n v="1.02"/>
    <n v="6916"/>
    <n v="7054"/>
    <x v="0"/>
    <x v="0"/>
    <s v="SZD 55-1"/>
    <s v="JB"/>
    <s v="Není v databázi"/>
    <m/>
  </r>
  <r>
    <x v="25"/>
    <x v="17"/>
    <x v="0"/>
    <x v="17"/>
    <x v="0"/>
    <s v="JEGC 2023 - Klub"/>
    <s v="DK"/>
    <n v="2023"/>
    <n v="23"/>
    <n v="2279"/>
    <n v="1.02"/>
    <n v="6765"/>
    <n v="6900"/>
    <x v="0"/>
    <x v="0"/>
    <s v="ASW 20L"/>
    <s v="CX"/>
    <s v=""/>
    <m/>
  </r>
  <r>
    <x v="527"/>
    <x v="4"/>
    <x v="1"/>
    <x v="159"/>
    <x v="3"/>
    <s v="JEGC 2023 - Klub"/>
    <s v="DK"/>
    <n v="2023"/>
    <n v="24"/>
    <n v="2151"/>
    <n v="1.02"/>
    <n v="6362"/>
    <n v="6489"/>
    <x v="0"/>
    <x v="0"/>
    <s v="LS 4"/>
    <s v="WG"/>
    <s v="Není v databázi"/>
    <m/>
  </r>
  <r>
    <x v="9"/>
    <x v="7"/>
    <x v="0"/>
    <x v="9"/>
    <x v="1"/>
    <s v="JEGC 2023 - Klub"/>
    <s v="DK"/>
    <n v="2023"/>
    <n v="25"/>
    <n v="2144"/>
    <n v="1.02"/>
    <n v="6259"/>
    <n v="6384"/>
    <x v="0"/>
    <x v="0"/>
    <s v="ASW 20C"/>
    <s v="VW"/>
    <s v="Junior v roce 2026"/>
    <m/>
  </r>
  <r>
    <x v="528"/>
    <x v="4"/>
    <x v="1"/>
    <x v="164"/>
    <x v="3"/>
    <s v="JEGC 2023 - Klub"/>
    <s v="DK"/>
    <n v="2023"/>
    <n v="26"/>
    <n v="2061"/>
    <n v="1.02"/>
    <n v="5968"/>
    <n v="6087"/>
    <x v="0"/>
    <x v="0"/>
    <s v="LS 1f"/>
    <s v="ISV"/>
    <s v="Není v databázi"/>
    <m/>
  </r>
  <r>
    <x v="529"/>
    <x v="4"/>
    <x v="1"/>
    <x v="151"/>
    <x v="3"/>
    <s v="JEGC 2023 - Klub"/>
    <s v="DK"/>
    <n v="2023"/>
    <n v="27"/>
    <n v="2032"/>
    <n v="1.02"/>
    <n v="5810"/>
    <n v="5926"/>
    <x v="0"/>
    <x v="0"/>
    <s v="ASW 20L"/>
    <s v="ENW"/>
    <s v="Není v databázi"/>
    <m/>
  </r>
  <r>
    <x v="530"/>
    <x v="4"/>
    <x v="1"/>
    <x v="162"/>
    <x v="3"/>
    <s v="JEGC 2023 - Klub"/>
    <s v="DK"/>
    <n v="2023"/>
    <n v="28"/>
    <n v="2028"/>
    <n v="1.02"/>
    <n v="5714"/>
    <n v="5828"/>
    <x v="0"/>
    <x v="0"/>
    <s v="LS 3a"/>
    <s v="CP"/>
    <s v="Není v databázi"/>
    <m/>
  </r>
  <r>
    <x v="531"/>
    <x v="4"/>
    <x v="1"/>
    <x v="165"/>
    <x v="3"/>
    <s v="JEGC 2023 - Klub"/>
    <s v="DK"/>
    <n v="2023"/>
    <n v="29"/>
    <n v="1882"/>
    <n v="1.02"/>
    <n v="5267"/>
    <n v="5372"/>
    <x v="0"/>
    <x v="0"/>
    <s v="Glasflügel 304"/>
    <s v="JM"/>
    <s v="Není v databázi"/>
    <m/>
  </r>
  <r>
    <x v="532"/>
    <x v="4"/>
    <x v="1"/>
    <x v="159"/>
    <x v="3"/>
    <s v="JEGC 2023 - Klub"/>
    <s v="DK"/>
    <n v="2023"/>
    <n v="30"/>
    <n v="1844"/>
    <n v="1.02"/>
    <n v="5087"/>
    <n v="5189"/>
    <x v="0"/>
    <x v="0"/>
    <s v="Discus b"/>
    <s v="S5"/>
    <s v="Není v databázi"/>
    <m/>
  </r>
  <r>
    <x v="533"/>
    <x v="4"/>
    <x v="1"/>
    <x v="162"/>
    <x v="3"/>
    <s v="JEGC 2023 - Klub"/>
    <s v="DK"/>
    <n v="2023"/>
    <n v="31"/>
    <n v="1783"/>
    <n v="1.02"/>
    <n v="4850"/>
    <n v="4947"/>
    <x v="0"/>
    <x v="0"/>
    <s v="DG 100 G Elan"/>
    <s v="AB"/>
    <s v="Není v databázi"/>
    <m/>
  </r>
  <r>
    <x v="534"/>
    <x v="4"/>
    <x v="1"/>
    <x v="147"/>
    <x v="3"/>
    <s v="JEGC 2023 - Klub"/>
    <s v="DK"/>
    <n v="2023"/>
    <n v="32"/>
    <n v="1779"/>
    <n v="1.02"/>
    <n v="4754"/>
    <n v="4849"/>
    <x v="0"/>
    <x v="0"/>
    <s v="LS 7 WL"/>
    <s v="IAG"/>
    <s v="Není v databázi"/>
    <m/>
  </r>
  <r>
    <x v="535"/>
    <x v="4"/>
    <x v="1"/>
    <x v="166"/>
    <x v="3"/>
    <s v="JEGC 2023 - Klub"/>
    <s v="DK"/>
    <n v="2023"/>
    <n v="33"/>
    <n v="1765"/>
    <n v="1.02"/>
    <n v="4634"/>
    <n v="4727"/>
    <x v="0"/>
    <x v="0"/>
    <s v="ASW 15"/>
    <s v="PP"/>
    <s v="Není v databázi"/>
    <m/>
  </r>
  <r>
    <x v="536"/>
    <x v="4"/>
    <x v="1"/>
    <x v="163"/>
    <x v="3"/>
    <s v="JEGC 2023 - Klub"/>
    <s v="DK"/>
    <n v="2023"/>
    <n v="34"/>
    <n v="1706"/>
    <n v="1.02"/>
    <n v="4402"/>
    <n v="4490"/>
    <x v="0"/>
    <x v="0"/>
    <s v="ASW 20F"/>
    <s v="VJ"/>
    <s v="Není v databázi"/>
    <m/>
  </r>
  <r>
    <x v="354"/>
    <x v="4"/>
    <x v="1"/>
    <x v="165"/>
    <x v="3"/>
    <s v="JEGC 2023 - Klub"/>
    <s v="DK"/>
    <n v="2023"/>
    <n v="35"/>
    <n v="1661"/>
    <n v="1.02"/>
    <n v="4204"/>
    <n v="4288"/>
    <x v="0"/>
    <x v="0"/>
    <s v="ASW 19 B"/>
    <s v="DB"/>
    <s v="Není v databázi"/>
    <m/>
  </r>
  <r>
    <x v="537"/>
    <x v="4"/>
    <x v="1"/>
    <x v="153"/>
    <x v="3"/>
    <s v="JEGC 2023 - Klub"/>
    <s v="DK"/>
    <n v="2023"/>
    <n v="36"/>
    <n v="1450"/>
    <n v="1.02"/>
    <n v="3595"/>
    <n v="3667"/>
    <x v="0"/>
    <x v="0"/>
    <s v="LS 4"/>
    <s v="MD"/>
    <s v="Není v databázi"/>
    <m/>
  </r>
  <r>
    <x v="3"/>
    <x v="3"/>
    <x v="0"/>
    <x v="3"/>
    <x v="2"/>
    <s v="JEGC 2023 - Std"/>
    <s v="DK"/>
    <n v="2023"/>
    <n v="1"/>
    <n v="2878"/>
    <n v="1.02"/>
    <n v="10000"/>
    <n v="10200"/>
    <x v="1"/>
    <x v="0"/>
    <s v="LS 8a"/>
    <s v="AUI"/>
    <s v="Junior v roce 2026"/>
    <m/>
  </r>
  <r>
    <x v="137"/>
    <x v="48"/>
    <x v="0"/>
    <x v="15"/>
    <x v="1"/>
    <s v="JEGC 2023 - Std"/>
    <s v="DK"/>
    <n v="2023"/>
    <n v="2"/>
    <n v="2793"/>
    <n v="1.02"/>
    <n v="9635"/>
    <n v="9828"/>
    <x v="1"/>
    <x v="0"/>
    <s v="LS 8"/>
    <s v="EU"/>
    <s v=""/>
    <m/>
  </r>
  <r>
    <x v="53"/>
    <x v="34"/>
    <x v="2"/>
    <x v="2"/>
    <x v="0"/>
    <s v="JEGC 2023 - Std"/>
    <s v="DK"/>
    <n v="2023"/>
    <n v="3"/>
    <n v="2769"/>
    <n v="1.02"/>
    <n v="9419"/>
    <n v="9607"/>
    <x v="1"/>
    <x v="1"/>
    <s v="LS 8"/>
    <s v="W8"/>
    <s v="Junior v roce 2026"/>
    <m/>
  </r>
  <r>
    <x v="538"/>
    <x v="4"/>
    <x v="1"/>
    <x v="153"/>
    <x v="3"/>
    <s v="JEGC 2023 - Std"/>
    <s v="DK"/>
    <n v="2023"/>
    <n v="4"/>
    <n v="2723"/>
    <n v="1.02"/>
    <n v="9149"/>
    <n v="9332"/>
    <x v="0"/>
    <x v="0"/>
    <s v="LS 8 Neo"/>
    <s v="EC"/>
    <s v="Není v databázi"/>
    <m/>
  </r>
  <r>
    <x v="539"/>
    <x v="4"/>
    <x v="1"/>
    <x v="153"/>
    <x v="3"/>
    <s v="JEGC 2023 - Std"/>
    <s v="DK"/>
    <n v="2023"/>
    <n v="5"/>
    <n v="2655"/>
    <n v="1.02"/>
    <n v="8826"/>
    <n v="9003"/>
    <x v="0"/>
    <x v="0"/>
    <s v="Discus 2a"/>
    <s v="MK"/>
    <s v="Není v databázi"/>
    <m/>
  </r>
  <r>
    <x v="540"/>
    <x v="4"/>
    <x v="1"/>
    <x v="157"/>
    <x v="3"/>
    <s v="JEGC 2023 - Std"/>
    <s v="DK"/>
    <n v="2023"/>
    <n v="6"/>
    <n v="2652"/>
    <n v="1.02"/>
    <n v="8661"/>
    <n v="8834"/>
    <x v="0"/>
    <x v="0"/>
    <s v="LS 8 Neo"/>
    <s v="VNE"/>
    <s v="Není v databázi"/>
    <m/>
  </r>
  <r>
    <x v="541"/>
    <x v="4"/>
    <x v="1"/>
    <x v="151"/>
    <x v="3"/>
    <s v="JEGC 2023 - Std"/>
    <s v="DK"/>
    <n v="2023"/>
    <n v="7"/>
    <n v="2648"/>
    <n v="1.02"/>
    <n v="8493"/>
    <n v="8663"/>
    <x v="0"/>
    <x v="0"/>
    <s v="LS 8"/>
    <n v="325"/>
    <s v="Není v databázi"/>
    <m/>
  </r>
  <r>
    <x v="542"/>
    <x v="4"/>
    <x v="1"/>
    <x v="153"/>
    <x v="3"/>
    <s v="JEGC 2023 - Std"/>
    <s v="DK"/>
    <n v="2023"/>
    <n v="8"/>
    <n v="2572"/>
    <n v="1.02"/>
    <n v="8150"/>
    <n v="8313"/>
    <x v="0"/>
    <x v="0"/>
    <s v="LS8"/>
    <s v="KE"/>
    <s v="Není v databázi"/>
    <m/>
  </r>
  <r>
    <x v="543"/>
    <x v="4"/>
    <x v="1"/>
    <x v="148"/>
    <x v="3"/>
    <s v="JEGC 2023 - Std"/>
    <s v="DK"/>
    <n v="2023"/>
    <n v="9"/>
    <n v="2552"/>
    <n v="1.02"/>
    <n v="7944"/>
    <n v="8103"/>
    <x v="0"/>
    <x v="0"/>
    <s v="LS 8"/>
    <s v="C"/>
    <s v="Není v databázi"/>
    <m/>
  </r>
  <r>
    <x v="154"/>
    <x v="4"/>
    <x v="1"/>
    <x v="147"/>
    <x v="3"/>
    <s v="JEGC 2023 - Std"/>
    <s v="DK"/>
    <n v="2023"/>
    <n v="10"/>
    <n v="2534"/>
    <n v="1.02"/>
    <n v="7742"/>
    <n v="7897"/>
    <x v="0"/>
    <x v="0"/>
    <s v="Discus 2a"/>
    <s v="AX"/>
    <s v="Není v databázi"/>
    <m/>
  </r>
  <r>
    <x v="544"/>
    <x v="4"/>
    <x v="1"/>
    <x v="151"/>
    <x v="3"/>
    <s v="JEGC 2023 - Std"/>
    <s v="DK"/>
    <n v="2023"/>
    <n v="11"/>
    <n v="2468"/>
    <n v="1.02"/>
    <n v="7424"/>
    <n v="7572"/>
    <x v="0"/>
    <x v="0"/>
    <s v="LS 8"/>
    <n v="302"/>
    <s v="Není v databázi"/>
    <m/>
  </r>
  <r>
    <x v="545"/>
    <x v="4"/>
    <x v="1"/>
    <x v="147"/>
    <x v="3"/>
    <s v="JEGC 2023 - Std"/>
    <s v="DK"/>
    <n v="2023"/>
    <n v="12"/>
    <n v="2427"/>
    <n v="1.02"/>
    <n v="7166"/>
    <n v="7309"/>
    <x v="0"/>
    <x v="0"/>
    <s v="LS 8"/>
    <s v="CA"/>
    <s v="Není v databázi"/>
    <m/>
  </r>
  <r>
    <x v="546"/>
    <x v="4"/>
    <x v="1"/>
    <x v="158"/>
    <x v="3"/>
    <s v="JEGC 2023 - Std"/>
    <s v="DK"/>
    <n v="2023"/>
    <n v="13"/>
    <n v="2245"/>
    <n v="1.02"/>
    <n v="6566"/>
    <n v="6697"/>
    <x v="0"/>
    <x v="0"/>
    <s v="LS 8"/>
    <s v="LOT"/>
    <s v="Není v databázi"/>
    <m/>
  </r>
  <r>
    <x v="547"/>
    <x v="4"/>
    <x v="1"/>
    <x v="148"/>
    <x v="3"/>
    <s v="JEGC 2023 - Std"/>
    <s v="DK"/>
    <n v="2023"/>
    <n v="14"/>
    <n v="2181"/>
    <n v="1.02"/>
    <n v="6252"/>
    <n v="6377"/>
    <x v="0"/>
    <x v="0"/>
    <s v="LS 8 Neo"/>
    <s v="FJ"/>
    <s v="Není v databázi"/>
    <m/>
  </r>
  <r>
    <x v="548"/>
    <x v="4"/>
    <x v="1"/>
    <x v="165"/>
    <x v="3"/>
    <s v="JEGC 2023 - Std"/>
    <s v="DK"/>
    <n v="2023"/>
    <n v="15"/>
    <n v="1990"/>
    <n v="1.02"/>
    <n v="5630"/>
    <n v="5743"/>
    <x v="0"/>
    <x v="0"/>
    <s v="Discus 2a"/>
    <s v="HAL"/>
    <s v="Není v databázi"/>
    <m/>
  </r>
  <r>
    <x v="549"/>
    <x v="4"/>
    <x v="1"/>
    <x v="148"/>
    <x v="3"/>
    <s v="JEGC 2023 - Std"/>
    <s v="DK"/>
    <n v="2023"/>
    <n v="16"/>
    <n v="1954"/>
    <n v="1.02"/>
    <n v="5384"/>
    <n v="5492"/>
    <x v="0"/>
    <x v="0"/>
    <s v="Discus 2a"/>
    <s v="JLA"/>
    <s v="Není v databázi"/>
    <m/>
  </r>
  <r>
    <x v="550"/>
    <x v="4"/>
    <x v="1"/>
    <x v="159"/>
    <x v="3"/>
    <s v="JEGC 2023 - Std"/>
    <s v="DK"/>
    <n v="2023"/>
    <n v="17"/>
    <n v="1923"/>
    <n v="1.02"/>
    <n v="5151"/>
    <n v="5254"/>
    <x v="0"/>
    <x v="0"/>
    <s v="Discus 2b"/>
    <s v="Z1"/>
    <s v="Není v databázi"/>
    <m/>
  </r>
  <r>
    <x v="551"/>
    <x v="4"/>
    <x v="1"/>
    <x v="158"/>
    <x v="3"/>
    <s v="JEGC 2023 - Std"/>
    <s v="DK"/>
    <n v="2023"/>
    <n v="18"/>
    <n v="1912"/>
    <n v="1.02"/>
    <n v="4966"/>
    <n v="5065"/>
    <x v="0"/>
    <x v="0"/>
    <s v="Discus 2a"/>
    <s v="Y"/>
    <s v="Není v databázi"/>
    <m/>
  </r>
  <r>
    <x v="552"/>
    <x v="4"/>
    <x v="1"/>
    <x v="159"/>
    <x v="3"/>
    <s v="JEGC 2023 - Std"/>
    <s v="DK"/>
    <n v="2023"/>
    <n v="19"/>
    <n v="1612"/>
    <n v="1.02"/>
    <n v="4079"/>
    <n v="4161"/>
    <x v="0"/>
    <x v="0"/>
    <s v="Discus 2b"/>
    <s v="Z2"/>
    <s v="Není v databázi"/>
    <m/>
  </r>
  <r>
    <x v="553"/>
    <x v="4"/>
    <x v="1"/>
    <x v="159"/>
    <x v="3"/>
    <s v="JEGC 2023 - Std"/>
    <s v="DK"/>
    <n v="2023"/>
    <n v="20"/>
    <n v="1354"/>
    <n v="1.02"/>
    <n v="3293"/>
    <n v="3359"/>
    <x v="0"/>
    <x v="0"/>
    <s v="Discus 2b"/>
    <s v="UB"/>
    <s v="Není v databázi"/>
    <m/>
  </r>
  <r>
    <x v="554"/>
    <x v="4"/>
    <x v="1"/>
    <x v="55"/>
    <x v="3"/>
    <s v="SGP Final 2023"/>
    <s v="IT"/>
    <n v="2023"/>
    <n v="1"/>
    <n v="19"/>
    <n v="1.0649999999999999"/>
    <n v="10000"/>
    <n v="10650"/>
    <x v="0"/>
    <x v="0"/>
    <s v="ASG-29 18m"/>
    <s v="SL"/>
    <s v="Není v databázi"/>
    <m/>
  </r>
  <r>
    <x v="555"/>
    <x v="4"/>
    <x v="1"/>
    <x v="55"/>
    <x v="3"/>
    <s v="SGP Final 2023"/>
    <s v="IT"/>
    <n v="2023"/>
    <n v="2"/>
    <n v="19"/>
    <n v="1.0649999999999999"/>
    <n v="9444"/>
    <n v="10058"/>
    <x v="0"/>
    <x v="0"/>
    <s v="JS3 - 18m Jet"/>
    <s v="JG"/>
    <s v="Není v databázi"/>
    <m/>
  </r>
  <r>
    <x v="556"/>
    <x v="4"/>
    <x v="1"/>
    <x v="55"/>
    <x v="3"/>
    <s v="SGP Final 2023"/>
    <s v="IT"/>
    <n v="2023"/>
    <n v="3"/>
    <n v="18"/>
    <n v="1.0649999999999999"/>
    <n v="8889"/>
    <n v="9467"/>
    <x v="0"/>
    <x v="0"/>
    <s v="JS3 - 18m Jet"/>
    <s v="HL"/>
    <s v="Není v databázi"/>
    <m/>
  </r>
  <r>
    <x v="557"/>
    <x v="4"/>
    <x v="1"/>
    <x v="55"/>
    <x v="3"/>
    <s v="SGP Final 2023"/>
    <s v="IT"/>
    <n v="2023"/>
    <n v="4"/>
    <n v="17"/>
    <n v="1.0649999999999999"/>
    <n v="8333"/>
    <n v="8875"/>
    <x v="0"/>
    <x v="0"/>
    <s v="Ventus 3"/>
    <s v="3V"/>
    <s v="Není v databázi"/>
    <m/>
  </r>
  <r>
    <x v="558"/>
    <x v="4"/>
    <x v="1"/>
    <x v="55"/>
    <x v="3"/>
    <s v="SGP Final 2023"/>
    <s v="IT"/>
    <n v="2023"/>
    <n v="5"/>
    <n v="16"/>
    <n v="1.0649999999999999"/>
    <n v="7778"/>
    <n v="8284"/>
    <x v="0"/>
    <x v="0"/>
    <s v="AS33"/>
    <s v="MA"/>
    <s v="Není v databázi"/>
    <m/>
  </r>
  <r>
    <x v="313"/>
    <x v="4"/>
    <x v="1"/>
    <x v="55"/>
    <x v="3"/>
    <s v="SGP Final 2023"/>
    <s v="IT"/>
    <n v="2023"/>
    <n v="6"/>
    <n v="14"/>
    <n v="1.0649999999999999"/>
    <n v="7222"/>
    <n v="7691"/>
    <x v="0"/>
    <x v="0"/>
    <s v="Ventus 3"/>
    <s v="S"/>
    <s v="Není v databázi"/>
    <m/>
  </r>
  <r>
    <x v="314"/>
    <x v="4"/>
    <x v="1"/>
    <x v="55"/>
    <x v="3"/>
    <s v="SGP Final 2023"/>
    <s v="IT"/>
    <n v="2023"/>
    <n v="7"/>
    <n v="14"/>
    <n v="1.0649999999999999"/>
    <n v="6667"/>
    <n v="7100"/>
    <x v="0"/>
    <x v="0"/>
    <s v="Ventus 3"/>
    <s v="NB"/>
    <s v="Není v databázi"/>
    <m/>
  </r>
  <r>
    <x v="559"/>
    <x v="4"/>
    <x v="1"/>
    <x v="55"/>
    <x v="3"/>
    <s v="SGP Final 2023"/>
    <s v="IT"/>
    <n v="2023"/>
    <n v="8"/>
    <n v="10"/>
    <n v="1.0649999999999999"/>
    <n v="6111"/>
    <n v="6508"/>
    <x v="0"/>
    <x v="0"/>
    <s v="Ventus 3T"/>
    <s v="MY"/>
    <s v="Není v databázi"/>
    <m/>
  </r>
  <r>
    <x v="350"/>
    <x v="4"/>
    <x v="1"/>
    <x v="55"/>
    <x v="3"/>
    <s v="SGP Final 2023"/>
    <s v="IT"/>
    <n v="2023"/>
    <n v="9"/>
    <n v="10"/>
    <n v="1.0649999999999999"/>
    <n v="5556"/>
    <n v="5917"/>
    <x v="0"/>
    <x v="0"/>
    <s v="ASG-29 18m"/>
    <s v="MS"/>
    <s v="Není v databázi"/>
    <m/>
  </r>
  <r>
    <x v="368"/>
    <x v="4"/>
    <x v="1"/>
    <x v="55"/>
    <x v="3"/>
    <s v="SGP Final 2023"/>
    <s v="IT"/>
    <n v="2023"/>
    <n v="10"/>
    <n v="10"/>
    <n v="1.0649999999999999"/>
    <n v="5000"/>
    <n v="5325"/>
    <x v="0"/>
    <x v="0"/>
    <s v="JS3 - 18m Jet"/>
    <s v="CT"/>
    <s v="Není v databázi"/>
    <m/>
  </r>
  <r>
    <x v="447"/>
    <x v="4"/>
    <x v="1"/>
    <x v="55"/>
    <x v="3"/>
    <s v="SGP Final 2023"/>
    <s v="IT"/>
    <n v="2023"/>
    <n v="11"/>
    <n v="9"/>
    <n v="1.0649999999999999"/>
    <n v="4444"/>
    <n v="4733"/>
    <x v="0"/>
    <x v="0"/>
    <s v="JS-1 18m"/>
    <s v="P"/>
    <s v="Není v databázi"/>
    <m/>
  </r>
  <r>
    <x v="560"/>
    <x v="4"/>
    <x v="1"/>
    <x v="55"/>
    <x v="3"/>
    <s v="SGP Final 2023"/>
    <s v="IT"/>
    <n v="2023"/>
    <n v="12"/>
    <n v="8"/>
    <n v="1.0649999999999999"/>
    <n v="3889"/>
    <n v="4142"/>
    <x v="0"/>
    <x v="0"/>
    <s v="Ventus 3"/>
    <s v="GT"/>
    <s v="Není v databázi"/>
    <m/>
  </r>
  <r>
    <x v="561"/>
    <x v="4"/>
    <x v="1"/>
    <x v="55"/>
    <x v="3"/>
    <s v="SGP Final 2023"/>
    <s v="IT"/>
    <n v="2023"/>
    <n v="13"/>
    <n v="6"/>
    <n v="1.0649999999999999"/>
    <n v="3333"/>
    <n v="3550"/>
    <x v="0"/>
    <x v="0"/>
    <s v="Ventus 3 FES"/>
    <s v="Y"/>
    <s v="Není v databázi"/>
    <m/>
  </r>
  <r>
    <x v="28"/>
    <x v="20"/>
    <x v="0"/>
    <x v="18"/>
    <x v="2"/>
    <s v="SGP Final 2023"/>
    <s v="IT"/>
    <n v="2023"/>
    <n v="14"/>
    <n v="5"/>
    <n v="1.0649999999999999"/>
    <n v="2778"/>
    <n v="2959"/>
    <x v="0"/>
    <x v="0"/>
    <s v="AS33es"/>
    <n v="12"/>
    <s v=""/>
    <m/>
  </r>
  <r>
    <x v="562"/>
    <x v="4"/>
    <x v="1"/>
    <x v="55"/>
    <x v="3"/>
    <s v="SGP Final 2023"/>
    <s v="IT"/>
    <n v="2023"/>
    <n v="15"/>
    <n v="4"/>
    <n v="1.0649999999999999"/>
    <n v="2222"/>
    <n v="2366"/>
    <x v="0"/>
    <x v="0"/>
    <s v="ASG-29 18m"/>
    <s v="1L"/>
    <s v="Není v databázi"/>
    <m/>
  </r>
  <r>
    <x v="563"/>
    <x v="4"/>
    <x v="1"/>
    <x v="55"/>
    <x v="3"/>
    <s v="SGP Final 2023"/>
    <s v="IT"/>
    <n v="2023"/>
    <n v="16"/>
    <n v="3"/>
    <n v="1.0649999999999999"/>
    <n v="1667"/>
    <n v="1775"/>
    <x v="0"/>
    <x v="0"/>
    <s v="AS33es"/>
    <s v="FUN"/>
    <s v="Není v databázi"/>
    <m/>
  </r>
  <r>
    <x v="564"/>
    <x v="4"/>
    <x v="1"/>
    <x v="55"/>
    <x v="3"/>
    <s v="SGP Final 2023"/>
    <s v="IT"/>
    <n v="2023"/>
    <n v="17"/>
    <n v="3"/>
    <n v="1.0649999999999999"/>
    <n v="1111"/>
    <n v="1183"/>
    <x v="0"/>
    <x v="0"/>
    <s v="AS33es"/>
    <s v="YO"/>
    <s v="Není v databázi"/>
    <m/>
  </r>
  <r>
    <x v="565"/>
    <x v="4"/>
    <x v="1"/>
    <x v="55"/>
    <x v="3"/>
    <s v="SGP Final 2023"/>
    <s v="IT"/>
    <n v="2023"/>
    <n v="18"/>
    <n v="0"/>
    <n v="1.0649999999999999"/>
    <n v="556"/>
    <n v="592"/>
    <x v="0"/>
    <x v="0"/>
    <s v="Ventus-3 FES"/>
    <s v="LZ"/>
    <s v="Není v databázi"/>
    <m/>
  </r>
  <r>
    <x v="566"/>
    <x v="4"/>
    <x v="1"/>
    <x v="55"/>
    <x v="3"/>
    <s v="SGP Final 2023"/>
    <s v="IT"/>
    <n v="2023"/>
    <n v="19"/>
    <n v="0"/>
    <n v="1.0649999999999999"/>
    <n v="0"/>
    <n v="0"/>
    <x v="0"/>
    <x v="0"/>
    <s v="JS-1 18m"/>
    <s v="SD"/>
    <s v="Není v databázi"/>
    <m/>
  </r>
  <r>
    <x v="313"/>
    <x v="4"/>
    <x v="1"/>
    <x v="158"/>
    <x v="3"/>
    <s v="WGC 2023 - 15m"/>
    <s v="AU"/>
    <n v="2023"/>
    <n v="1"/>
    <n v="9121"/>
    <n v="1.125"/>
    <n v="10000"/>
    <n v="11250"/>
    <x v="0"/>
    <x v="0"/>
    <s v="Diana 2"/>
    <s v="ZJ"/>
    <s v="Není v databázi"/>
    <m/>
  </r>
  <r>
    <x v="567"/>
    <x v="4"/>
    <x v="1"/>
    <x v="148"/>
    <x v="3"/>
    <s v="WGC 2023 - 15m"/>
    <s v="AU"/>
    <n v="2023"/>
    <n v="2"/>
    <n v="8995"/>
    <n v="1.125"/>
    <n v="9788"/>
    <n v="11012"/>
    <x v="0"/>
    <x v="0"/>
    <s v="Ventus-3T"/>
    <s v="IYB"/>
    <s v="Není v databázi"/>
    <m/>
  </r>
  <r>
    <x v="568"/>
    <x v="4"/>
    <x v="1"/>
    <x v="148"/>
    <x v="3"/>
    <s v="WGC 2023 - 15m"/>
    <s v="AU"/>
    <n v="2023"/>
    <n v="3"/>
    <n v="8978"/>
    <n v="1.125"/>
    <n v="9659"/>
    <n v="10866"/>
    <x v="0"/>
    <x v="0"/>
    <s v="Ventus 2ax"/>
    <s v="G2"/>
    <s v="Není v databázi"/>
    <m/>
  </r>
  <r>
    <x v="569"/>
    <x v="4"/>
    <x v="1"/>
    <x v="157"/>
    <x v="3"/>
    <s v="WGC 2023 - 15m"/>
    <s v="AU"/>
    <n v="2023"/>
    <n v="4"/>
    <n v="8955"/>
    <n v="1.125"/>
    <n v="9526"/>
    <n v="10717"/>
    <x v="0"/>
    <x v="0"/>
    <s v="JS3 15m"/>
    <s v="S5"/>
    <s v="Není v databázi"/>
    <m/>
  </r>
  <r>
    <x v="570"/>
    <x v="4"/>
    <x v="1"/>
    <x v="167"/>
    <x v="3"/>
    <s v="WGC 2023 - 15m"/>
    <s v="AU"/>
    <n v="2023"/>
    <n v="5"/>
    <n v="8952"/>
    <n v="1.125"/>
    <n v="9409"/>
    <n v="10585"/>
    <x v="0"/>
    <x v="0"/>
    <s v="Ventus 3TS 15m"/>
    <n v="210"/>
    <s v="Není v databázi"/>
    <m/>
  </r>
  <r>
    <x v="571"/>
    <x v="4"/>
    <x v="1"/>
    <x v="168"/>
    <x v="3"/>
    <s v="WGC 2023 - 15m"/>
    <s v="AU"/>
    <n v="2023"/>
    <n v="6"/>
    <n v="8936"/>
    <n v="1.125"/>
    <n v="9281"/>
    <n v="10441"/>
    <x v="0"/>
    <x v="0"/>
    <s v="JS3 15m"/>
    <s v="BB"/>
    <s v="Není v databázi"/>
    <m/>
  </r>
  <r>
    <x v="319"/>
    <x v="4"/>
    <x v="1"/>
    <x v="169"/>
    <x v="3"/>
    <s v="WGC 2023 - 15m"/>
    <s v="AU"/>
    <n v="2023"/>
    <n v="7"/>
    <n v="8926"/>
    <n v="1.125"/>
    <n v="9158"/>
    <n v="10303"/>
    <x v="0"/>
    <x v="0"/>
    <s v="Ventus 3TS 15m"/>
    <s v="G1"/>
    <s v="Není v databázi"/>
    <m/>
  </r>
  <r>
    <x v="555"/>
    <x v="4"/>
    <x v="1"/>
    <x v="157"/>
    <x v="3"/>
    <s v="WGC 2023 - 15m"/>
    <s v="AU"/>
    <n v="2023"/>
    <n v="8"/>
    <n v="8921"/>
    <n v="1.125"/>
    <n v="9039"/>
    <n v="10169"/>
    <x v="0"/>
    <x v="0"/>
    <s v="JS-MD 3"/>
    <s v="JG"/>
    <s v="Není v databázi"/>
    <m/>
  </r>
  <r>
    <x v="572"/>
    <x v="4"/>
    <x v="1"/>
    <x v="147"/>
    <x v="3"/>
    <s v="WGC 2023 - 15m"/>
    <s v="AU"/>
    <n v="2023"/>
    <n v="9"/>
    <n v="8919"/>
    <n v="1.125"/>
    <n v="8922"/>
    <n v="10037"/>
    <x v="0"/>
    <x v="0"/>
    <s v="JS3 15m"/>
    <s v="KW"/>
    <s v="Není v databázi"/>
    <m/>
  </r>
  <r>
    <x v="573"/>
    <x v="4"/>
    <x v="1"/>
    <x v="169"/>
    <x v="3"/>
    <s v="WGC 2023 - 15m"/>
    <s v="AU"/>
    <n v="2023"/>
    <n v="10"/>
    <n v="8851"/>
    <n v="1.125"/>
    <n v="8754"/>
    <n v="9848"/>
    <x v="0"/>
    <x v="0"/>
    <s v="Ventus 2ax"/>
    <s v="VG"/>
    <s v="Není v databázi"/>
    <m/>
  </r>
  <r>
    <x v="574"/>
    <x v="4"/>
    <x v="1"/>
    <x v="166"/>
    <x v="3"/>
    <s v="WGC 2023 - 15m"/>
    <s v="AU"/>
    <n v="2023"/>
    <n v="11"/>
    <n v="8801"/>
    <n v="1.125"/>
    <n v="8601"/>
    <n v="9676"/>
    <x v="0"/>
    <x v="0"/>
    <s v="JS3 15m"/>
    <n v="73"/>
    <s v="Není v databázi"/>
    <m/>
  </r>
  <r>
    <x v="575"/>
    <x v="4"/>
    <x v="1"/>
    <x v="149"/>
    <x v="3"/>
    <s v="WGC 2023 - 15m"/>
    <s v="AU"/>
    <n v="2023"/>
    <n v="12"/>
    <n v="8799"/>
    <n v="1.125"/>
    <n v="8484"/>
    <n v="9545"/>
    <x v="0"/>
    <x v="0"/>
    <s v="JS3 15m"/>
    <s v="M3"/>
    <s v="Není v databázi"/>
    <m/>
  </r>
  <r>
    <x v="576"/>
    <x v="4"/>
    <x v="1"/>
    <x v="167"/>
    <x v="3"/>
    <s v="WGC 2023 - 15m"/>
    <s v="AU"/>
    <n v="2023"/>
    <n v="13"/>
    <n v="8795"/>
    <n v="1.125"/>
    <n v="8365"/>
    <n v="9411"/>
    <x v="0"/>
    <x v="0"/>
    <s v="Ventus 3TS 15m"/>
    <s v="F2"/>
    <s v="Není v databázi"/>
    <m/>
  </r>
  <r>
    <x v="447"/>
    <x v="4"/>
    <x v="1"/>
    <x v="158"/>
    <x v="3"/>
    <s v="WGC 2023 - 15m"/>
    <s v="AU"/>
    <n v="2023"/>
    <n v="14"/>
    <n v="8719"/>
    <n v="1.125"/>
    <n v="8191"/>
    <n v="9215"/>
    <x v="0"/>
    <x v="0"/>
    <s v="Diana 2"/>
    <s v="RP"/>
    <s v="Není v databázi"/>
    <m/>
  </r>
  <r>
    <x v="321"/>
    <x v="4"/>
    <x v="1"/>
    <x v="147"/>
    <x v="3"/>
    <s v="WGC 2023 - 15m"/>
    <s v="AU"/>
    <n v="2023"/>
    <n v="15"/>
    <n v="8464"/>
    <n v="1.125"/>
    <n v="7880"/>
    <n v="8865"/>
    <x v="0"/>
    <x v="0"/>
    <s v="JS3 15m"/>
    <s v="LB"/>
    <s v="Není v databázi"/>
    <m/>
  </r>
  <r>
    <x v="577"/>
    <x v="4"/>
    <x v="1"/>
    <x v="166"/>
    <x v="3"/>
    <s v="WGC 2023 - 15m"/>
    <s v="AU"/>
    <n v="2023"/>
    <n v="16"/>
    <n v="8424"/>
    <n v="1.125"/>
    <n v="7734"/>
    <n v="8701"/>
    <x v="0"/>
    <x v="0"/>
    <s v="JS3 15m"/>
    <s v="MM"/>
    <s v="Není v databázi"/>
    <m/>
  </r>
  <r>
    <x v="578"/>
    <x v="4"/>
    <x v="1"/>
    <x v="170"/>
    <x v="3"/>
    <s v="WGC 2023 - 15m"/>
    <s v="AU"/>
    <n v="2023"/>
    <n v="17"/>
    <n v="8007"/>
    <n v="1.125"/>
    <n v="7299"/>
    <n v="8211"/>
    <x v="0"/>
    <x v="0"/>
    <s v="Ventus 2c 15m"/>
    <s v="TT"/>
    <s v="Není v databázi"/>
    <m/>
  </r>
  <r>
    <x v="450"/>
    <x v="4"/>
    <x v="1"/>
    <x v="159"/>
    <x v="3"/>
    <s v="WGC 2023 - 15m"/>
    <s v="AU"/>
    <n v="2023"/>
    <n v="18"/>
    <n v="7838"/>
    <n v="1.125"/>
    <n v="7054"/>
    <n v="7936"/>
    <x v="0"/>
    <x v="0"/>
    <s v="JS3 15m"/>
    <s v="1B"/>
    <s v="Není v databázi"/>
    <m/>
  </r>
  <r>
    <x v="579"/>
    <x v="4"/>
    <x v="1"/>
    <x v="163"/>
    <x v="3"/>
    <s v="WGC 2023 - 15m"/>
    <s v="AU"/>
    <n v="2023"/>
    <n v="19"/>
    <n v="7648"/>
    <n v="1.125"/>
    <n v="6793"/>
    <n v="7642"/>
    <x v="0"/>
    <x v="0"/>
    <s v="ASG 29 15m"/>
    <s v="HS"/>
    <s v="Není v databázi"/>
    <m/>
  </r>
  <r>
    <x v="580"/>
    <x v="4"/>
    <x v="1"/>
    <x v="159"/>
    <x v="3"/>
    <s v="WGC 2023 - 15m"/>
    <s v="AU"/>
    <n v="2023"/>
    <n v="20"/>
    <n v="7567"/>
    <n v="1.125"/>
    <n v="6615"/>
    <n v="7442"/>
    <x v="0"/>
    <x v="0"/>
    <s v="JS3 RES 15m"/>
    <s v="URF"/>
    <s v="Není v databázi"/>
    <m/>
  </r>
  <r>
    <x v="38"/>
    <x v="26"/>
    <x v="0"/>
    <x v="21"/>
    <x v="0"/>
    <s v="WGC 2023 - 15m"/>
    <s v="AU"/>
    <n v="2023"/>
    <n v="21"/>
    <n v="7551"/>
    <n v="1.125"/>
    <n v="6487"/>
    <n v="7298"/>
    <x v="0"/>
    <x v="0"/>
    <s v="JS3 15m"/>
    <s v="XM"/>
    <s v=""/>
    <m/>
  </r>
  <r>
    <x v="581"/>
    <x v="4"/>
    <x v="1"/>
    <x v="160"/>
    <x v="3"/>
    <s v="WGC 2023 - 15m"/>
    <s v="AU"/>
    <n v="2023"/>
    <n v="22"/>
    <n v="6845"/>
    <n v="1.125"/>
    <n v="5830"/>
    <n v="6559"/>
    <x v="0"/>
    <x v="0"/>
    <s v="ASG 29 15m"/>
    <s v="WS"/>
    <s v="Není v databázi"/>
    <m/>
  </r>
  <r>
    <x v="246"/>
    <x v="31"/>
    <x v="0"/>
    <x v="3"/>
    <x v="2"/>
    <s v="WGC 2023 - 15m"/>
    <s v="AU"/>
    <n v="2023"/>
    <n v="23"/>
    <n v="6817"/>
    <n v="1.125"/>
    <n v="5693"/>
    <n v="6405"/>
    <x v="0"/>
    <x v="0"/>
    <s v="JS3 15m"/>
    <s v="ZE"/>
    <s v=""/>
    <m/>
  </r>
  <r>
    <x v="582"/>
    <x v="4"/>
    <x v="1"/>
    <x v="153"/>
    <x v="3"/>
    <s v="WGC 2023 - 15m"/>
    <s v="AU"/>
    <n v="2023"/>
    <n v="24"/>
    <n v="6455"/>
    <n v="1.125"/>
    <n v="5300"/>
    <n v="5963"/>
    <x v="0"/>
    <x v="0"/>
    <s v="Ventus 2a"/>
    <n v="67"/>
    <s v="Není v databázi"/>
    <m/>
  </r>
  <r>
    <x v="583"/>
    <x v="4"/>
    <x v="1"/>
    <x v="170"/>
    <x v="3"/>
    <s v="WGC 2023 - 15m"/>
    <s v="AU"/>
    <n v="2023"/>
    <n v="25"/>
    <n v="5808"/>
    <n v="1.125"/>
    <n v="4688"/>
    <n v="5274"/>
    <x v="0"/>
    <x v="0"/>
    <s v="ASW 27"/>
    <n v="89"/>
    <s v="Není v databázi"/>
    <m/>
  </r>
  <r>
    <x v="584"/>
    <x v="4"/>
    <x v="1"/>
    <x v="168"/>
    <x v="3"/>
    <s v="WGC 2023 - 15m"/>
    <s v="AU"/>
    <n v="2023"/>
    <n v="26"/>
    <n v="3508"/>
    <n v="1.125"/>
    <n v="2808"/>
    <n v="3159"/>
    <x v="0"/>
    <x v="0"/>
    <s v="JS3 15m"/>
    <s v="LP"/>
    <s v="Není v databázi"/>
    <m/>
  </r>
  <r>
    <x v="471"/>
    <x v="4"/>
    <x v="1"/>
    <x v="165"/>
    <x v="3"/>
    <s v="WGC 2023 - 15m"/>
    <s v="AU"/>
    <n v="2023"/>
    <n v="27"/>
    <n v="925"/>
    <n v="1.125"/>
    <n v="710"/>
    <n v="799"/>
    <x v="0"/>
    <x v="0"/>
    <s v="JS3 15m"/>
    <s v="7A"/>
    <s v="Není v databázi"/>
    <m/>
  </r>
  <r>
    <x v="585"/>
    <x v="4"/>
    <x v="1"/>
    <x v="169"/>
    <x v="3"/>
    <s v="WGC 2023 - Klub"/>
    <s v="AU"/>
    <n v="2023"/>
    <n v="1"/>
    <n v="9438"/>
    <n v="1.1100000000000001"/>
    <n v="10000"/>
    <n v="11100"/>
    <x v="0"/>
    <x v="0"/>
    <s v="LS3"/>
    <s v="Q1"/>
    <s v="Není v databázi"/>
    <m/>
  </r>
  <r>
    <x v="586"/>
    <x v="4"/>
    <x v="1"/>
    <x v="148"/>
    <x v="3"/>
    <s v="WGC 2023 - Klub"/>
    <s v="AU"/>
    <n v="2023"/>
    <n v="2"/>
    <n v="9219"/>
    <n v="1.1100000000000001"/>
    <n v="9734"/>
    <n v="10805"/>
    <x v="0"/>
    <x v="0"/>
    <s v="LS3"/>
    <s v="SN"/>
    <s v="Není v databázi"/>
    <m/>
  </r>
  <r>
    <x v="554"/>
    <x v="4"/>
    <x v="1"/>
    <x v="148"/>
    <x v="3"/>
    <s v="WGC 2023 - Klub"/>
    <s v="AU"/>
    <n v="2023"/>
    <n v="3"/>
    <n v="9148"/>
    <n v="1.1100000000000001"/>
    <n v="9578"/>
    <n v="10632"/>
    <x v="0"/>
    <x v="0"/>
    <s v="LS3"/>
    <s v="SF"/>
    <s v="Není v databázi"/>
    <m/>
  </r>
  <r>
    <x v="587"/>
    <x v="4"/>
    <x v="1"/>
    <x v="153"/>
    <x v="3"/>
    <s v="WGC 2023 - Klub"/>
    <s v="AU"/>
    <n v="2023"/>
    <n v="4"/>
    <n v="9113"/>
    <n v="1.1100000000000001"/>
    <n v="9449"/>
    <n v="10488"/>
    <x v="0"/>
    <x v="0"/>
    <s v="ASW 20CL"/>
    <s v="KJ"/>
    <s v="Není v databázi"/>
    <m/>
  </r>
  <r>
    <x v="55"/>
    <x v="32"/>
    <x v="0"/>
    <x v="22"/>
    <x v="0"/>
    <s v="WGC 2023 - Klub"/>
    <s v="AU"/>
    <n v="2023"/>
    <n v="5"/>
    <n v="8894"/>
    <n v="1.1100000000000001"/>
    <n v="9183"/>
    <n v="10193"/>
    <x v="0"/>
    <x v="0"/>
    <s v="ASW 20L"/>
    <s v="CX"/>
    <s v=""/>
    <m/>
  </r>
  <r>
    <x v="588"/>
    <x v="4"/>
    <x v="1"/>
    <x v="158"/>
    <x v="3"/>
    <s v="WGC 2023 - Klub"/>
    <s v="AU"/>
    <n v="2023"/>
    <n v="6"/>
    <n v="8881"/>
    <n v="1.1100000000000001"/>
    <n v="9070"/>
    <n v="10068"/>
    <x v="0"/>
    <x v="0"/>
    <s v="LS 3 WL"/>
    <s v="FL"/>
    <s v="Není v databázi"/>
    <m/>
  </r>
  <r>
    <x v="589"/>
    <x v="4"/>
    <x v="1"/>
    <x v="167"/>
    <x v="3"/>
    <s v="WGC 2023 - Klub"/>
    <s v="AU"/>
    <n v="2023"/>
    <n v="7"/>
    <n v="8816"/>
    <n v="1.1100000000000001"/>
    <n v="8918"/>
    <n v="9899"/>
    <x v="0"/>
    <x v="0"/>
    <s v="LS3"/>
    <s v="LS5"/>
    <s v="Není v databázi"/>
    <m/>
  </r>
  <r>
    <x v="590"/>
    <x v="4"/>
    <x v="1"/>
    <x v="157"/>
    <x v="3"/>
    <s v="WGC 2023 - Klub"/>
    <s v="AU"/>
    <n v="2023"/>
    <n v="8"/>
    <n v="8776"/>
    <n v="1.1100000000000001"/>
    <n v="8785"/>
    <n v="9751"/>
    <x v="0"/>
    <x v="0"/>
    <s v="LS 7 neo"/>
    <s v="LK"/>
    <s v="Není v databázi"/>
    <m/>
  </r>
  <r>
    <x v="591"/>
    <x v="4"/>
    <x v="1"/>
    <x v="147"/>
    <x v="3"/>
    <s v="WGC 2023 - Klub"/>
    <s v="AU"/>
    <n v="2023"/>
    <n v="9"/>
    <n v="8766"/>
    <n v="1.1100000000000001"/>
    <n v="8674"/>
    <n v="9628"/>
    <x v="0"/>
    <x v="0"/>
    <s v="ASW 20"/>
    <s v="XI"/>
    <s v="Není v databázi"/>
    <m/>
  </r>
  <r>
    <x v="592"/>
    <x v="4"/>
    <x v="1"/>
    <x v="147"/>
    <x v="3"/>
    <s v="WGC 2023 - Klub"/>
    <s v="AU"/>
    <n v="2023"/>
    <n v="10"/>
    <n v="8764"/>
    <n v="1.1100000000000001"/>
    <n v="8569"/>
    <n v="9512"/>
    <x v="0"/>
    <x v="0"/>
    <s v="LS 7"/>
    <s v="HG"/>
    <s v="Není v databázi"/>
    <m/>
  </r>
  <r>
    <x v="593"/>
    <x v="4"/>
    <x v="1"/>
    <x v="169"/>
    <x v="3"/>
    <s v="WGC 2023 - Klub"/>
    <s v="AU"/>
    <n v="2023"/>
    <n v="11"/>
    <n v="8586"/>
    <n v="1.1100000000000001"/>
    <n v="8334"/>
    <n v="9251"/>
    <x v="0"/>
    <x v="0"/>
    <s v="ASW 20C"/>
    <s v="MG"/>
    <s v="Není v databázi"/>
    <m/>
  </r>
  <r>
    <x v="594"/>
    <x v="4"/>
    <x v="1"/>
    <x v="167"/>
    <x v="3"/>
    <s v="WGC 2023 - Klub"/>
    <s v="AU"/>
    <n v="2023"/>
    <n v="12"/>
    <n v="8552"/>
    <n v="1.1100000000000001"/>
    <n v="8205"/>
    <n v="9108"/>
    <x v="0"/>
    <x v="0"/>
    <s v="LS3"/>
    <s v="LS3"/>
    <s v="Není v databázi"/>
    <m/>
  </r>
  <r>
    <x v="595"/>
    <x v="4"/>
    <x v="1"/>
    <x v="158"/>
    <x v="3"/>
    <s v="WGC 2023 - Klub"/>
    <s v="AU"/>
    <n v="2023"/>
    <n v="13"/>
    <n v="8163"/>
    <n v="1.1100000000000001"/>
    <n v="7813"/>
    <n v="8672"/>
    <x v="0"/>
    <x v="0"/>
    <s v="LS 3 WL"/>
    <s v="PP"/>
    <s v="Není v databázi"/>
    <m/>
  </r>
  <r>
    <x v="596"/>
    <x v="4"/>
    <x v="1"/>
    <x v="170"/>
    <x v="3"/>
    <s v="WGC 2023 - Klub"/>
    <s v="AU"/>
    <n v="2023"/>
    <n v="14"/>
    <n v="7632"/>
    <n v="1.1100000000000001"/>
    <n v="7316"/>
    <n v="8121"/>
    <x v="0"/>
    <x v="0"/>
    <s v="Discus b"/>
    <s v="FY"/>
    <s v="Není v databázi"/>
    <m/>
  </r>
  <r>
    <x v="597"/>
    <x v="4"/>
    <x v="1"/>
    <x v="153"/>
    <x v="3"/>
    <s v="WGC 2023 - Klub"/>
    <s v="AU"/>
    <n v="2023"/>
    <n v="15"/>
    <n v="7573"/>
    <n v="1.1100000000000001"/>
    <n v="7168"/>
    <n v="7956"/>
    <x v="0"/>
    <x v="0"/>
    <s v="LS3"/>
    <s v="WUQ"/>
    <s v="Není v databázi"/>
    <m/>
  </r>
  <r>
    <x v="598"/>
    <x v="4"/>
    <x v="1"/>
    <x v="171"/>
    <x v="3"/>
    <s v="WGC 2023 - Klub"/>
    <s v="AU"/>
    <n v="2023"/>
    <n v="16"/>
    <n v="7486"/>
    <n v="1.1100000000000001"/>
    <n v="7001"/>
    <n v="7771"/>
    <x v="0"/>
    <x v="0"/>
    <s v="ASW 20"/>
    <n v="280"/>
    <s v="Není v databázi"/>
    <m/>
  </r>
  <r>
    <x v="507"/>
    <x v="4"/>
    <x v="1"/>
    <x v="160"/>
    <x v="3"/>
    <s v="WGC 2023 - Klub"/>
    <s v="AU"/>
    <n v="2023"/>
    <n v="17"/>
    <n v="7443"/>
    <n v="1.1100000000000001"/>
    <n v="6865"/>
    <n v="7620"/>
    <x v="0"/>
    <x v="0"/>
    <s v="ASW 20b"/>
    <s v="JH"/>
    <s v="Není v databázi"/>
    <m/>
  </r>
  <r>
    <x v="599"/>
    <x v="4"/>
    <x v="1"/>
    <x v="165"/>
    <x v="3"/>
    <s v="WGC 2023 - Klub"/>
    <s v="AU"/>
    <n v="2023"/>
    <n v="18"/>
    <n v="7436"/>
    <n v="1.1100000000000001"/>
    <n v="6757"/>
    <n v="7500"/>
    <x v="0"/>
    <x v="0"/>
    <s v="LS3"/>
    <s v="WUF"/>
    <s v="Není v databázi"/>
    <m/>
  </r>
  <r>
    <x v="46"/>
    <x v="31"/>
    <x v="0"/>
    <x v="0"/>
    <x v="0"/>
    <s v="WGC 2023 - Klub"/>
    <s v="AU"/>
    <n v="2023"/>
    <n v="19"/>
    <n v="7408"/>
    <n v="1.1100000000000001"/>
    <n v="6632"/>
    <n v="7362"/>
    <x v="1"/>
    <x v="0"/>
    <s v="ASW 20"/>
    <s v="A3"/>
    <s v=""/>
    <m/>
  </r>
  <r>
    <x v="600"/>
    <x v="4"/>
    <x v="1"/>
    <x v="165"/>
    <x v="3"/>
    <s v="WGC 2023 - Klub"/>
    <s v="AU"/>
    <n v="2023"/>
    <n v="20"/>
    <n v="6852"/>
    <n v="1.1100000000000001"/>
    <n v="6116"/>
    <n v="6789"/>
    <x v="0"/>
    <x v="0"/>
    <s v="ASW 20b"/>
    <s v="YM"/>
    <s v="Není v databázi"/>
    <m/>
  </r>
  <r>
    <x v="601"/>
    <x v="4"/>
    <x v="1"/>
    <x v="154"/>
    <x v="3"/>
    <s v="WGC 2023 - Klub"/>
    <s v="AU"/>
    <n v="2023"/>
    <n v="21"/>
    <n v="6529"/>
    <n v="1.1100000000000001"/>
    <n v="5773"/>
    <n v="6408"/>
    <x v="0"/>
    <x v="0"/>
    <s v="Discus b"/>
    <s v="NZ"/>
    <s v="Není v databázi"/>
    <m/>
  </r>
  <r>
    <x v="602"/>
    <x v="4"/>
    <x v="1"/>
    <x v="170"/>
    <x v="3"/>
    <s v="WGC 2023 - Klub"/>
    <s v="AU"/>
    <n v="2023"/>
    <n v="22"/>
    <n v="6499"/>
    <n v="1.1100000000000001"/>
    <n v="5648"/>
    <n v="6269"/>
    <x v="0"/>
    <x v="0"/>
    <s v="Discus b"/>
    <s v="DK"/>
    <s v="Není v databázi"/>
    <m/>
  </r>
  <r>
    <x v="524"/>
    <x v="4"/>
    <x v="1"/>
    <x v="160"/>
    <x v="3"/>
    <s v="WGC 2023 - Klub"/>
    <s v="AU"/>
    <n v="2023"/>
    <n v="23"/>
    <n v="6206"/>
    <n v="1.1100000000000001"/>
    <n v="5327"/>
    <n v="5913"/>
    <x v="0"/>
    <x v="0"/>
    <s v="ASW 20b"/>
    <s v="HDX"/>
    <s v="Není v databázi"/>
    <m/>
  </r>
  <r>
    <x v="603"/>
    <x v="4"/>
    <x v="1"/>
    <x v="149"/>
    <x v="3"/>
    <s v="WGC 2023 - Klub"/>
    <s v="AU"/>
    <n v="2023"/>
    <n v="24"/>
    <n v="6030"/>
    <n v="1.1100000000000001"/>
    <n v="5093"/>
    <n v="5653"/>
    <x v="0"/>
    <x v="0"/>
    <s v="LS 4b"/>
    <s v="AJ"/>
    <s v="Není v databázi"/>
    <m/>
  </r>
  <r>
    <x v="301"/>
    <x v="60"/>
    <x v="2"/>
    <x v="33"/>
    <x v="2"/>
    <s v="WGC 2023 - Klub"/>
    <s v="AU"/>
    <n v="2023"/>
    <n v="25"/>
    <n v="5941"/>
    <n v="1.1100000000000001"/>
    <n v="4924"/>
    <n v="5466"/>
    <x v="0"/>
    <x v="0"/>
    <s v="ASW 20"/>
    <s v="UKI"/>
    <s v=""/>
    <m/>
  </r>
  <r>
    <x v="604"/>
    <x v="4"/>
    <x v="1"/>
    <x v="149"/>
    <x v="3"/>
    <s v="WGC 2023 - Klub"/>
    <s v="AU"/>
    <n v="2023"/>
    <n v="26"/>
    <n v="5670"/>
    <n v="1.1100000000000001"/>
    <n v="4619"/>
    <n v="5127"/>
    <x v="0"/>
    <x v="0"/>
    <s v="LS 4a"/>
    <s v="UKA"/>
    <s v="Není v databázi"/>
    <m/>
  </r>
  <r>
    <x v="605"/>
    <x v="4"/>
    <x v="1"/>
    <x v="157"/>
    <x v="3"/>
    <s v="WGC 2023 - Klub"/>
    <s v="AU"/>
    <n v="2023"/>
    <n v="27"/>
    <n v="4987"/>
    <n v="1.1100000000000001"/>
    <n v="4009"/>
    <n v="4450"/>
    <x v="0"/>
    <x v="0"/>
    <s v="ASW 20L / Std Cirrus"/>
    <s v="IV"/>
    <s v="Není v databázi"/>
    <m/>
  </r>
  <r>
    <x v="606"/>
    <x v="4"/>
    <x v="1"/>
    <x v="172"/>
    <x v="3"/>
    <s v="WGC 2023 - Klub"/>
    <s v="AU"/>
    <n v="2023"/>
    <n v="28"/>
    <n v="4290"/>
    <n v="1.1100000000000001"/>
    <n v="3389"/>
    <n v="3762"/>
    <x v="0"/>
    <x v="0"/>
    <s v="Cirrus Std"/>
    <s v="NS"/>
    <s v="Není v databázi"/>
    <m/>
  </r>
  <r>
    <x v="607"/>
    <x v="4"/>
    <x v="1"/>
    <x v="173"/>
    <x v="3"/>
    <s v="WGC 2023 - Klub"/>
    <s v="AU"/>
    <n v="2023"/>
    <n v="29"/>
    <n v="3721"/>
    <n v="1.1100000000000001"/>
    <n v="2863"/>
    <n v="3178"/>
    <x v="0"/>
    <x v="0"/>
    <s v="Discus b"/>
    <s v="FV"/>
    <s v="Není v databázi"/>
    <m/>
  </r>
  <r>
    <x v="608"/>
    <x v="4"/>
    <x v="1"/>
    <x v="173"/>
    <x v="3"/>
    <s v="WGC 2023 - Klub"/>
    <s v="AU"/>
    <n v="2023"/>
    <n v="30"/>
    <n v="3633"/>
    <n v="1.1100000000000001"/>
    <n v="2695"/>
    <n v="2991"/>
    <x v="0"/>
    <x v="0"/>
    <s v="LS 4"/>
    <s v="HR3"/>
    <s v="Není v databázi"/>
    <m/>
  </r>
  <r>
    <x v="609"/>
    <x v="4"/>
    <x v="1"/>
    <x v="167"/>
    <x v="3"/>
    <s v="WGC 2023 - Std"/>
    <s v="AU"/>
    <n v="2023"/>
    <n v="1"/>
    <n v="9013"/>
    <n v="1.105"/>
    <n v="10000"/>
    <n v="11050"/>
    <x v="0"/>
    <x v="0"/>
    <s v="LS8"/>
    <s v="CC"/>
    <s v="Není v databázi"/>
    <m/>
  </r>
  <r>
    <x v="610"/>
    <x v="4"/>
    <x v="1"/>
    <x v="169"/>
    <x v="3"/>
    <s v="WGC 2023 - Std"/>
    <s v="AU"/>
    <n v="2023"/>
    <n v="2"/>
    <n v="8638"/>
    <n v="1.105"/>
    <n v="9559"/>
    <n v="10563"/>
    <x v="0"/>
    <x v="0"/>
    <s v="LS8"/>
    <s v="HCB"/>
    <s v="Není v databázi"/>
    <m/>
  </r>
  <r>
    <x v="611"/>
    <x v="4"/>
    <x v="1"/>
    <x v="148"/>
    <x v="3"/>
    <s v="WGC 2023 - Std"/>
    <s v="AU"/>
    <n v="2023"/>
    <n v="3"/>
    <n v="8552"/>
    <n v="1.105"/>
    <n v="9342"/>
    <n v="10323"/>
    <x v="0"/>
    <x v="0"/>
    <s v="LS8neo"/>
    <s v="PO"/>
    <s v="Není v databázi"/>
    <m/>
  </r>
  <r>
    <x v="612"/>
    <x v="4"/>
    <x v="1"/>
    <x v="148"/>
    <x v="3"/>
    <s v="WGC 2023 - Std"/>
    <s v="AU"/>
    <n v="2023"/>
    <n v="4"/>
    <n v="8494"/>
    <n v="1.105"/>
    <n v="9147"/>
    <n v="10107"/>
    <x v="0"/>
    <x v="0"/>
    <s v="LS8 neo"/>
    <s v="S2"/>
    <s v="Není v databázi"/>
    <m/>
  </r>
  <r>
    <x v="613"/>
    <x v="4"/>
    <x v="1"/>
    <x v="168"/>
    <x v="3"/>
    <s v="WGC 2023 - Std"/>
    <s v="AU"/>
    <n v="2023"/>
    <n v="5"/>
    <n v="8467"/>
    <n v="1.105"/>
    <n v="8976"/>
    <n v="9918"/>
    <x v="0"/>
    <x v="0"/>
    <s v="LS8b"/>
    <s v="M1"/>
    <s v="Není v databázi"/>
    <m/>
  </r>
  <r>
    <x v="614"/>
    <x v="4"/>
    <x v="1"/>
    <x v="157"/>
    <x v="3"/>
    <s v="WGC 2023 - Std"/>
    <s v="AU"/>
    <n v="2023"/>
    <n v="6"/>
    <n v="8389"/>
    <n v="1.105"/>
    <n v="8765"/>
    <n v="9685"/>
    <x v="0"/>
    <x v="0"/>
    <s v="Discus 2a"/>
    <s v="2S"/>
    <s v="Není v databázi"/>
    <m/>
  </r>
  <r>
    <x v="322"/>
    <x v="4"/>
    <x v="1"/>
    <x v="158"/>
    <x v="3"/>
    <s v="WGC 2023 - Std"/>
    <s v="AU"/>
    <n v="2023"/>
    <n v="7"/>
    <n v="7934"/>
    <n v="1.105"/>
    <n v="8262"/>
    <n v="9130"/>
    <x v="0"/>
    <x v="0"/>
    <s v="Discus - 2a"/>
    <s v="I"/>
    <s v="Není v databázi"/>
    <m/>
  </r>
  <r>
    <x v="615"/>
    <x v="4"/>
    <x v="1"/>
    <x v="174"/>
    <x v="3"/>
    <s v="WGC 2023 - Std"/>
    <s v="AU"/>
    <n v="2023"/>
    <n v="8"/>
    <n v="7873"/>
    <n v="1.105"/>
    <n v="8065"/>
    <n v="8912"/>
    <x v="0"/>
    <x v="0"/>
    <s v="LS8-t"/>
    <s v="PB"/>
    <s v="Není v databázi"/>
    <m/>
  </r>
  <r>
    <x v="316"/>
    <x v="4"/>
    <x v="1"/>
    <x v="147"/>
    <x v="3"/>
    <s v="WGC 2023 - Std"/>
    <s v="AU"/>
    <n v="2023"/>
    <n v="9"/>
    <n v="7862"/>
    <n v="1.105"/>
    <n v="7906"/>
    <n v="8736"/>
    <x v="0"/>
    <x v="0"/>
    <s v="Discus-2a"/>
    <s v="JPA"/>
    <s v="Není v databázi"/>
    <m/>
  </r>
  <r>
    <x v="287"/>
    <x v="52"/>
    <x v="0"/>
    <x v="12"/>
    <x v="1"/>
    <s v="WGC 2023 - Std"/>
    <s v="AU"/>
    <n v="2023"/>
    <n v="10"/>
    <n v="7801"/>
    <n v="1.105"/>
    <n v="7709"/>
    <n v="8518"/>
    <x v="0"/>
    <x v="0"/>
    <s v="LS 8-b"/>
    <s v="FX"/>
    <s v=""/>
    <m/>
  </r>
  <r>
    <x v="314"/>
    <x v="4"/>
    <x v="1"/>
    <x v="147"/>
    <x v="3"/>
    <s v="WGC 2023 - Std"/>
    <s v="AU"/>
    <n v="2023"/>
    <n v="11"/>
    <n v="7770"/>
    <n v="1.105"/>
    <n v="7535"/>
    <n v="8326"/>
    <x v="0"/>
    <x v="0"/>
    <s v="Discus 2a"/>
    <s v="ET"/>
    <s v="Není v databázi"/>
    <m/>
  </r>
  <r>
    <x v="476"/>
    <x v="4"/>
    <x v="1"/>
    <x v="158"/>
    <x v="3"/>
    <s v="WGC 2023 - Std"/>
    <s v="AU"/>
    <n v="2023"/>
    <n v="12"/>
    <n v="7627"/>
    <n v="1.105"/>
    <n v="7274"/>
    <n v="8038"/>
    <x v="0"/>
    <x v="0"/>
    <s v="Discus 2a"/>
    <s v="Y"/>
    <s v="Není v databázi"/>
    <m/>
  </r>
  <r>
    <x v="616"/>
    <x v="4"/>
    <x v="1"/>
    <x v="167"/>
    <x v="3"/>
    <s v="WGC 2023 - Std"/>
    <s v="AU"/>
    <n v="2023"/>
    <n v="13"/>
    <n v="7493"/>
    <n v="1.105"/>
    <n v="7019"/>
    <n v="7756"/>
    <x v="0"/>
    <x v="0"/>
    <s v="LS8"/>
    <s v="L4"/>
    <s v="Není v databázi"/>
    <m/>
  </r>
  <r>
    <x v="288"/>
    <x v="31"/>
    <x v="0"/>
    <x v="17"/>
    <x v="0"/>
    <s v="WGC 2023 - Std"/>
    <s v="AU"/>
    <n v="2023"/>
    <n v="14"/>
    <n v="7385"/>
    <n v="1.105"/>
    <n v="6786"/>
    <n v="7499"/>
    <x v="0"/>
    <x v="0"/>
    <s v="LS 8-b"/>
    <s v="JB"/>
    <s v=""/>
    <m/>
  </r>
  <r>
    <x v="617"/>
    <x v="4"/>
    <x v="1"/>
    <x v="168"/>
    <x v="3"/>
    <s v="WGC 2023 - Std"/>
    <s v="AU"/>
    <n v="2023"/>
    <n v="15"/>
    <n v="7359"/>
    <n v="1.105"/>
    <n v="6615"/>
    <n v="7310"/>
    <x v="0"/>
    <x v="0"/>
    <s v="LS8"/>
    <s v="S7"/>
    <s v="Není v databázi"/>
    <m/>
  </r>
  <r>
    <x v="618"/>
    <x v="4"/>
    <x v="1"/>
    <x v="170"/>
    <x v="3"/>
    <s v="WGC 2023 - Std"/>
    <s v="AU"/>
    <n v="2023"/>
    <n v="16"/>
    <n v="7305"/>
    <n v="1.105"/>
    <n v="6423"/>
    <n v="7097"/>
    <x v="0"/>
    <x v="0"/>
    <s v="Discus 2b"/>
    <s v="XBY"/>
    <s v="Není v databázi"/>
    <m/>
  </r>
  <r>
    <x v="451"/>
    <x v="4"/>
    <x v="1"/>
    <x v="166"/>
    <x v="3"/>
    <s v="WGC 2023 - Std"/>
    <s v="AU"/>
    <n v="2023"/>
    <n v="17"/>
    <n v="7258"/>
    <n v="1.105"/>
    <n v="6237"/>
    <n v="6892"/>
    <x v="0"/>
    <x v="0"/>
    <s v="LS8"/>
    <s v="GG"/>
    <s v="Není v databázi"/>
    <m/>
  </r>
  <r>
    <x v="619"/>
    <x v="4"/>
    <x v="1"/>
    <x v="169"/>
    <x v="3"/>
    <s v="WGC 2023 - Std"/>
    <s v="AU"/>
    <n v="2023"/>
    <n v="18"/>
    <n v="7199"/>
    <n v="1.105"/>
    <n v="6041"/>
    <n v="6675"/>
    <x v="0"/>
    <x v="0"/>
    <s v="LS8a"/>
    <s v="WB"/>
    <s v="Není v databázi"/>
    <m/>
  </r>
  <r>
    <x v="620"/>
    <x v="4"/>
    <x v="1"/>
    <x v="163"/>
    <x v="3"/>
    <s v="WGC 2023 - Std"/>
    <s v="AU"/>
    <n v="2023"/>
    <n v="19"/>
    <n v="7062"/>
    <n v="1.105"/>
    <n v="5785"/>
    <n v="6392"/>
    <x v="0"/>
    <x v="0"/>
    <s v="ASW28"/>
    <s v="2M"/>
    <s v="Není v databázi"/>
    <m/>
  </r>
  <r>
    <x v="621"/>
    <x v="4"/>
    <x v="1"/>
    <x v="163"/>
    <x v="3"/>
    <s v="WGC 2023 - Std"/>
    <s v="AU"/>
    <n v="2023"/>
    <n v="20"/>
    <n v="6929"/>
    <n v="1.105"/>
    <n v="5531"/>
    <n v="6112"/>
    <x v="0"/>
    <x v="0"/>
    <s v="LS8"/>
    <s v="FC"/>
    <s v="Není v databázi"/>
    <m/>
  </r>
  <r>
    <x v="622"/>
    <x v="4"/>
    <x v="1"/>
    <x v="170"/>
    <x v="3"/>
    <s v="WGC 2023 - Std"/>
    <s v="AU"/>
    <n v="2023"/>
    <n v="21"/>
    <n v="4749"/>
    <n v="1.105"/>
    <n v="3688"/>
    <n v="4075"/>
    <x v="0"/>
    <x v="0"/>
    <s v="LS8-sT"/>
    <s v="FQF"/>
    <s v="Není v databázi"/>
    <m/>
  </r>
  <r>
    <x v="623"/>
    <x v="4"/>
    <x v="1"/>
    <x v="175"/>
    <x v="3"/>
    <s v="Alpe Adria Cup 2023 - 113"/>
    <s v="AT"/>
    <n v="2023"/>
    <n v="1"/>
    <n v="4501"/>
    <n v="0.755"/>
    <n v="10000"/>
    <n v="7550"/>
    <x v="0"/>
    <x v="0"/>
    <s v="Ventus 2b"/>
    <s v="M4"/>
    <s v="Není v databázi"/>
    <m/>
  </r>
  <r>
    <x v="624"/>
    <x v="4"/>
    <x v="1"/>
    <x v="176"/>
    <x v="3"/>
    <s v="Alpe Adria Cup 2023 - 113"/>
    <s v="AT"/>
    <n v="2023"/>
    <n v="2"/>
    <n v="4088"/>
    <n v="0.755"/>
    <n v="9170"/>
    <n v="6923"/>
    <x v="0"/>
    <x v="0"/>
    <s v="Discus2c 18m"/>
    <s v="KN"/>
    <s v="Není v databázi"/>
    <m/>
  </r>
  <r>
    <x v="625"/>
    <x v="4"/>
    <x v="1"/>
    <x v="177"/>
    <x v="3"/>
    <s v="Alpe Adria Cup 2023 - 113"/>
    <s v="AT"/>
    <n v="2023"/>
    <n v="3"/>
    <n v="3704"/>
    <n v="0.755"/>
    <n v="8385"/>
    <n v="6331"/>
    <x v="0"/>
    <x v="0"/>
    <s v="Duo Discus alle 700kg"/>
    <s v="MH"/>
    <s v="Není v databázi"/>
    <m/>
  </r>
  <r>
    <x v="626"/>
    <x v="4"/>
    <x v="1"/>
    <x v="178"/>
    <x v="3"/>
    <s v="Alpe Adria Cup 2023 - 113"/>
    <s v="AT"/>
    <n v="2023"/>
    <n v="4"/>
    <n v="3476"/>
    <n v="0.755"/>
    <n v="7843"/>
    <n v="5921"/>
    <x v="0"/>
    <x v="0"/>
    <s v="Ventus2 c b 15m"/>
    <s v="D"/>
    <s v="Není v databázi"/>
    <m/>
  </r>
  <r>
    <x v="332"/>
    <x v="4"/>
    <x v="1"/>
    <x v="179"/>
    <x v="3"/>
    <s v="Alpe Adria Cup 2023 - 113"/>
    <s v="AT"/>
    <n v="2023"/>
    <n v="5"/>
    <n v="3286"/>
    <n v="0.755"/>
    <n v="7360"/>
    <n v="5557"/>
    <x v="0"/>
    <x v="0"/>
    <s v="ventus 2a"/>
    <s v="PE"/>
    <s v="Není v databázi"/>
    <m/>
  </r>
  <r>
    <x v="627"/>
    <x v="4"/>
    <x v="1"/>
    <x v="180"/>
    <x v="3"/>
    <s v="Alpe Adria Cup 2023 - 113"/>
    <s v="AT"/>
    <n v="2023"/>
    <n v="6"/>
    <n v="3259"/>
    <n v="0.755"/>
    <n v="7131"/>
    <n v="5384"/>
    <x v="0"/>
    <x v="0"/>
    <s v="ASW-24 WL"/>
    <s v="AX"/>
    <s v="Není v databázi"/>
    <m/>
  </r>
  <r>
    <x v="628"/>
    <x v="4"/>
    <x v="1"/>
    <x v="181"/>
    <x v="3"/>
    <s v="Alpe Adria Cup 2023 - 113"/>
    <s v="AT"/>
    <n v="2023"/>
    <n v="7"/>
    <n v="3250"/>
    <n v="0.755"/>
    <n v="6929"/>
    <n v="5231"/>
    <x v="0"/>
    <x v="0"/>
    <s v="Ventus2a(x)"/>
    <s v="IB"/>
    <s v="Není v databázi"/>
    <m/>
  </r>
  <r>
    <x v="629"/>
    <x v="4"/>
    <x v="1"/>
    <x v="55"/>
    <x v="3"/>
    <s v="Alpe Adria Cup 2023 - 113"/>
    <s v="AT"/>
    <n v="2023"/>
    <n v="8"/>
    <n v="3247"/>
    <n v="0.755"/>
    <n v="6737"/>
    <n v="5086"/>
    <x v="0"/>
    <x v="0"/>
    <s v="DuoDiscus FES"/>
    <s v="LF"/>
    <s v="Není v databázi"/>
    <m/>
  </r>
  <r>
    <x v="630"/>
    <x v="4"/>
    <x v="1"/>
    <x v="176"/>
    <x v="3"/>
    <s v="Alpe Adria Cup 2023 - 113"/>
    <s v="AT"/>
    <n v="2023"/>
    <n v="9"/>
    <n v="3154"/>
    <n v="0.755"/>
    <n v="6405"/>
    <n v="4836"/>
    <x v="0"/>
    <x v="0"/>
    <s v="DG 300 WL"/>
    <s v="N1"/>
    <s v="Není v databázi"/>
    <m/>
  </r>
  <r>
    <x v="631"/>
    <x v="4"/>
    <x v="1"/>
    <x v="182"/>
    <x v="3"/>
    <s v="Alpe Adria Cup 2023 - 113"/>
    <s v="AT"/>
    <n v="2023"/>
    <n v="10"/>
    <n v="2982"/>
    <n v="0.755"/>
    <n v="5950"/>
    <n v="4492"/>
    <x v="0"/>
    <x v="0"/>
    <s v="SZD55"/>
    <s v="KE"/>
    <s v="Není v databázi"/>
    <m/>
  </r>
  <r>
    <x v="632"/>
    <x v="4"/>
    <x v="1"/>
    <x v="176"/>
    <x v="3"/>
    <s v="Alpe Adria Cup 2023 - 113"/>
    <s v="AT"/>
    <n v="2023"/>
    <n v="11"/>
    <n v="2630"/>
    <n v="0.755"/>
    <n v="5215"/>
    <n v="3937"/>
    <x v="0"/>
    <x v="0"/>
    <s v="LS8 15m"/>
    <s v="ZL"/>
    <s v="Není v databázi"/>
    <m/>
  </r>
  <r>
    <x v="633"/>
    <x v="4"/>
    <x v="1"/>
    <x v="176"/>
    <x v="3"/>
    <s v="Alpe Adria Cup 2023 - 113"/>
    <s v="AT"/>
    <n v="2023"/>
    <n v="12"/>
    <n v="2436"/>
    <n v="0.755"/>
    <n v="4726"/>
    <n v="3568"/>
    <x v="0"/>
    <x v="0"/>
    <s v="Discus2c 18m"/>
    <s v="PSI"/>
    <s v="Není v databázi"/>
    <m/>
  </r>
  <r>
    <x v="634"/>
    <x v="35"/>
    <x v="0"/>
    <x v="8"/>
    <x v="2"/>
    <s v="Alpe Adria Cup 2023 - 113"/>
    <s v="AT"/>
    <n v="2023"/>
    <n v="13"/>
    <n v="2315"/>
    <n v="0.755"/>
    <n v="4350"/>
    <n v="3284"/>
    <x v="1"/>
    <x v="0"/>
    <s v="VentusC 15m"/>
    <s v="LJ"/>
    <s v=""/>
    <m/>
  </r>
  <r>
    <x v="635"/>
    <x v="4"/>
    <x v="1"/>
    <x v="183"/>
    <x v="3"/>
    <s v="Alpe Adria Cup 2023 - 113"/>
    <s v="AT"/>
    <n v="2023"/>
    <n v="14"/>
    <n v="2276"/>
    <n v="0.755"/>
    <n v="4102"/>
    <n v="3097"/>
    <x v="0"/>
    <x v="0"/>
    <s v="Ventus a"/>
    <s v="TT"/>
    <s v="Není v databázi"/>
    <m/>
  </r>
  <r>
    <x v="636"/>
    <x v="4"/>
    <x v="1"/>
    <x v="184"/>
    <x v="3"/>
    <s v="Alpe Adria Cup 2023 - 113"/>
    <s v="AT"/>
    <n v="2023"/>
    <n v="15"/>
    <n v="1472"/>
    <n v="0.755"/>
    <n v="2664"/>
    <n v="2011"/>
    <x v="0"/>
    <x v="0"/>
    <s v="Ventus cM"/>
    <s v="GW"/>
    <s v="Není v databázi"/>
    <m/>
  </r>
  <r>
    <x v="637"/>
    <x v="4"/>
    <x v="1"/>
    <x v="185"/>
    <x v="3"/>
    <s v="Alpe Adria Cup 2023 - 113"/>
    <s v="AT"/>
    <n v="2023"/>
    <n v="16"/>
    <n v="1168"/>
    <n v="0.755"/>
    <n v="2004"/>
    <n v="1513"/>
    <x v="0"/>
    <x v="0"/>
    <s v="LS-4"/>
    <s v="VIT"/>
    <s v="Není v databázi"/>
    <m/>
  </r>
  <r>
    <x v="329"/>
    <x v="4"/>
    <x v="1"/>
    <x v="81"/>
    <x v="3"/>
    <s v="Alpe Adria Cup 2023 - 113"/>
    <s v="AT"/>
    <n v="2023"/>
    <n v="17"/>
    <n v="991"/>
    <n v="0.755"/>
    <n v="1541"/>
    <n v="1163"/>
    <x v="0"/>
    <x v="0"/>
    <s v="LS6 15m"/>
    <s v="KK"/>
    <s v="Není v databázi"/>
    <m/>
  </r>
  <r>
    <x v="444"/>
    <x v="4"/>
    <x v="1"/>
    <x v="186"/>
    <x v="3"/>
    <s v="Alpe Adria Cup 2023 - Kombi Open"/>
    <s v="AT"/>
    <n v="2023"/>
    <n v="1"/>
    <n v="3792"/>
    <n v="0.755"/>
    <n v="10000"/>
    <n v="7550"/>
    <x v="0"/>
    <x v="0"/>
    <s v="Ventus3 18m Sport"/>
    <s v="WO"/>
    <s v="Není v databázi"/>
    <m/>
  </r>
  <r>
    <x v="638"/>
    <x v="4"/>
    <x v="1"/>
    <x v="187"/>
    <x v="3"/>
    <s v="Alpe Adria Cup 2023 - Kombi Open"/>
    <s v="AT"/>
    <n v="2023"/>
    <n v="2"/>
    <n v="3564"/>
    <n v="0.755"/>
    <n v="9449"/>
    <n v="7134"/>
    <x v="0"/>
    <x v="0"/>
    <s v="Ventus 3M"/>
    <s v="OD"/>
    <s v="Není v databázi"/>
    <m/>
  </r>
  <r>
    <x v="639"/>
    <x v="4"/>
    <x v="1"/>
    <x v="188"/>
    <x v="3"/>
    <s v="Alpe Adria Cup 2023 - Kombi Open"/>
    <s v="AT"/>
    <n v="2023"/>
    <n v="3"/>
    <n v="3467"/>
    <n v="0.755"/>
    <n v="9139"/>
    <n v="6900"/>
    <x v="0"/>
    <x v="0"/>
    <s v="AS33ES"/>
    <s v="MR"/>
    <s v="Není v databázi"/>
    <m/>
  </r>
  <r>
    <x v="640"/>
    <x v="4"/>
    <x v="1"/>
    <x v="189"/>
    <x v="3"/>
    <s v="Alpe Adria Cup 2023 - Kombi Open"/>
    <s v="AT"/>
    <n v="2023"/>
    <n v="4"/>
    <n v="3387"/>
    <n v="0.755"/>
    <n v="8861"/>
    <n v="6690"/>
    <x v="0"/>
    <x v="0"/>
    <s v="Ventus 3 M"/>
    <s v="2T"/>
    <s v="Není v databázi"/>
    <m/>
  </r>
  <r>
    <x v="641"/>
    <x v="4"/>
    <x v="1"/>
    <x v="190"/>
    <x v="3"/>
    <s v="Alpe Adria Cup 2023 - Kombi Open"/>
    <s v="AT"/>
    <n v="2023"/>
    <n v="5"/>
    <n v="3345"/>
    <n v="0.755"/>
    <n v="8653"/>
    <n v="6533"/>
    <x v="0"/>
    <x v="0"/>
    <s v="Antares LF20e"/>
    <s v="ZF"/>
    <s v="Není v databázi"/>
    <m/>
  </r>
  <r>
    <x v="642"/>
    <x v="4"/>
    <x v="1"/>
    <x v="191"/>
    <x v="3"/>
    <s v="Alpe Adria Cup 2023 - Kombi Open"/>
    <s v="AT"/>
    <n v="2023"/>
    <n v="6"/>
    <n v="3293"/>
    <n v="0.755"/>
    <n v="8427"/>
    <n v="6362"/>
    <x v="0"/>
    <x v="0"/>
    <s v="Arcus M"/>
    <s v="PV"/>
    <s v="Není v databázi"/>
    <m/>
  </r>
  <r>
    <x v="643"/>
    <x v="4"/>
    <x v="1"/>
    <x v="192"/>
    <x v="3"/>
    <s v="Alpe Adria Cup 2023 - Kombi Open"/>
    <s v="AT"/>
    <n v="2023"/>
    <n v="7"/>
    <n v="3233"/>
    <n v="0.755"/>
    <n v="8185"/>
    <n v="6180"/>
    <x v="0"/>
    <x v="0"/>
    <s v="ASG 32 Mi"/>
    <s v="GA"/>
    <s v="Není v databázi"/>
    <m/>
  </r>
  <r>
    <x v="644"/>
    <x v="4"/>
    <x v="1"/>
    <x v="193"/>
    <x v="3"/>
    <s v="Alpe Adria Cup 2023 - Kombi Open"/>
    <s v="AT"/>
    <n v="2023"/>
    <n v="8"/>
    <n v="3214"/>
    <n v="0.755"/>
    <n v="8020"/>
    <n v="6055"/>
    <x v="0"/>
    <x v="0"/>
    <s v="AS33"/>
    <s v="BL"/>
    <s v="Není v databázi"/>
    <m/>
  </r>
  <r>
    <x v="645"/>
    <x v="4"/>
    <x v="1"/>
    <x v="194"/>
    <x v="3"/>
    <s v="Alpe Adria Cup 2023 - Kombi Open"/>
    <s v="AT"/>
    <n v="2023"/>
    <n v="9"/>
    <n v="3025"/>
    <n v="0.755"/>
    <n v="7541"/>
    <n v="5693"/>
    <x v="0"/>
    <x v="0"/>
    <s v="Ventus 2cm"/>
    <s v="CC"/>
    <s v="Není v databázi"/>
    <m/>
  </r>
  <r>
    <x v="565"/>
    <x v="4"/>
    <x v="1"/>
    <x v="195"/>
    <x v="3"/>
    <s v="Alpe Adria Cup 2023 - Kombi Open"/>
    <s v="AT"/>
    <n v="2023"/>
    <n v="10"/>
    <n v="2949"/>
    <n v="0.755"/>
    <n v="7270"/>
    <n v="5489"/>
    <x v="0"/>
    <x v="0"/>
    <s v="Ventus 3 FES"/>
    <s v="LZ"/>
    <s v="Není v databázi"/>
    <m/>
  </r>
  <r>
    <x v="459"/>
    <x v="4"/>
    <x v="1"/>
    <x v="196"/>
    <x v="3"/>
    <s v="Alpe Adria Cup 2023 - Kombi Open"/>
    <s v="AT"/>
    <n v="2023"/>
    <n v="11"/>
    <n v="2911"/>
    <n v="0.755"/>
    <n v="7069"/>
    <n v="5337"/>
    <x v="0"/>
    <x v="0"/>
    <s v="AS33 18m"/>
    <s v="WG"/>
    <s v="Není v databázi"/>
    <m/>
  </r>
  <r>
    <x v="646"/>
    <x v="4"/>
    <x v="1"/>
    <x v="197"/>
    <x v="3"/>
    <s v="Alpe Adria Cup 2023 - Kombi Open"/>
    <s v="AT"/>
    <n v="2023"/>
    <n v="12"/>
    <n v="2690"/>
    <n v="0.755"/>
    <n v="6531"/>
    <n v="4931"/>
    <x v="0"/>
    <x v="0"/>
    <s v="AS33Es"/>
    <s v="CO"/>
    <s v="Není v databázi"/>
    <m/>
  </r>
  <r>
    <x v="647"/>
    <x v="4"/>
    <x v="1"/>
    <x v="176"/>
    <x v="3"/>
    <s v="Alpe Adria Cup 2023 - Kombi Open"/>
    <s v="AT"/>
    <n v="2023"/>
    <n v="13"/>
    <n v="2559"/>
    <n v="0.755"/>
    <n v="6159"/>
    <n v="4650"/>
    <x v="0"/>
    <x v="0"/>
    <s v="ASG-29e"/>
    <s v="RR"/>
    <s v="Není v databázi"/>
    <m/>
  </r>
  <r>
    <x v="648"/>
    <x v="4"/>
    <x v="1"/>
    <x v="198"/>
    <x v="3"/>
    <s v="Alpe Adria Cup 2023 - Kombi Open"/>
    <s v="AT"/>
    <n v="2023"/>
    <n v="14"/>
    <n v="2468"/>
    <n v="0.755"/>
    <n v="5860"/>
    <n v="4424"/>
    <x v="0"/>
    <x v="0"/>
    <s v="ASG 29E"/>
    <s v="HNO"/>
    <s v="Není v databázi"/>
    <m/>
  </r>
  <r>
    <x v="649"/>
    <x v="4"/>
    <x v="1"/>
    <x v="198"/>
    <x v="3"/>
    <s v="Alpe Adria Cup 2023 - Kombi Open"/>
    <s v="AT"/>
    <n v="2023"/>
    <n v="15"/>
    <n v="2298"/>
    <n v="0.755"/>
    <n v="5416"/>
    <n v="4089"/>
    <x v="0"/>
    <x v="0"/>
    <s v="EB29"/>
    <s v="TK"/>
    <s v="Není v databázi"/>
    <m/>
  </r>
  <r>
    <x v="650"/>
    <x v="4"/>
    <x v="1"/>
    <x v="199"/>
    <x v="3"/>
    <s v="Alpe Adria Cup 2023 - Kombi Open"/>
    <s v="AT"/>
    <n v="2023"/>
    <n v="16"/>
    <n v="1820"/>
    <n v="0.755"/>
    <n v="4403"/>
    <n v="3324"/>
    <x v="0"/>
    <x v="0"/>
    <s v="Ventus 3M"/>
    <s v="RU"/>
    <s v="Není v databázi"/>
    <m/>
  </r>
  <r>
    <x v="651"/>
    <x v="4"/>
    <x v="1"/>
    <x v="200"/>
    <x v="3"/>
    <s v="Alpe Adria Cup 2023 - Kombi Open"/>
    <s v="AT"/>
    <n v="2023"/>
    <n v="17"/>
    <n v="1527"/>
    <n v="0.755"/>
    <n v="3732"/>
    <n v="2818"/>
    <x v="0"/>
    <x v="0"/>
    <s v="TwinShark"/>
    <s v="Q"/>
    <s v="Není v databázi"/>
    <m/>
  </r>
  <r>
    <x v="652"/>
    <x v="4"/>
    <x v="1"/>
    <x v="201"/>
    <x v="3"/>
    <s v="Alpe Adria Cup 2023 - Kombi Open"/>
    <s v="AT"/>
    <n v="2023"/>
    <n v="18"/>
    <n v="1475"/>
    <n v="0.755"/>
    <n v="3505"/>
    <n v="2646"/>
    <x v="0"/>
    <x v="0"/>
    <s v="ASH26E"/>
    <s v="BV"/>
    <s v="Není v databázi"/>
    <m/>
  </r>
  <r>
    <x v="653"/>
    <x v="4"/>
    <x v="1"/>
    <x v="63"/>
    <x v="3"/>
    <s v="Alpe Adria Cup 2023 - Kombi Open"/>
    <s v="AT"/>
    <n v="2023"/>
    <n v="19"/>
    <n v="997"/>
    <n v="0.755"/>
    <n v="2493"/>
    <n v="1882"/>
    <x v="0"/>
    <x v="0"/>
    <s v="Ventus 2cxT"/>
    <s v="CX"/>
    <s v="Není v databázi"/>
    <m/>
  </r>
  <r>
    <x v="654"/>
    <x v="36"/>
    <x v="0"/>
    <x v="30"/>
    <x v="2"/>
    <s v="Alpe Adria Cup 2023 - Kombi Open"/>
    <s v="AT"/>
    <n v="2023"/>
    <n v="20"/>
    <n v="954"/>
    <n v="0.755"/>
    <n v="2283"/>
    <n v="1724"/>
    <x v="1"/>
    <x v="0"/>
    <s v="Ventus 3"/>
    <s v="I3"/>
    <s v=""/>
    <m/>
  </r>
  <r>
    <x v="655"/>
    <x v="4"/>
    <x v="1"/>
    <x v="202"/>
    <x v="3"/>
    <s v="Alpe Adria Cup 2023 - Kombi Open"/>
    <s v="AT"/>
    <n v="2023"/>
    <n v="21"/>
    <n v="933"/>
    <n v="0.755"/>
    <n v="2114"/>
    <n v="1596"/>
    <x v="0"/>
    <x v="0"/>
    <s v="Ventus M"/>
    <s v="SB"/>
    <s v="Není v databázi"/>
    <m/>
  </r>
  <r>
    <x v="656"/>
    <x v="4"/>
    <x v="1"/>
    <x v="203"/>
    <x v="3"/>
    <s v="Alpe Adria Cup 2023 - Kombi Open"/>
    <s v="AT"/>
    <n v="2023"/>
    <n v="22"/>
    <n v="902"/>
    <n v="0.755"/>
    <n v="1926"/>
    <n v="1454"/>
    <x v="0"/>
    <x v="0"/>
    <s v="JS3 15m"/>
    <s v="LG"/>
    <s v="Není v databázi"/>
    <m/>
  </r>
  <r>
    <x v="657"/>
    <x v="4"/>
    <x v="1"/>
    <x v="204"/>
    <x v="3"/>
    <s v="Alpe Adria Cup 2023 - Kombi Open"/>
    <s v="AT"/>
    <n v="2023"/>
    <n v="23"/>
    <n v="898"/>
    <n v="0.755"/>
    <n v="1788"/>
    <n v="1350"/>
    <x v="0"/>
    <x v="0"/>
    <s v="JS1EVO 18m"/>
    <s v="EVO"/>
    <s v="Není v databázi"/>
    <m/>
  </r>
  <r>
    <x v="658"/>
    <x v="4"/>
    <x v="1"/>
    <x v="205"/>
    <x v="3"/>
    <s v="Alpe Adria Cup 2023 - Kombi Open"/>
    <s v="AT"/>
    <n v="2023"/>
    <n v="24"/>
    <n v="710"/>
    <n v="0.755"/>
    <n v="1311"/>
    <n v="990"/>
    <x v="0"/>
    <x v="0"/>
    <s v="Ventus 2cT"/>
    <s v="BS"/>
    <s v="Není v databázi"/>
    <m/>
  </r>
  <r>
    <x v="659"/>
    <x v="27"/>
    <x v="0"/>
    <x v="64"/>
    <x v="0"/>
    <s v="Podbrdský pohár 2024 - Kombi"/>
    <s v="CZ"/>
    <n v="2024"/>
    <n v="1"/>
    <n v="1278"/>
    <n v="0.73"/>
    <n v="10000"/>
    <n v="7300"/>
    <x v="1"/>
    <x v="0"/>
    <s v="JS3 RES 18m"/>
    <s v="NS"/>
    <s v=""/>
    <m/>
  </r>
  <r>
    <x v="400"/>
    <x v="5"/>
    <x v="0"/>
    <x v="17"/>
    <x v="0"/>
    <s v="Podbrdský pohár 2024 - Kombi"/>
    <s v="CZ"/>
    <n v="2024"/>
    <n v="2"/>
    <n v="1011"/>
    <n v="0.73"/>
    <n v="8238"/>
    <n v="6014"/>
    <x v="1"/>
    <x v="0"/>
    <s v="Ventus 2 cm 18m 565kg (voda)"/>
    <s v="RS"/>
    <s v=""/>
    <m/>
  </r>
  <r>
    <x v="660"/>
    <x v="31"/>
    <x v="0"/>
    <x v="17"/>
    <x v="0"/>
    <s v="Podbrdský pohár 2024 - Kombi"/>
    <s v="CZ"/>
    <n v="2024"/>
    <n v="3"/>
    <n v="994"/>
    <n v="0.73"/>
    <n v="7844"/>
    <n v="5726"/>
    <x v="1"/>
    <x v="0"/>
    <s v="LS 8/18m"/>
    <s v="EJ"/>
    <s v=""/>
    <m/>
  </r>
  <r>
    <x v="661"/>
    <x v="5"/>
    <x v="0"/>
    <x v="17"/>
    <x v="0"/>
    <s v="Podbrdský pohár 2024 - Kombi"/>
    <s v="CZ"/>
    <n v="2024"/>
    <n v="4"/>
    <n v="976"/>
    <n v="0.73"/>
    <n v="7446"/>
    <n v="5436"/>
    <x v="1"/>
    <x v="0"/>
    <s v="DuoDiscus,T 700 kg (voda)"/>
    <s v="DL"/>
    <s v=""/>
    <m/>
  </r>
  <r>
    <x v="220"/>
    <x v="23"/>
    <x v="0"/>
    <x v="17"/>
    <x v="0"/>
    <s v="Podbrdský pohár 2024 - Kombi"/>
    <s v="CZ"/>
    <n v="2024"/>
    <n v="5"/>
    <n v="676"/>
    <n v="0.73"/>
    <n v="5503"/>
    <n v="4017"/>
    <x v="0"/>
    <x v="0"/>
    <s v="JS3 RES 18m"/>
    <s v="BS"/>
    <s v=""/>
    <m/>
  </r>
  <r>
    <x v="119"/>
    <x v="22"/>
    <x v="0"/>
    <x v="37"/>
    <x v="1"/>
    <s v="Podbrdský pohár 2024 - Kombi"/>
    <s v="CZ"/>
    <n v="2024"/>
    <n v="6"/>
    <n v="644"/>
    <n v="0.73"/>
    <n v="5027"/>
    <n v="3670"/>
    <x v="0"/>
    <x v="0"/>
    <s v="Ventus 2cxm 18m 565kg (voda)"/>
    <s v="E8"/>
    <s v=""/>
    <m/>
  </r>
  <r>
    <x v="230"/>
    <x v="14"/>
    <x v="0"/>
    <x v="2"/>
    <x v="0"/>
    <s v="Podbrdský pohár 2024 - Kombi"/>
    <s v="CZ"/>
    <n v="2024"/>
    <n v="7"/>
    <n v="580"/>
    <n v="0.73"/>
    <n v="4377"/>
    <n v="3195"/>
    <x v="0"/>
    <x v="0"/>
    <s v="HPH 304M Shark 560kg 18m (voda)"/>
    <s v="LK"/>
    <s v=""/>
    <m/>
  </r>
  <r>
    <x v="662"/>
    <x v="18"/>
    <x v="0"/>
    <x v="17"/>
    <x v="0"/>
    <s v="Podbrdský pohár 2024 - Kombi"/>
    <s v="CZ"/>
    <n v="2024"/>
    <n v="8"/>
    <n v="405"/>
    <n v="0.73"/>
    <n v="3118"/>
    <n v="2276"/>
    <x v="1"/>
    <x v="0"/>
    <s v="LAK 19 T 18m"/>
    <s v="LT"/>
    <s v=""/>
    <m/>
  </r>
  <r>
    <x v="219"/>
    <x v="6"/>
    <x v="0"/>
    <x v="61"/>
    <x v="1"/>
    <s v="Podbrdský pohár 2024 - Kombi"/>
    <s v="CZ"/>
    <n v="2024"/>
    <n v="9"/>
    <n v="341"/>
    <n v="0.73"/>
    <n v="2468"/>
    <n v="1802"/>
    <x v="0"/>
    <x v="0"/>
    <s v="Nimbus 4DM"/>
    <n v="7"/>
    <s v=""/>
    <m/>
  </r>
  <r>
    <x v="663"/>
    <x v="45"/>
    <x v="0"/>
    <x v="17"/>
    <x v="0"/>
    <s v="Podbrdský pohár 2024 - Kombi"/>
    <s v="CZ"/>
    <n v="2024"/>
    <n v="10"/>
    <n v="156"/>
    <n v="0.73"/>
    <n v="1154"/>
    <n v="842"/>
    <x v="1"/>
    <x v="0"/>
    <s v="DG-800S 18m+W (voda)"/>
    <s v="9j"/>
    <s v=""/>
    <m/>
  </r>
  <r>
    <x v="223"/>
    <x v="32"/>
    <x v="0"/>
    <x v="17"/>
    <x v="0"/>
    <s v="Podbrdský pohár 2024 - Kombi"/>
    <s v="CZ"/>
    <n v="2024"/>
    <n v="11"/>
    <n v="0"/>
    <n v="0.73"/>
    <n v="0"/>
    <n v="0"/>
    <x v="0"/>
    <x v="0"/>
    <s v="Ventus ct 17,6m (voda)"/>
    <s v="AW"/>
    <s v=""/>
    <m/>
  </r>
  <r>
    <x v="224"/>
    <x v="25"/>
    <x v="0"/>
    <x v="17"/>
    <x v="0"/>
    <s v="Podbrdský pohár 2024 - Kombi"/>
    <s v="CZ"/>
    <n v="2024"/>
    <n v="11"/>
    <n v="0"/>
    <n v="0.73"/>
    <n v="0"/>
    <n v="0"/>
    <x v="0"/>
    <x v="0"/>
    <s v="LS 8/18m"/>
    <n v="301"/>
    <s v=""/>
    <m/>
  </r>
  <r>
    <x v="82"/>
    <x v="36"/>
    <x v="0"/>
    <x v="32"/>
    <x v="2"/>
    <s v="JPJ 2024 - Klub"/>
    <s v="CZ"/>
    <n v="2024"/>
    <n v="1"/>
    <n v="3186"/>
    <n v="0.9"/>
    <n v="10000"/>
    <n v="9000"/>
    <x v="1"/>
    <x v="0"/>
    <s v="Std. Cirrus"/>
    <s v="NK"/>
    <s v=""/>
    <m/>
  </r>
  <r>
    <x v="81"/>
    <x v="8"/>
    <x v="0"/>
    <x v="23"/>
    <x v="0"/>
    <s v="JPJ 2024 - Klub"/>
    <s v="CZ"/>
    <n v="2024"/>
    <n v="2"/>
    <n v="3124"/>
    <n v="0.9"/>
    <n v="9767"/>
    <n v="8790"/>
    <x v="0"/>
    <x v="0"/>
    <s v="Discus bt WL"/>
    <s v="OI"/>
    <s v=""/>
    <m/>
  </r>
  <r>
    <x v="60"/>
    <x v="11"/>
    <x v="0"/>
    <x v="6"/>
    <x v="2"/>
    <s v="JPJ 2024 - Klub"/>
    <s v="CZ"/>
    <n v="2024"/>
    <n v="3"/>
    <n v="3110"/>
    <n v="0.9"/>
    <n v="9639"/>
    <n v="8675"/>
    <x v="1"/>
    <x v="0"/>
    <s v="ASW-15B"/>
    <s v="PA"/>
    <s v=""/>
    <m/>
  </r>
  <r>
    <x v="123"/>
    <x v="37"/>
    <x v="0"/>
    <x v="7"/>
    <x v="2"/>
    <s v="JPJ 2024 - Klub"/>
    <s v="CZ"/>
    <n v="2024"/>
    <n v="4"/>
    <n v="3106"/>
    <n v="0.9"/>
    <n v="9534"/>
    <n v="8581"/>
    <x v="1"/>
    <x v="0"/>
    <s v="ASW-19B"/>
    <s v="NO"/>
    <s v=""/>
    <m/>
  </r>
  <r>
    <x v="84"/>
    <x v="35"/>
    <x v="0"/>
    <x v="32"/>
    <x v="2"/>
    <s v="JPJ 2024 - Klub"/>
    <s v="CZ"/>
    <n v="2024"/>
    <n v="5"/>
    <n v="3100"/>
    <n v="0.9"/>
    <n v="9424"/>
    <n v="8482"/>
    <x v="1"/>
    <x v="0"/>
    <s v="LS-1f"/>
    <s v="JT"/>
    <s v=""/>
    <m/>
  </r>
  <r>
    <x v="102"/>
    <x v="35"/>
    <x v="0"/>
    <x v="28"/>
    <x v="2"/>
    <s v="JPJ 2024 - Klub"/>
    <s v="CZ"/>
    <n v="2024"/>
    <n v="6"/>
    <n v="3071"/>
    <n v="0.9"/>
    <n v="9263"/>
    <n v="8337"/>
    <x v="1"/>
    <x v="0"/>
    <s v="Discus CS WL"/>
    <s v="VE"/>
    <s v=""/>
    <m/>
  </r>
  <r>
    <x v="77"/>
    <x v="41"/>
    <x v="0"/>
    <x v="30"/>
    <x v="2"/>
    <s v="JPJ 2024 - Klub"/>
    <s v="CZ"/>
    <n v="2024"/>
    <n v="7"/>
    <n v="2862"/>
    <n v="0.9"/>
    <n v="8707"/>
    <n v="7836"/>
    <x v="1"/>
    <x v="0"/>
    <s v="ASW-20 (A)+L+F 15mL"/>
    <s v="NS"/>
    <s v=""/>
    <m/>
  </r>
  <r>
    <x v="95"/>
    <x v="23"/>
    <x v="0"/>
    <x v="28"/>
    <x v="2"/>
    <s v="JPJ 2024 - Klub"/>
    <s v="CZ"/>
    <n v="2024"/>
    <n v="8"/>
    <n v="2802"/>
    <n v="0.9"/>
    <n v="8479"/>
    <n v="7631"/>
    <x v="1"/>
    <x v="0"/>
    <s v="ASW-19B"/>
    <s v="B8"/>
    <s v=""/>
    <m/>
  </r>
  <r>
    <x v="92"/>
    <x v="35"/>
    <x v="0"/>
    <x v="34"/>
    <x v="2"/>
    <s v="JPJ 2024 - Klub"/>
    <s v="CZ"/>
    <n v="2024"/>
    <n v="9"/>
    <n v="2778"/>
    <n v="0.9"/>
    <n v="8329"/>
    <n v="7496"/>
    <x v="1"/>
    <x v="0"/>
    <s v="DG-101 G"/>
    <s v="HE"/>
    <s v=""/>
    <m/>
  </r>
  <r>
    <x v="93"/>
    <x v="9"/>
    <x v="0"/>
    <x v="34"/>
    <x v="2"/>
    <s v="JPJ 2024 - Klub"/>
    <s v="CZ"/>
    <n v="2024"/>
    <n v="10"/>
    <n v="2725"/>
    <n v="0.9"/>
    <n v="8116"/>
    <n v="7304"/>
    <x v="1"/>
    <x v="0"/>
    <s v="LS-3 15m"/>
    <s v="Y1"/>
    <s v=""/>
    <m/>
  </r>
  <r>
    <x v="63"/>
    <x v="1"/>
    <x v="0"/>
    <x v="6"/>
    <x v="2"/>
    <s v="JPJ 2024 - Klub"/>
    <s v="CZ"/>
    <n v="2024"/>
    <n v="11"/>
    <n v="2700"/>
    <n v="0.9"/>
    <n v="7964"/>
    <n v="7168"/>
    <x v="1"/>
    <x v="0"/>
    <s v="DG-400 15m"/>
    <s v="RD"/>
    <s v=""/>
    <m/>
  </r>
  <r>
    <x v="664"/>
    <x v="58"/>
    <x v="0"/>
    <x v="16"/>
    <x v="0"/>
    <s v="JPJ 2024 - Klub"/>
    <s v="CZ"/>
    <n v="2024"/>
    <n v="12"/>
    <n v="2684"/>
    <n v="0.9"/>
    <n v="7833"/>
    <n v="7050"/>
    <x v="1"/>
    <x v="0"/>
    <s v="LS-7"/>
    <s v="LZ"/>
    <s v=""/>
    <m/>
  </r>
  <r>
    <x v="404"/>
    <x v="44"/>
    <x v="2"/>
    <x v="12"/>
    <x v="1"/>
    <s v="JPJ 2024 - Klub"/>
    <s v="CZ"/>
    <n v="2024"/>
    <n v="13"/>
    <n v="2578"/>
    <n v="0.9"/>
    <n v="7503"/>
    <n v="6753"/>
    <x v="0"/>
    <x v="0"/>
    <s v="LS-4"/>
    <s v="6L"/>
    <s v="Junior v roce 2026"/>
    <m/>
  </r>
  <r>
    <x v="98"/>
    <x v="36"/>
    <x v="0"/>
    <x v="35"/>
    <x v="2"/>
    <s v="JPJ 2024 - Klub"/>
    <s v="CZ"/>
    <n v="2024"/>
    <n v="14"/>
    <n v="2531"/>
    <n v="0.9"/>
    <n v="7303"/>
    <n v="6573"/>
    <x v="1"/>
    <x v="0"/>
    <s v="Std. Cirrus"/>
    <s v="RT"/>
    <s v=""/>
    <m/>
  </r>
  <r>
    <x v="16"/>
    <x v="13"/>
    <x v="0"/>
    <x v="12"/>
    <x v="1"/>
    <s v="JPJ 2024 - Klub"/>
    <s v="CZ"/>
    <n v="2024"/>
    <n v="15"/>
    <n v="2529"/>
    <n v="0.9"/>
    <n v="7202"/>
    <n v="6482"/>
    <x v="1"/>
    <x v="0"/>
    <s v="ASW-20 15m"/>
    <n v="67"/>
    <s v=""/>
    <m/>
  </r>
  <r>
    <x v="88"/>
    <x v="9"/>
    <x v="0"/>
    <x v="28"/>
    <x v="2"/>
    <s v="JPJ 2024 - Klub"/>
    <s v="CZ"/>
    <n v="2024"/>
    <n v="16"/>
    <n v="2526"/>
    <n v="0.9"/>
    <n v="7098"/>
    <n v="6388"/>
    <x v="1"/>
    <x v="0"/>
    <s v="Discus b"/>
    <s v="SJ"/>
    <s v=""/>
    <m/>
  </r>
  <r>
    <x v="665"/>
    <x v="43"/>
    <x v="0"/>
    <x v="10"/>
    <x v="0"/>
    <s v="JPJ 2024 - Klub"/>
    <s v="CZ"/>
    <n v="2024"/>
    <n v="17"/>
    <n v="2445"/>
    <n v="0.9"/>
    <n v="6824"/>
    <n v="6142"/>
    <x v="1"/>
    <x v="0"/>
    <s v="LS-1f"/>
    <s v="EF"/>
    <s v=""/>
    <m/>
  </r>
  <r>
    <x v="100"/>
    <x v="44"/>
    <x v="0"/>
    <x v="30"/>
    <x v="2"/>
    <s v="JPJ 2024 - Klub"/>
    <s v="CZ"/>
    <n v="2024"/>
    <n v="18"/>
    <n v="2385"/>
    <n v="0.9"/>
    <n v="6595"/>
    <n v="5936"/>
    <x v="0"/>
    <x v="0"/>
    <s v="Std. Cirrus"/>
    <s v="MJ"/>
    <s v="Junior v roce 2026"/>
    <m/>
  </r>
  <r>
    <x v="94"/>
    <x v="43"/>
    <x v="0"/>
    <x v="35"/>
    <x v="2"/>
    <s v="JPJ 2024 - Klub"/>
    <s v="CZ"/>
    <n v="2024"/>
    <n v="19"/>
    <n v="2314"/>
    <n v="0.9"/>
    <n v="6342"/>
    <n v="5708"/>
    <x v="1"/>
    <x v="0"/>
    <s v="ASW-15B"/>
    <s v="FK"/>
    <s v=""/>
    <m/>
  </r>
  <r>
    <x v="89"/>
    <x v="5"/>
    <x v="0"/>
    <x v="28"/>
    <x v="2"/>
    <s v="JPJ 2024 - Klub"/>
    <s v="CZ"/>
    <n v="2024"/>
    <n v="20"/>
    <n v="2279"/>
    <n v="0.9"/>
    <n v="6169"/>
    <n v="5552"/>
    <x v="0"/>
    <x v="0"/>
    <s v="LS-3a 15m"/>
    <s v="S20"/>
    <s v=""/>
    <m/>
  </r>
  <r>
    <x v="86"/>
    <x v="27"/>
    <x v="0"/>
    <x v="23"/>
    <x v="0"/>
    <s v="JPJ 2024 - Klub"/>
    <s v="CZ"/>
    <n v="2024"/>
    <n v="21"/>
    <n v="2217"/>
    <n v="0.9"/>
    <n v="5936"/>
    <n v="5342"/>
    <x v="0"/>
    <x v="0"/>
    <s v="ASW-15B"/>
    <s v="JJ"/>
    <s v=""/>
    <m/>
  </r>
  <r>
    <x v="99"/>
    <x v="25"/>
    <x v="0"/>
    <x v="18"/>
    <x v="2"/>
    <s v="JPJ 2024 - Klub"/>
    <s v="CZ"/>
    <n v="2024"/>
    <n v="22"/>
    <n v="2062"/>
    <n v="0.9"/>
    <n v="5498"/>
    <n v="4948"/>
    <x v="1"/>
    <x v="0"/>
    <s v="ASW-19B"/>
    <n v="19"/>
    <s v=""/>
    <m/>
  </r>
  <r>
    <x v="101"/>
    <x v="18"/>
    <x v="0"/>
    <x v="28"/>
    <x v="2"/>
    <s v="JPJ 2024 - Klub"/>
    <s v="CZ"/>
    <n v="2024"/>
    <n v="23"/>
    <n v="1914"/>
    <n v="0.9"/>
    <n v="5076"/>
    <n v="4568"/>
    <x v="1"/>
    <x v="0"/>
    <s v="ASW-15B"/>
    <s v="R5"/>
    <s v=""/>
    <m/>
  </r>
  <r>
    <x v="91"/>
    <x v="2"/>
    <x v="0"/>
    <x v="28"/>
    <x v="2"/>
    <s v="JPJ 2024 - Klub"/>
    <s v="CZ"/>
    <n v="2024"/>
    <n v="24"/>
    <n v="1846"/>
    <n v="0.9"/>
    <n v="4830"/>
    <n v="4347"/>
    <x v="1"/>
    <x v="0"/>
    <s v="ASW-15B"/>
    <s v="Q1"/>
    <s v=""/>
    <m/>
  </r>
  <r>
    <x v="109"/>
    <x v="25"/>
    <x v="0"/>
    <x v="27"/>
    <x v="2"/>
    <s v="JPJ 2024 - Klub"/>
    <s v="CZ"/>
    <n v="2024"/>
    <n v="25"/>
    <n v="1363"/>
    <n v="0.9"/>
    <n v="3672"/>
    <n v="3305"/>
    <x v="1"/>
    <x v="0"/>
    <s v="DG-400 15m"/>
    <s v="MR"/>
    <s v=""/>
    <m/>
  </r>
  <r>
    <x v="666"/>
    <x v="1"/>
    <x v="0"/>
    <x v="34"/>
    <x v="2"/>
    <s v="JPJ 2024 - Klub"/>
    <s v="CZ"/>
    <n v="2024"/>
    <n v="26"/>
    <n v="1237"/>
    <n v="0.9"/>
    <n v="3298"/>
    <n v="2968"/>
    <x v="1"/>
    <x v="0"/>
    <s v="G-102 Astir cs"/>
    <s v="AX"/>
    <s v=""/>
    <m/>
  </r>
  <r>
    <x v="104"/>
    <x v="21"/>
    <x v="0"/>
    <x v="27"/>
    <x v="2"/>
    <s v="JPJ 2024 - Klub"/>
    <s v="CZ"/>
    <n v="2024"/>
    <n v="27"/>
    <n v="1131"/>
    <n v="0.9"/>
    <n v="2969"/>
    <n v="2672"/>
    <x v="1"/>
    <x v="0"/>
    <s v="LS-1f"/>
    <s v="DP"/>
    <s v=""/>
    <m/>
  </r>
  <r>
    <x v="108"/>
    <x v="28"/>
    <x v="0"/>
    <x v="27"/>
    <x v="2"/>
    <s v="JPJ 2024 - Klub"/>
    <s v="CZ"/>
    <n v="2024"/>
    <n v="28"/>
    <n v="1019"/>
    <n v="0.9"/>
    <n v="2626"/>
    <n v="2363"/>
    <x v="1"/>
    <x v="0"/>
    <s v="G-102 Astir 77"/>
    <s v="AS"/>
    <s v=""/>
    <m/>
  </r>
  <r>
    <x v="96"/>
    <x v="2"/>
    <x v="0"/>
    <x v="2"/>
    <x v="0"/>
    <s v="JPJ 2024 - Klub"/>
    <s v="CZ"/>
    <n v="2024"/>
    <n v="28"/>
    <n v="1019"/>
    <n v="0.9"/>
    <n v="2626"/>
    <n v="2363"/>
    <x v="0"/>
    <x v="0"/>
    <s v="Std. Cirrus"/>
    <s v="YU"/>
    <s v=""/>
    <m/>
  </r>
  <r>
    <x v="667"/>
    <x v="26"/>
    <x v="0"/>
    <x v="32"/>
    <x v="2"/>
    <s v="JPJ 2024 - Klub"/>
    <s v="CZ"/>
    <n v="2024"/>
    <n v="30"/>
    <n v="984"/>
    <n v="0.9"/>
    <n v="2356"/>
    <n v="2120"/>
    <x v="1"/>
    <x v="0"/>
    <s v="Std. Cirrus"/>
    <s v="WO"/>
    <s v=""/>
    <m/>
  </r>
  <r>
    <x v="103"/>
    <x v="16"/>
    <x v="2"/>
    <x v="34"/>
    <x v="2"/>
    <s v="JPJ 2024 - Klub"/>
    <s v="CZ"/>
    <n v="2024"/>
    <n v="31"/>
    <n v="917"/>
    <n v="0.9"/>
    <n v="2112"/>
    <n v="1901"/>
    <x v="1"/>
    <x v="1"/>
    <s v="ASW-15"/>
    <s v="YZ"/>
    <s v=""/>
    <m/>
  </r>
  <r>
    <x v="668"/>
    <x v="1"/>
    <x v="0"/>
    <x v="34"/>
    <x v="2"/>
    <s v="JPJ 2024 - Klub"/>
    <s v="CZ"/>
    <n v="2024"/>
    <n v="32"/>
    <n v="788"/>
    <n v="0.9"/>
    <n v="1731"/>
    <n v="1558"/>
    <x v="1"/>
    <x v="0"/>
    <s v="G-102 Astir cs"/>
    <s v="AL"/>
    <s v=""/>
    <m/>
  </r>
  <r>
    <x v="41"/>
    <x v="28"/>
    <x v="0"/>
    <x v="23"/>
    <x v="0"/>
    <s v="JPJ 2024 - Kombi"/>
    <s v="CZ"/>
    <n v="2024"/>
    <n v="1"/>
    <n v="3644"/>
    <n v="0.92500000000000004"/>
    <n v="10000"/>
    <n v="9250"/>
    <x v="1"/>
    <x v="0"/>
    <s v="AS 33 Es 18m"/>
    <s v="CAT"/>
    <s v=""/>
    <m/>
  </r>
  <r>
    <x v="3"/>
    <x v="3"/>
    <x v="0"/>
    <x v="3"/>
    <x v="2"/>
    <s v="JPJ 2024 - Kombi"/>
    <s v="CZ"/>
    <n v="2024"/>
    <n v="2"/>
    <n v="3568"/>
    <n v="0.92500000000000004"/>
    <n v="9724"/>
    <n v="8995"/>
    <x v="0"/>
    <x v="0"/>
    <s v="LS-8b 18m"/>
    <s v="FX"/>
    <s v="Junior v roce 2026"/>
    <m/>
  </r>
  <r>
    <x v="455"/>
    <x v="5"/>
    <x v="0"/>
    <x v="3"/>
    <x v="2"/>
    <s v="JPJ 2024 - Kombi"/>
    <s v="CZ"/>
    <n v="2024"/>
    <n v="3"/>
    <n v="3535"/>
    <n v="0.92500000000000004"/>
    <n v="9530"/>
    <n v="8815"/>
    <x v="1"/>
    <x v="0"/>
    <s v="LS-8-18 18m"/>
    <n v="18"/>
    <s v=""/>
    <m/>
  </r>
  <r>
    <x v="277"/>
    <x v="29"/>
    <x v="0"/>
    <x v="28"/>
    <x v="2"/>
    <s v="JPJ 2024 - Kombi"/>
    <s v="CZ"/>
    <n v="2024"/>
    <n v="4"/>
    <n v="3495"/>
    <n v="0.92500000000000004"/>
    <n v="9322"/>
    <n v="8623"/>
    <x v="1"/>
    <x v="0"/>
    <s v="Duo Discus T 700kg"/>
    <s v="ZS"/>
    <s v=""/>
    <m/>
  </r>
  <r>
    <x v="111"/>
    <x v="45"/>
    <x v="0"/>
    <x v="28"/>
    <x v="2"/>
    <s v="JPJ 2024 - Kombi"/>
    <s v="CZ"/>
    <n v="2024"/>
    <n v="5"/>
    <n v="3379"/>
    <n v="0.92500000000000004"/>
    <n v="8969"/>
    <n v="8296"/>
    <x v="1"/>
    <x v="0"/>
    <s v="Ventus cm 17.6m"/>
    <s v="IHH"/>
    <s v=""/>
    <m/>
  </r>
  <r>
    <x v="112"/>
    <x v="25"/>
    <x v="0"/>
    <x v="10"/>
    <x v="0"/>
    <s v="JPJ 2024 - Kombi"/>
    <s v="CZ"/>
    <n v="2024"/>
    <n v="6"/>
    <n v="3296"/>
    <n v="0.92500000000000004"/>
    <n v="8679"/>
    <n v="8028"/>
    <x v="1"/>
    <x v="0"/>
    <s v="Ventus ct 17.6m"/>
    <s v="KR"/>
    <s v=""/>
    <m/>
  </r>
  <r>
    <x v="44"/>
    <x v="29"/>
    <x v="0"/>
    <x v="10"/>
    <x v="0"/>
    <s v="JPJ 2024 - Kombi"/>
    <s v="CZ"/>
    <n v="2024"/>
    <n v="7"/>
    <n v="2973"/>
    <n v="0.92500000000000004"/>
    <n v="7928"/>
    <n v="7333"/>
    <x v="1"/>
    <x v="0"/>
    <s v="HpH 304MS SHARK 18m 600kg"/>
    <s v="DJ"/>
    <s v=""/>
    <m/>
  </r>
  <r>
    <x v="110"/>
    <x v="29"/>
    <x v="0"/>
    <x v="34"/>
    <x v="2"/>
    <s v="JPJ 2024 - Kombi"/>
    <s v="CZ"/>
    <n v="2024"/>
    <n v="8"/>
    <n v="2908"/>
    <n v="0.92500000000000004"/>
    <n v="7673"/>
    <n v="7098"/>
    <x v="1"/>
    <x v="0"/>
    <s v="Ventus 3M 18m"/>
    <s v="JS"/>
    <s v=""/>
    <m/>
  </r>
  <r>
    <x v="71"/>
    <x v="8"/>
    <x v="0"/>
    <x v="29"/>
    <x v="2"/>
    <s v="JPJ 2024 - Kombi"/>
    <s v="CZ"/>
    <n v="2024"/>
    <n v="9"/>
    <n v="2734"/>
    <n v="0.92500000000000004"/>
    <n v="7208"/>
    <n v="6667"/>
    <x v="0"/>
    <x v="0"/>
    <s v="Nimbus 4DM"/>
    <s v="AM"/>
    <s v=""/>
    <m/>
  </r>
  <r>
    <x v="669"/>
    <x v="25"/>
    <x v="0"/>
    <x v="37"/>
    <x v="1"/>
    <s v="JPJ 2024 - Kombi"/>
    <s v="CZ"/>
    <n v="2024"/>
    <n v="10"/>
    <n v="2634"/>
    <n v="0.92500000000000004"/>
    <n v="6886"/>
    <n v="6370"/>
    <x v="1"/>
    <x v="0"/>
    <s v="JS1-C 18m EVO"/>
    <s v="SK"/>
    <s v=""/>
    <m/>
  </r>
  <r>
    <x v="67"/>
    <x v="6"/>
    <x v="0"/>
    <x v="18"/>
    <x v="2"/>
    <s v="JPJ 2024 - Kombi"/>
    <s v="CZ"/>
    <n v="2024"/>
    <n v="11"/>
    <n v="2573"/>
    <n v="0.92500000000000004"/>
    <n v="6638"/>
    <n v="6140"/>
    <x v="0"/>
    <x v="0"/>
    <s v="Nimbus 3T 24.5m WL 750kg"/>
    <s v="A1"/>
    <s v=""/>
    <m/>
  </r>
  <r>
    <x v="116"/>
    <x v="21"/>
    <x v="0"/>
    <x v="27"/>
    <x v="2"/>
    <s v="JPJ 2024 - Kombi"/>
    <s v="CZ"/>
    <n v="2024"/>
    <n v="12"/>
    <n v="2539"/>
    <n v="0.92500000000000004"/>
    <n v="6443"/>
    <n v="5960"/>
    <x v="1"/>
    <x v="0"/>
    <s v="Ventus 2cm 18m 525kg"/>
    <s v="FN"/>
    <s v=""/>
    <m/>
  </r>
  <r>
    <x v="66"/>
    <x v="27"/>
    <x v="0"/>
    <x v="27"/>
    <x v="2"/>
    <s v="JPJ 2024 - Kombi"/>
    <s v="CZ"/>
    <n v="2024"/>
    <n v="13"/>
    <n v="2200"/>
    <n v="0.92500000000000004"/>
    <n v="5661"/>
    <n v="5236"/>
    <x v="0"/>
    <x v="0"/>
    <s v="Ventus cm 17.6m"/>
    <s v="JK"/>
    <s v=""/>
    <m/>
  </r>
  <r>
    <x v="119"/>
    <x v="22"/>
    <x v="0"/>
    <x v="37"/>
    <x v="1"/>
    <s v="JPJ 2024 - Kombi"/>
    <s v="CZ"/>
    <n v="2024"/>
    <n v="14"/>
    <n v="2132"/>
    <n v="0.92500000000000004"/>
    <n v="5400"/>
    <n v="4995"/>
    <x v="1"/>
    <x v="0"/>
    <s v="Ventus 2cxm 18m 565kg"/>
    <s v="E8"/>
    <s v=""/>
    <m/>
  </r>
  <r>
    <x v="117"/>
    <x v="32"/>
    <x v="0"/>
    <x v="37"/>
    <x v="1"/>
    <s v="JPJ 2024 - Kombi"/>
    <s v="CZ"/>
    <n v="2024"/>
    <n v="15"/>
    <n v="1925"/>
    <n v="0.92500000000000004"/>
    <n v="4872"/>
    <n v="4507"/>
    <x v="1"/>
    <x v="0"/>
    <s v="Duo Discus 700kg"/>
    <s v="VP"/>
    <s v=""/>
    <m/>
  </r>
  <r>
    <x v="97"/>
    <x v="43"/>
    <x v="0"/>
    <x v="0"/>
    <x v="0"/>
    <s v="JPJ 2024 - Kombi"/>
    <s v="CZ"/>
    <n v="2024"/>
    <n v="16"/>
    <n v="1893"/>
    <n v="0.92500000000000004"/>
    <n v="4680"/>
    <n v="4329"/>
    <x v="0"/>
    <x v="0"/>
    <s v="Ventus c 17.6m"/>
    <s v="LS"/>
    <s v=""/>
    <m/>
  </r>
  <r>
    <x v="120"/>
    <x v="42"/>
    <x v="0"/>
    <x v="18"/>
    <x v="2"/>
    <s v="JPJ 2024 - Kombi"/>
    <s v="CZ"/>
    <n v="2024"/>
    <n v="17"/>
    <n v="1890"/>
    <n v="0.92500000000000004"/>
    <n v="4544"/>
    <n v="4203"/>
    <x v="1"/>
    <x v="0"/>
    <s v="Duo Discus 700kg"/>
    <s v="OK"/>
    <s v=""/>
    <m/>
  </r>
  <r>
    <x v="113"/>
    <x v="6"/>
    <x v="0"/>
    <x v="35"/>
    <x v="2"/>
    <s v="JPJ 2024 - Kombi"/>
    <s v="CZ"/>
    <n v="2024"/>
    <n v="18"/>
    <n v="1743"/>
    <n v="0.92500000000000004"/>
    <n v="4131"/>
    <n v="3821"/>
    <x v="1"/>
    <x v="0"/>
    <s v="Nimbus 2b"/>
    <s v="HT"/>
    <s v=""/>
    <m/>
  </r>
  <r>
    <x v="74"/>
    <x v="36"/>
    <x v="0"/>
    <x v="18"/>
    <x v="2"/>
    <s v="JPJ 2024 - Kombi"/>
    <s v="CZ"/>
    <n v="2024"/>
    <n v="19"/>
    <n v="1724"/>
    <n v="0.92500000000000004"/>
    <n v="3964"/>
    <n v="3667"/>
    <x v="0"/>
    <x v="0"/>
    <s v="ASG-29E 18m"/>
    <s v="ŠNeK"/>
    <s v=""/>
    <m/>
  </r>
  <r>
    <x v="76"/>
    <x v="40"/>
    <x v="0"/>
    <x v="30"/>
    <x v="2"/>
    <s v="JPJ 2024 - Kombi"/>
    <s v="CZ"/>
    <n v="2024"/>
    <n v="20"/>
    <n v="1672"/>
    <n v="0.92500000000000004"/>
    <n v="3734"/>
    <n v="3454"/>
    <x v="0"/>
    <x v="0"/>
    <s v="LAK-17AT 18m"/>
    <s v="GLk"/>
    <s v=""/>
    <m/>
  </r>
  <r>
    <x v="79"/>
    <x v="5"/>
    <x v="0"/>
    <x v="18"/>
    <x v="2"/>
    <s v="JPJ 2024 - Kombi"/>
    <s v="CZ"/>
    <n v="2024"/>
    <n v="21"/>
    <n v="1631"/>
    <n v="0.92500000000000004"/>
    <n v="3524"/>
    <n v="3260"/>
    <x v="1"/>
    <x v="0"/>
    <s v="Nimbus 3 25.5m 700kg"/>
    <s v="RF"/>
    <s v=""/>
    <m/>
  </r>
  <r>
    <x v="118"/>
    <x v="31"/>
    <x v="0"/>
    <x v="34"/>
    <x v="2"/>
    <s v="JPJ 2024 - Kombi"/>
    <s v="CZ"/>
    <n v="2024"/>
    <n v="22"/>
    <n v="1513"/>
    <n v="0.92500000000000004"/>
    <n v="3167"/>
    <n v="2929"/>
    <x v="1"/>
    <x v="0"/>
    <s v="Nimbus 2b"/>
    <s v="MT"/>
    <s v=""/>
    <m/>
  </r>
  <r>
    <x v="115"/>
    <x v="41"/>
    <x v="0"/>
    <x v="28"/>
    <x v="2"/>
    <s v="JPJ 2024 - Kombi"/>
    <s v="CZ"/>
    <n v="2024"/>
    <n v="23"/>
    <n v="1406"/>
    <n v="0.92500000000000004"/>
    <n v="2831"/>
    <n v="2619"/>
    <x v="1"/>
    <x v="0"/>
    <s v="LS-8-18 18m"/>
    <s v="GL"/>
    <s v=""/>
    <m/>
  </r>
  <r>
    <x v="670"/>
    <x v="21"/>
    <x v="0"/>
    <x v="28"/>
    <x v="2"/>
    <s v="JPJ 2024 - Kombi"/>
    <s v="CZ"/>
    <n v="2024"/>
    <n v="24"/>
    <n v="1320"/>
    <n v="0.92500000000000004"/>
    <n v="2536"/>
    <n v="2346"/>
    <x v="1"/>
    <x v="0"/>
    <s v="Ventus c 17.6m"/>
    <s v="W"/>
    <s v=""/>
    <m/>
  </r>
  <r>
    <x v="7"/>
    <x v="6"/>
    <x v="0"/>
    <x v="7"/>
    <x v="2"/>
    <s v="AZ Cup 2024 - Klub"/>
    <s v="CZ"/>
    <n v="2024"/>
    <n v="1"/>
    <n v="1889"/>
    <n v="0.92"/>
    <n v="10000"/>
    <n v="9200"/>
    <x v="0"/>
    <x v="0"/>
    <s v="ASW 20"/>
    <s v="LL"/>
    <s v=""/>
    <m/>
  </r>
  <r>
    <x v="0"/>
    <x v="0"/>
    <x v="0"/>
    <x v="0"/>
    <x v="0"/>
    <s v="AZ Cup 2024 - Klub"/>
    <s v="CZ"/>
    <n v="2024"/>
    <n v="2"/>
    <n v="1872"/>
    <n v="0.92"/>
    <n v="9826"/>
    <n v="9040"/>
    <x v="0"/>
    <x v="0"/>
    <s v="ASW 20"/>
    <s v="A3"/>
    <s v=""/>
    <m/>
  </r>
  <r>
    <x v="1"/>
    <x v="1"/>
    <x v="0"/>
    <x v="1"/>
    <x v="1"/>
    <s v="AZ Cup 2024 - Klub"/>
    <s v="CZ"/>
    <n v="2024"/>
    <n v="3"/>
    <n v="1751"/>
    <n v="0.92"/>
    <n v="9266"/>
    <n v="8525"/>
    <x v="0"/>
    <x v="0"/>
    <s v="LS 4"/>
    <s v="PF"/>
    <s v=""/>
    <m/>
  </r>
  <r>
    <x v="2"/>
    <x v="2"/>
    <x v="0"/>
    <x v="2"/>
    <x v="0"/>
    <s v="AZ Cup 2024 - Klub"/>
    <s v="CZ"/>
    <n v="2024"/>
    <n v="4"/>
    <n v="1665"/>
    <n v="0.92"/>
    <n v="8837"/>
    <n v="8130"/>
    <x v="0"/>
    <x v="0"/>
    <s v="LS 4b"/>
    <s v="IX"/>
    <s v=""/>
    <m/>
  </r>
  <r>
    <x v="671"/>
    <x v="4"/>
    <x v="1"/>
    <x v="93"/>
    <x v="4"/>
    <s v="AZ Cup 2024 - Klub"/>
    <s v="CZ"/>
    <n v="2024"/>
    <n v="5"/>
    <n v="1628"/>
    <n v="0.92"/>
    <n v="8588"/>
    <n v="7901"/>
    <x v="0"/>
    <x v="0"/>
    <s v="ASW 20"/>
    <s v="IKW"/>
    <s v="Není v databázi"/>
    <m/>
  </r>
  <r>
    <x v="5"/>
    <x v="4"/>
    <x v="0"/>
    <x v="5"/>
    <x v="4"/>
    <s v="AZ Cup 2024 - Klub"/>
    <s v="CZ"/>
    <n v="2024"/>
    <n v="6"/>
    <n v="1570"/>
    <n v="0.92"/>
    <n v="8262"/>
    <n v="7601"/>
    <x v="0"/>
    <x v="0"/>
    <s v="ASW 20"/>
    <n v="311"/>
    <s v="Není v databázi"/>
    <m/>
  </r>
  <r>
    <x v="55"/>
    <x v="32"/>
    <x v="0"/>
    <x v="22"/>
    <x v="0"/>
    <s v="AZ Cup 2024 - Klub"/>
    <s v="CZ"/>
    <n v="2024"/>
    <n v="7"/>
    <n v="1567"/>
    <n v="0.92"/>
    <n v="8140"/>
    <n v="7489"/>
    <x v="0"/>
    <x v="0"/>
    <s v="ASW 20"/>
    <s v="CX"/>
    <s v=""/>
    <m/>
  </r>
  <r>
    <x v="12"/>
    <x v="10"/>
    <x v="0"/>
    <x v="0"/>
    <x v="0"/>
    <s v="AZ Cup 2024 - Klub"/>
    <s v="CZ"/>
    <n v="2024"/>
    <n v="8"/>
    <n v="1442"/>
    <n v="0.92"/>
    <n v="7566"/>
    <n v="6961"/>
    <x v="1"/>
    <x v="0"/>
    <s v="ASW 19"/>
    <s v="PH"/>
    <s v=""/>
    <m/>
  </r>
  <r>
    <x v="6"/>
    <x v="5"/>
    <x v="0"/>
    <x v="6"/>
    <x v="2"/>
    <s v="AZ Cup 2024 - Klub"/>
    <s v="CZ"/>
    <n v="2024"/>
    <n v="9"/>
    <n v="1439"/>
    <n v="0.92"/>
    <n v="7444"/>
    <n v="6848"/>
    <x v="1"/>
    <x v="0"/>
    <s v="LS 3a"/>
    <s v="SJ"/>
    <s v=""/>
    <m/>
  </r>
  <r>
    <x v="15"/>
    <x v="12"/>
    <x v="0"/>
    <x v="0"/>
    <x v="0"/>
    <s v="AZ Cup 2024 - Klub"/>
    <s v="CZ"/>
    <n v="2024"/>
    <n v="10"/>
    <n v="1410"/>
    <n v="0.92"/>
    <n v="7225"/>
    <n v="6647"/>
    <x v="1"/>
    <x v="0"/>
    <s v="ASW 19"/>
    <s v="PM"/>
    <s v=""/>
    <m/>
  </r>
  <r>
    <x v="672"/>
    <x v="4"/>
    <x v="1"/>
    <x v="206"/>
    <x v="6"/>
    <s v="AZ Cup 2024 - Klub"/>
    <s v="CZ"/>
    <n v="2024"/>
    <n v="11"/>
    <n v="1352"/>
    <n v="0.92"/>
    <n v="6899"/>
    <n v="6347"/>
    <x v="0"/>
    <x v="0"/>
    <s v="ASW 24"/>
    <n v="69"/>
    <s v="Není v databázi"/>
    <m/>
  </r>
  <r>
    <x v="13"/>
    <x v="4"/>
    <x v="1"/>
    <x v="11"/>
    <x v="5"/>
    <s v="AZ Cup 2024 - Klub"/>
    <s v="CZ"/>
    <n v="2024"/>
    <n v="12"/>
    <n v="1207"/>
    <n v="0.92"/>
    <n v="6251"/>
    <n v="5751"/>
    <x v="0"/>
    <x v="0"/>
    <s v="ASW 20 WL"/>
    <s v="CP"/>
    <s v="Není v databázi"/>
    <m/>
  </r>
  <r>
    <x v="100"/>
    <x v="44"/>
    <x v="0"/>
    <x v="30"/>
    <x v="2"/>
    <s v="AZ Cup 2024 - Klub"/>
    <s v="CZ"/>
    <n v="2024"/>
    <n v="13"/>
    <n v="1121"/>
    <n v="0.92"/>
    <n v="5821"/>
    <n v="5355"/>
    <x v="0"/>
    <x v="0"/>
    <s v="ASW 19b"/>
    <n v="34"/>
    <s v="Junior v roce 2026"/>
    <m/>
  </r>
  <r>
    <x v="61"/>
    <x v="31"/>
    <x v="0"/>
    <x v="27"/>
    <x v="2"/>
    <s v="AZ Cup 2024 - Klub"/>
    <s v="CZ"/>
    <n v="2024"/>
    <n v="14"/>
    <n v="1108"/>
    <n v="0.92"/>
    <n v="5661"/>
    <n v="5208"/>
    <x v="0"/>
    <x v="0"/>
    <s v="Cirrus std."/>
    <s v="GT"/>
    <s v=""/>
    <m/>
  </r>
  <r>
    <x v="374"/>
    <x v="4"/>
    <x v="1"/>
    <x v="5"/>
    <x v="4"/>
    <s v="AZ Cup 2024 - Klub"/>
    <s v="CZ"/>
    <n v="2024"/>
    <n v="15"/>
    <n v="1080"/>
    <n v="0.92"/>
    <n v="5447"/>
    <n v="5011"/>
    <x v="0"/>
    <x v="0"/>
    <s v="ASW 20"/>
    <s v="VG"/>
    <s v="Není v databázi"/>
    <m/>
  </r>
  <r>
    <x v="673"/>
    <x v="4"/>
    <x v="1"/>
    <x v="207"/>
    <x v="3"/>
    <s v="AZ Cup 2024 - Klub"/>
    <s v="CZ"/>
    <n v="2024"/>
    <n v="16"/>
    <n v="1010"/>
    <n v="0.92"/>
    <n v="5076"/>
    <n v="4670"/>
    <x v="0"/>
    <x v="0"/>
    <s v="Glasflugel 304"/>
    <s v="IMW"/>
    <s v="Není v databázi"/>
    <m/>
  </r>
  <r>
    <x v="417"/>
    <x v="4"/>
    <x v="1"/>
    <x v="208"/>
    <x v="7"/>
    <s v="AZ Cup 2024 - Klub"/>
    <s v="CZ"/>
    <n v="2024"/>
    <n v="17"/>
    <n v="981"/>
    <n v="0.92"/>
    <n v="4857"/>
    <n v="4468"/>
    <x v="0"/>
    <x v="0"/>
    <s v="LS 1f"/>
    <s v="SH"/>
    <s v="Není v databázi"/>
    <m/>
  </r>
  <r>
    <x v="403"/>
    <x v="4"/>
    <x v="1"/>
    <x v="209"/>
    <x v="6"/>
    <s v="AZ Cup 2024 - Klub"/>
    <s v="CZ"/>
    <n v="2024"/>
    <n v="18"/>
    <n v="979"/>
    <n v="0.92"/>
    <n v="4739"/>
    <n v="4360"/>
    <x v="0"/>
    <x v="0"/>
    <s v="Discus cs WL"/>
    <n v="24"/>
    <s v="Není v databázi"/>
    <m/>
  </r>
  <r>
    <x v="236"/>
    <x v="1"/>
    <x v="0"/>
    <x v="24"/>
    <x v="1"/>
    <s v="AZ Cup 2024 - Klub"/>
    <s v="CZ"/>
    <n v="2024"/>
    <n v="19"/>
    <n v="973"/>
    <n v="0.92"/>
    <n v="4606"/>
    <n v="4238"/>
    <x v="0"/>
    <x v="0"/>
    <s v="Cirrus std."/>
    <s v="LW"/>
    <s v=""/>
    <m/>
  </r>
  <r>
    <x v="178"/>
    <x v="50"/>
    <x v="0"/>
    <x v="42"/>
    <x v="0"/>
    <s v="AZ Cup 2024 - Klub"/>
    <s v="CZ"/>
    <n v="2024"/>
    <n v="20"/>
    <n v="779"/>
    <n v="0.92"/>
    <n v="3776"/>
    <n v="3474"/>
    <x v="0"/>
    <x v="0"/>
    <s v="Cirrus std."/>
    <s v="TI"/>
    <s v="Junior v roce 2026"/>
    <m/>
  </r>
  <r>
    <x v="26"/>
    <x v="18"/>
    <x v="0"/>
    <x v="0"/>
    <x v="0"/>
    <s v="AZ Cup 2024 - Klub"/>
    <s v="CZ"/>
    <n v="2024"/>
    <n v="21"/>
    <n v="752"/>
    <n v="0.92"/>
    <n v="3564"/>
    <n v="3279"/>
    <x v="1"/>
    <x v="0"/>
    <s v="G 103 TwinAstir"/>
    <s v="RB"/>
    <s v=""/>
    <m/>
  </r>
  <r>
    <x v="674"/>
    <x v="36"/>
    <x v="0"/>
    <x v="67"/>
    <x v="1"/>
    <s v="AZ Cup 2024 - Klub"/>
    <s v="CZ"/>
    <n v="2024"/>
    <n v="22"/>
    <n v="738"/>
    <n v="0.92"/>
    <n v="3401"/>
    <n v="3129"/>
    <x v="1"/>
    <x v="0"/>
    <s v="Cirrus std.WL"/>
    <s v="JE"/>
    <s v=""/>
    <m/>
  </r>
  <r>
    <x v="22"/>
    <x v="14"/>
    <x v="0"/>
    <x v="6"/>
    <x v="2"/>
    <s v="AZ Cup 2024 - Klub"/>
    <s v="CZ"/>
    <n v="2024"/>
    <n v="23"/>
    <n v="583"/>
    <n v="0.92"/>
    <n v="2716"/>
    <n v="2499"/>
    <x v="1"/>
    <x v="0"/>
    <s v="LS 3"/>
    <s v="TX"/>
    <s v=""/>
    <m/>
  </r>
  <r>
    <x v="675"/>
    <x v="1"/>
    <x v="0"/>
    <x v="64"/>
    <x v="0"/>
    <s v="AZ Cup 2024 - Klub"/>
    <s v="CZ"/>
    <n v="2024"/>
    <n v="24"/>
    <n v="536"/>
    <n v="0.92"/>
    <n v="2431"/>
    <n v="2237"/>
    <x v="0"/>
    <x v="0"/>
    <s v="Cirrus std."/>
    <s v="IMI"/>
    <s v=""/>
    <m/>
  </r>
  <r>
    <x v="676"/>
    <x v="45"/>
    <x v="0"/>
    <x v="8"/>
    <x v="2"/>
    <s v="AZ Cup 2024 - Klub"/>
    <s v="CZ"/>
    <n v="2024"/>
    <n v="25"/>
    <n v="508"/>
    <n v="0.92"/>
    <n v="2216"/>
    <n v="2039"/>
    <x v="1"/>
    <x v="0"/>
    <s v="ASW 15"/>
    <s v="K2"/>
    <s v=""/>
    <m/>
  </r>
  <r>
    <x v="64"/>
    <x v="28"/>
    <x v="0"/>
    <x v="6"/>
    <x v="2"/>
    <s v="AZ Cup 2024 - Klub"/>
    <s v="CZ"/>
    <n v="2024"/>
    <n v="26"/>
    <n v="242"/>
    <n v="0.92"/>
    <n v="1119"/>
    <n v="1029"/>
    <x v="1"/>
    <x v="0"/>
    <s v="Cirrus std."/>
    <s v="E"/>
    <s v=""/>
    <m/>
  </r>
  <r>
    <x v="23"/>
    <x v="16"/>
    <x v="0"/>
    <x v="6"/>
    <x v="2"/>
    <s v="AZ Cup 2024 - Klub"/>
    <s v="CZ"/>
    <n v="2024"/>
    <n v="27"/>
    <n v="72"/>
    <n v="0.92"/>
    <n v="378"/>
    <n v="348"/>
    <x v="0"/>
    <x v="0"/>
    <s v="DG 200 15m"/>
    <s v="AK"/>
    <s v=""/>
    <m/>
  </r>
  <r>
    <x v="18"/>
    <x v="14"/>
    <x v="0"/>
    <x v="14"/>
    <x v="0"/>
    <s v="AZ Cup 2024 - Klub"/>
    <s v="CZ"/>
    <n v="2024"/>
    <n v="28"/>
    <n v="0"/>
    <n v="0.92"/>
    <n v="0"/>
    <n v="0"/>
    <x v="0"/>
    <x v="0"/>
    <s v="Jantar std. 2 WL"/>
    <s v="VS"/>
    <s v=""/>
    <m/>
  </r>
  <r>
    <x v="567"/>
    <x v="4"/>
    <x v="1"/>
    <x v="210"/>
    <x v="8"/>
    <s v="AZ Cup 2024 - Kombi 15m"/>
    <s v="CZ"/>
    <n v="2024"/>
    <n v="1"/>
    <n v="1682"/>
    <n v="0.92500000000000004"/>
    <n v="10000"/>
    <n v="9250"/>
    <x v="0"/>
    <x v="0"/>
    <s v="Ventus 2b"/>
    <s v="1G"/>
    <s v="Není v databázi"/>
    <m/>
  </r>
  <r>
    <x v="316"/>
    <x v="4"/>
    <x v="1"/>
    <x v="211"/>
    <x v="6"/>
    <s v="AZ Cup 2024 - Kombi 15m"/>
    <s v="CZ"/>
    <n v="2024"/>
    <n v="2"/>
    <n v="1575"/>
    <n v="0.92500000000000004"/>
    <n v="9340"/>
    <n v="8640"/>
    <x v="0"/>
    <x v="0"/>
    <s v="Discus 2a"/>
    <s v="JPA"/>
    <s v="Není v databázi"/>
    <m/>
  </r>
  <r>
    <x v="421"/>
    <x v="4"/>
    <x v="1"/>
    <x v="212"/>
    <x v="6"/>
    <s v="AZ Cup 2024 - Kombi 15m"/>
    <s v="CZ"/>
    <n v="2024"/>
    <n v="3"/>
    <n v="1469"/>
    <n v="0.92500000000000004"/>
    <n v="8685"/>
    <n v="8034"/>
    <x v="0"/>
    <x v="0"/>
    <s v="Discus 2a"/>
    <s v="ET"/>
    <s v="Není v databázi"/>
    <m/>
  </r>
  <r>
    <x v="38"/>
    <x v="26"/>
    <x v="0"/>
    <x v="21"/>
    <x v="0"/>
    <s v="AZ Cup 2024 - Kombi 15m"/>
    <s v="CZ"/>
    <n v="2024"/>
    <n v="4"/>
    <n v="1359"/>
    <n v="0.92500000000000004"/>
    <n v="8013"/>
    <n v="7412"/>
    <x v="0"/>
    <x v="0"/>
    <s v="Ventus 2a"/>
    <s v="AX"/>
    <s v=""/>
    <m/>
  </r>
  <r>
    <x v="433"/>
    <x v="4"/>
    <x v="1"/>
    <x v="213"/>
    <x v="6"/>
    <s v="AZ Cup 2024 - Kombi 15m"/>
    <s v="CZ"/>
    <n v="2024"/>
    <n v="5"/>
    <n v="1213"/>
    <n v="0.92500000000000004"/>
    <n v="7191"/>
    <n v="6652"/>
    <x v="0"/>
    <x v="0"/>
    <s v="LS 6a 15m"/>
    <n v="56"/>
    <s v="Není v databázi"/>
    <m/>
  </r>
  <r>
    <x v="54"/>
    <x v="2"/>
    <x v="2"/>
    <x v="21"/>
    <x v="0"/>
    <s v="AZ Cup 2024 - Kombi 15m"/>
    <s v="CZ"/>
    <n v="2024"/>
    <n v="6"/>
    <n v="1070"/>
    <n v="0.92500000000000004"/>
    <n v="6382"/>
    <n v="5903"/>
    <x v="0"/>
    <x v="0"/>
    <s v="LS 8 15m"/>
    <s v="AU"/>
    <s v=""/>
    <m/>
  </r>
  <r>
    <x v="51"/>
    <x v="16"/>
    <x v="2"/>
    <x v="24"/>
    <x v="1"/>
    <s v="AZ Cup 2024 - Kombi 15m"/>
    <s v="CZ"/>
    <n v="2024"/>
    <n v="7"/>
    <n v="1053"/>
    <n v="0.92500000000000004"/>
    <n v="6097"/>
    <n v="5640"/>
    <x v="0"/>
    <x v="0"/>
    <s v="LS 8 15m"/>
    <s v="W8"/>
    <s v=""/>
    <m/>
  </r>
  <r>
    <x v="52"/>
    <x v="33"/>
    <x v="0"/>
    <x v="15"/>
    <x v="1"/>
    <s v="AZ Cup 2024 - Kombi 15m"/>
    <s v="CZ"/>
    <n v="2024"/>
    <n v="8"/>
    <n v="1041"/>
    <n v="0.92500000000000004"/>
    <n v="5832"/>
    <n v="5395"/>
    <x v="0"/>
    <x v="0"/>
    <s v="LS 8 15m"/>
    <s v="ZB"/>
    <s v=""/>
    <m/>
  </r>
  <r>
    <x v="372"/>
    <x v="5"/>
    <x v="0"/>
    <x v="0"/>
    <x v="0"/>
    <s v="AZ Cup 2024 - Kombi 15m"/>
    <s v="CZ"/>
    <n v="2024"/>
    <n v="9"/>
    <n v="963"/>
    <n v="0.92500000000000004"/>
    <n v="5293"/>
    <n v="4896"/>
    <x v="0"/>
    <x v="0"/>
    <s v="ASW 20 WL"/>
    <s v="WX"/>
    <s v=""/>
    <m/>
  </r>
  <r>
    <x v="31"/>
    <x v="4"/>
    <x v="1"/>
    <x v="43"/>
    <x v="4"/>
    <s v="AZ Cup 2024 - Kombi 15m"/>
    <s v="CZ"/>
    <n v="2024"/>
    <n v="10"/>
    <n v="842"/>
    <n v="0.92500000000000004"/>
    <n v="4576"/>
    <n v="4233"/>
    <x v="0"/>
    <x v="0"/>
    <s v="JS3 15m"/>
    <n v="3"/>
    <s v="Není v databázi"/>
    <m/>
  </r>
  <r>
    <x v="282"/>
    <x v="4"/>
    <x v="1"/>
    <x v="5"/>
    <x v="4"/>
    <s v="AZ Cup 2024 - Kombi 15m"/>
    <s v="CZ"/>
    <n v="2024"/>
    <n v="11"/>
    <n v="762"/>
    <n v="0.92500000000000004"/>
    <n v="4028"/>
    <n v="3726"/>
    <x v="0"/>
    <x v="0"/>
    <s v="Discus 2b"/>
    <s v="DI"/>
    <s v="Není v databázi"/>
    <m/>
  </r>
  <r>
    <x v="11"/>
    <x v="9"/>
    <x v="0"/>
    <x v="0"/>
    <x v="0"/>
    <s v="AZ Cup 2024 - Kombi 15m"/>
    <s v="CZ"/>
    <n v="2024"/>
    <n v="12"/>
    <n v="714"/>
    <n v="0.92500000000000004"/>
    <n v="3614"/>
    <n v="3343"/>
    <x v="0"/>
    <x v="0"/>
    <s v="ASW 20 WL"/>
    <s v="NW"/>
    <s v=""/>
    <m/>
  </r>
  <r>
    <x v="43"/>
    <x v="8"/>
    <x v="0"/>
    <x v="25"/>
    <x v="1"/>
    <s v="AZ Cup 2024 - Kombi 15m"/>
    <s v="CZ"/>
    <n v="2024"/>
    <n v="13"/>
    <n v="539"/>
    <n v="0.92500000000000004"/>
    <n v="2672"/>
    <n v="2472"/>
    <x v="0"/>
    <x v="0"/>
    <s v="DG-500 22m"/>
    <s v="YA"/>
    <s v=""/>
    <m/>
  </r>
  <r>
    <x v="315"/>
    <x v="61"/>
    <x v="2"/>
    <x v="0"/>
    <x v="0"/>
    <s v="AZ Cup 2024 - Kombi 15m"/>
    <s v="CZ"/>
    <n v="2024"/>
    <n v="14"/>
    <n v="252"/>
    <n v="0.92500000000000004"/>
    <n v="1263"/>
    <n v="1168"/>
    <x v="0"/>
    <x v="0"/>
    <s v="LS 8 15m"/>
    <s v="EU"/>
    <s v=""/>
    <m/>
  </r>
  <r>
    <x v="57"/>
    <x v="36"/>
    <x v="0"/>
    <x v="6"/>
    <x v="2"/>
    <s v="AZ Cup 2024 - Kombi 15m"/>
    <s v="CZ"/>
    <n v="2024"/>
    <n v="15"/>
    <n v="155"/>
    <n v="0.92500000000000004"/>
    <n v="645"/>
    <n v="597"/>
    <x v="1"/>
    <x v="0"/>
    <s v="DG-400"/>
    <s v="PS"/>
    <s v=""/>
    <m/>
  </r>
  <r>
    <x v="338"/>
    <x v="61"/>
    <x v="0"/>
    <x v="58"/>
    <x v="1"/>
    <s v="AZ Cup 2024 - Kombi Open"/>
    <s v="CZ"/>
    <n v="2024"/>
    <n v="1"/>
    <n v="1324"/>
    <n v="0"/>
    <n v="10000"/>
    <n v="0"/>
    <x v="0"/>
    <x v="0"/>
    <s v="JS3 18m"/>
    <s v="ZE"/>
    <s v=""/>
    <m/>
  </r>
  <r>
    <x v="36"/>
    <x v="24"/>
    <x v="0"/>
    <x v="23"/>
    <x v="0"/>
    <s v="AZ Cup 2024 - Kombi Open"/>
    <s v="CZ"/>
    <n v="2024"/>
    <n v="2"/>
    <n v="1204"/>
    <n v="0"/>
    <n v="9287"/>
    <n v="0"/>
    <x v="0"/>
    <x v="0"/>
    <s v="ASG 29E"/>
    <s v="QX"/>
    <s v=""/>
    <m/>
  </r>
  <r>
    <x v="30"/>
    <x v="21"/>
    <x v="0"/>
    <x v="0"/>
    <x v="0"/>
    <s v="AZ Cup 2024 - Kombi Open"/>
    <s v="CZ"/>
    <n v="2024"/>
    <n v="3"/>
    <n v="1175"/>
    <n v="0"/>
    <n v="9054"/>
    <n v="0"/>
    <x v="0"/>
    <x v="0"/>
    <s v="ASG 29E"/>
    <s v="NX"/>
    <s v=""/>
    <m/>
  </r>
  <r>
    <x v="37"/>
    <x v="25"/>
    <x v="2"/>
    <x v="0"/>
    <x v="0"/>
    <s v="AZ Cup 2024 - Kombi Open"/>
    <s v="CZ"/>
    <n v="2024"/>
    <n v="4"/>
    <n v="1174"/>
    <n v="0"/>
    <n v="8970"/>
    <n v="0"/>
    <x v="0"/>
    <x v="0"/>
    <s v="JS1 C 18m"/>
    <s v="JX"/>
    <s v=""/>
    <m/>
  </r>
  <r>
    <x v="33"/>
    <x v="6"/>
    <x v="0"/>
    <x v="22"/>
    <x v="0"/>
    <s v="AZ Cup 2024 - Kombi Open"/>
    <s v="CZ"/>
    <n v="2024"/>
    <n v="5"/>
    <n v="1140"/>
    <n v="0"/>
    <n v="8711"/>
    <n v="0"/>
    <x v="0"/>
    <x v="0"/>
    <s v="ASG 29E"/>
    <s v="GO"/>
    <s v=""/>
    <m/>
  </r>
  <r>
    <x v="247"/>
    <x v="24"/>
    <x v="0"/>
    <x v="65"/>
    <x v="2"/>
    <s v="AZ Cup 2024 - Kombi Open"/>
    <s v="CZ"/>
    <n v="2024"/>
    <n v="6"/>
    <n v="1105"/>
    <n v="0"/>
    <n v="8447"/>
    <n v="0"/>
    <x v="0"/>
    <x v="0"/>
    <s v="Ventus c 17,6m"/>
    <s v="AD"/>
    <s v=""/>
    <m/>
  </r>
  <r>
    <x v="27"/>
    <x v="19"/>
    <x v="0"/>
    <x v="18"/>
    <x v="2"/>
    <s v="AZ Cup 2024 - Kombi Open"/>
    <s v="CZ"/>
    <n v="2024"/>
    <n v="7"/>
    <n v="1104"/>
    <n v="0"/>
    <n v="8363"/>
    <n v="0"/>
    <x v="0"/>
    <x v="0"/>
    <s v="JS3 RES 18m"/>
    <s v="Q1"/>
    <s v=""/>
    <m/>
  </r>
  <r>
    <x v="390"/>
    <x v="4"/>
    <x v="1"/>
    <x v="5"/>
    <x v="4"/>
    <s v="AZ Cup 2024 - Kombi Open"/>
    <s v="CZ"/>
    <n v="2024"/>
    <n v="8"/>
    <n v="1103"/>
    <n v="0"/>
    <n v="8279"/>
    <n v="0"/>
    <x v="0"/>
    <x v="0"/>
    <s v="Ventus 2c"/>
    <s v="LN"/>
    <s v="Není v databázi"/>
    <m/>
  </r>
  <r>
    <x v="35"/>
    <x v="23"/>
    <x v="0"/>
    <x v="15"/>
    <x v="1"/>
    <s v="AZ Cup 2024 - Kombi Open"/>
    <s v="CZ"/>
    <n v="2024"/>
    <n v="9"/>
    <n v="1099"/>
    <n v="0"/>
    <n v="8179"/>
    <n v="0"/>
    <x v="0"/>
    <x v="0"/>
    <s v="Ventus c 17.6m"/>
    <s v="EG"/>
    <s v=""/>
    <m/>
  </r>
  <r>
    <x v="58"/>
    <x v="21"/>
    <x v="0"/>
    <x v="0"/>
    <x v="0"/>
    <s v="AZ Cup 2024 - Kombi Open"/>
    <s v="CZ"/>
    <n v="2024"/>
    <n v="10"/>
    <n v="1095"/>
    <n v="0"/>
    <n v="8079"/>
    <n v="0"/>
    <x v="0"/>
    <x v="0"/>
    <s v="AS 33 Es"/>
    <s v="EZ"/>
    <s v=""/>
    <m/>
  </r>
  <r>
    <x v="291"/>
    <x v="18"/>
    <x v="0"/>
    <x v="33"/>
    <x v="2"/>
    <s v="AZ Cup 2024 - Kombi Open"/>
    <s v="CZ"/>
    <n v="2024"/>
    <n v="11"/>
    <n v="1072"/>
    <n v="0"/>
    <n v="7878"/>
    <n v="0"/>
    <x v="0"/>
    <x v="0"/>
    <s v="Diana 3 FES"/>
    <s v="B"/>
    <s v=""/>
    <m/>
  </r>
  <r>
    <x v="32"/>
    <x v="14"/>
    <x v="0"/>
    <x v="21"/>
    <x v="0"/>
    <s v="AZ Cup 2024 - Kombi Open"/>
    <s v="CZ"/>
    <n v="2024"/>
    <n v="12"/>
    <n v="1050"/>
    <n v="0"/>
    <n v="7683"/>
    <n v="0"/>
    <x v="0"/>
    <x v="0"/>
    <s v="ASG 29E"/>
    <s v="QZ"/>
    <s v=""/>
    <m/>
  </r>
  <r>
    <x v="45"/>
    <x v="30"/>
    <x v="0"/>
    <x v="15"/>
    <x v="1"/>
    <s v="AZ Cup 2024 - Kombi Open"/>
    <s v="CZ"/>
    <n v="2024"/>
    <n v="13"/>
    <n v="1047"/>
    <n v="0"/>
    <n v="7588"/>
    <n v="0"/>
    <x v="0"/>
    <x v="0"/>
    <s v="Ventus c 17.6m"/>
    <s v="VV"/>
    <s v=""/>
    <m/>
  </r>
  <r>
    <x v="677"/>
    <x v="4"/>
    <x v="1"/>
    <x v="55"/>
    <x v="3"/>
    <s v="AZ Cup 2024 - Kombi Open"/>
    <s v="CZ"/>
    <n v="2024"/>
    <n v="14"/>
    <n v="1035"/>
    <n v="0"/>
    <n v="7446"/>
    <n v="0"/>
    <x v="0"/>
    <x v="0"/>
    <s v="Ventus 3m"/>
    <n v="14"/>
    <s v="Není v databázi"/>
    <m/>
  </r>
  <r>
    <x v="397"/>
    <x v="4"/>
    <x v="1"/>
    <x v="5"/>
    <x v="4"/>
    <s v="AZ Cup 2024 - Kombi Open"/>
    <s v="CZ"/>
    <n v="2024"/>
    <n v="15"/>
    <n v="1032"/>
    <n v="0"/>
    <n v="7351"/>
    <n v="0"/>
    <x v="0"/>
    <x v="0"/>
    <s v="Ventuc 2cxt"/>
    <s v="MJ1"/>
    <s v="Není v databázi"/>
    <m/>
  </r>
  <r>
    <x v="28"/>
    <x v="20"/>
    <x v="0"/>
    <x v="18"/>
    <x v="2"/>
    <s v="AZ Cup 2024 - Kombi Open"/>
    <s v="CZ"/>
    <n v="2024"/>
    <n v="16"/>
    <n v="1026"/>
    <n v="0"/>
    <n v="7240"/>
    <n v="0"/>
    <x v="0"/>
    <x v="0"/>
    <s v="AS 33 Es"/>
    <n v="12"/>
    <s v=""/>
    <m/>
  </r>
  <r>
    <x v="41"/>
    <x v="28"/>
    <x v="0"/>
    <x v="23"/>
    <x v="0"/>
    <s v="AZ Cup 2024 - Kombi Open"/>
    <s v="CZ"/>
    <n v="2024"/>
    <n v="17"/>
    <n v="989"/>
    <n v="0"/>
    <n v="6966"/>
    <n v="0"/>
    <x v="0"/>
    <x v="0"/>
    <s v="AS 33 Es"/>
    <s v="CAT"/>
    <s v=""/>
    <m/>
  </r>
  <r>
    <x v="29"/>
    <x v="21"/>
    <x v="0"/>
    <x v="19"/>
    <x v="1"/>
    <s v="AZ Cup 2024 - Kombi Open"/>
    <s v="CZ"/>
    <n v="2024"/>
    <n v="18"/>
    <n v="972"/>
    <n v="0"/>
    <n v="6797"/>
    <n v="0"/>
    <x v="0"/>
    <x v="0"/>
    <s v="JS1 21m"/>
    <s v="ZF"/>
    <s v=""/>
    <m/>
  </r>
  <r>
    <x v="42"/>
    <x v="19"/>
    <x v="2"/>
    <x v="24"/>
    <x v="1"/>
    <s v="AZ Cup 2024 - Kombi Open"/>
    <s v="CZ"/>
    <n v="2024"/>
    <n v="19"/>
    <n v="966"/>
    <n v="0"/>
    <n v="6686"/>
    <n v="0"/>
    <x v="0"/>
    <x v="0"/>
    <s v="JS3 18m"/>
    <s v="XM"/>
    <s v=""/>
    <m/>
  </r>
  <r>
    <x v="267"/>
    <x v="2"/>
    <x v="0"/>
    <x v="23"/>
    <x v="0"/>
    <s v="AZ Cup 2024 - Kombi Open"/>
    <s v="CZ"/>
    <n v="2024"/>
    <n v="20"/>
    <n v="956"/>
    <n v="0"/>
    <n v="6554"/>
    <n v="0"/>
    <x v="0"/>
    <x v="0"/>
    <s v="LS 6c 18W"/>
    <s v="F5"/>
    <s v=""/>
    <m/>
  </r>
  <r>
    <x v="659"/>
    <x v="27"/>
    <x v="0"/>
    <x v="64"/>
    <x v="0"/>
    <s v="AZ Cup 2024 - Kombi Open"/>
    <s v="CZ"/>
    <n v="2024"/>
    <n v="21"/>
    <n v="934"/>
    <n v="0"/>
    <n v="6359"/>
    <n v="0"/>
    <x v="0"/>
    <x v="0"/>
    <s v="JS3 RES 18m"/>
    <s v="NS"/>
    <s v=""/>
    <m/>
  </r>
  <r>
    <x v="9"/>
    <x v="7"/>
    <x v="0"/>
    <x v="9"/>
    <x v="1"/>
    <s v="AZ Cup 2024 - Kombi Open"/>
    <s v="CZ"/>
    <n v="2024"/>
    <n v="22"/>
    <n v="922"/>
    <n v="0"/>
    <n v="6217"/>
    <n v="0"/>
    <x v="0"/>
    <x v="0"/>
    <s v="Arcus M"/>
    <s v="FJ"/>
    <s v="Junior v roce 2026"/>
    <m/>
  </r>
  <r>
    <x v="678"/>
    <x v="4"/>
    <x v="1"/>
    <x v="214"/>
    <x v="4"/>
    <s v="AZ Cup 2024 - Kombi Open"/>
    <s v="CZ"/>
    <n v="2024"/>
    <n v="23"/>
    <n v="902"/>
    <n v="0"/>
    <n v="6032"/>
    <n v="0"/>
    <x v="0"/>
    <x v="0"/>
    <s v="ASG 29E"/>
    <s v="LK"/>
    <s v="Není v databázi"/>
    <m/>
  </r>
  <r>
    <x v="391"/>
    <x v="4"/>
    <x v="1"/>
    <x v="5"/>
    <x v="4"/>
    <s v="AZ Cup 2024 - Kombi Open"/>
    <s v="CZ"/>
    <n v="2024"/>
    <n v="24"/>
    <n v="898"/>
    <n v="0"/>
    <n v="5932"/>
    <n v="0"/>
    <x v="0"/>
    <x v="0"/>
    <s v="JS1 C 21m"/>
    <s v="J"/>
    <s v="Není v databázi"/>
    <m/>
  </r>
  <r>
    <x v="679"/>
    <x v="4"/>
    <x v="1"/>
    <x v="4"/>
    <x v="9"/>
    <s v="AZ Cup 2024 - Kombi Open"/>
    <s v="CZ"/>
    <n v="2024"/>
    <n v="25"/>
    <n v="820"/>
    <n v="0"/>
    <n v="5441"/>
    <n v="0"/>
    <x v="0"/>
    <x v="0"/>
    <s v="ASG 29E"/>
    <s v="BER"/>
    <s v="Není v databázi"/>
    <m/>
  </r>
  <r>
    <x v="40"/>
    <x v="13"/>
    <x v="0"/>
    <x v="8"/>
    <x v="2"/>
    <s v="AZ Cup 2024 - Kombi Open"/>
    <s v="CZ"/>
    <n v="2024"/>
    <n v="26"/>
    <n v="803"/>
    <n v="0"/>
    <n v="5272"/>
    <n v="0"/>
    <x v="0"/>
    <x v="0"/>
    <s v="JS3 18m"/>
    <s v="QX1"/>
    <s v=""/>
    <m/>
  </r>
  <r>
    <x v="39"/>
    <x v="27"/>
    <x v="0"/>
    <x v="0"/>
    <x v="0"/>
    <s v="AZ Cup 2024 - Kombi Open"/>
    <s v="CZ"/>
    <n v="2024"/>
    <n v="27"/>
    <n v="775"/>
    <n v="0"/>
    <n v="5045"/>
    <n v="0"/>
    <x v="0"/>
    <x v="0"/>
    <s v="HpH 304 JS"/>
    <n v="66"/>
    <s v=""/>
    <m/>
  </r>
  <r>
    <x v="393"/>
    <x v="4"/>
    <x v="1"/>
    <x v="5"/>
    <x v="4"/>
    <s v="AZ Cup 2024 - Kombi Open"/>
    <s v="CZ"/>
    <n v="2024"/>
    <n v="28"/>
    <n v="721"/>
    <n v="0"/>
    <n v="4680"/>
    <n v="0"/>
    <x v="0"/>
    <x v="0"/>
    <s v="Arcus M"/>
    <s v="CAR"/>
    <s v="Není v databázi"/>
    <m/>
  </r>
  <r>
    <x v="76"/>
    <x v="40"/>
    <x v="0"/>
    <x v="30"/>
    <x v="2"/>
    <s v="AZ Cup 2024 - Kombi Open"/>
    <s v="CZ"/>
    <n v="2024"/>
    <n v="29"/>
    <n v="674"/>
    <n v="0"/>
    <n v="4353"/>
    <n v="0"/>
    <x v="0"/>
    <x v="0"/>
    <s v="LAK 17 AT 18m WL"/>
    <s v="GL"/>
    <s v=""/>
    <m/>
  </r>
  <r>
    <x v="680"/>
    <x v="4"/>
    <x v="1"/>
    <x v="4"/>
    <x v="9"/>
    <s v="AZ Cup 2024 - Kombi Open"/>
    <s v="CZ"/>
    <n v="2024"/>
    <n v="30"/>
    <n v="668"/>
    <n v="0"/>
    <n v="4242"/>
    <n v="0"/>
    <x v="0"/>
    <x v="0"/>
    <s v="HpH 304 ES"/>
    <s v="PX"/>
    <s v="Není v databázi"/>
    <m/>
  </r>
  <r>
    <x v="681"/>
    <x v="4"/>
    <x v="1"/>
    <x v="55"/>
    <x v="10"/>
    <s v="AZ Cup 2024 - Kombi Open"/>
    <s v="CZ"/>
    <n v="2024"/>
    <n v="31"/>
    <n v="622"/>
    <n v="0"/>
    <n v="3920"/>
    <n v="0"/>
    <x v="0"/>
    <x v="0"/>
    <s v="TwinShark"/>
    <s v="Q"/>
    <s v="Není v databázi"/>
    <m/>
  </r>
  <r>
    <x v="682"/>
    <x v="24"/>
    <x v="0"/>
    <x v="25"/>
    <x v="1"/>
    <s v="AZ Cup 2024 - Kombi Open"/>
    <s v="CZ"/>
    <n v="2024"/>
    <n v="32"/>
    <n v="598"/>
    <n v="0"/>
    <n v="3714"/>
    <n v="0"/>
    <x v="0"/>
    <x v="0"/>
    <s v="ASG 29E"/>
    <s v="XZ"/>
    <s v=""/>
    <m/>
  </r>
  <r>
    <x v="44"/>
    <x v="29"/>
    <x v="0"/>
    <x v="10"/>
    <x v="0"/>
    <s v="AZ Cup 2024 - Kombi Open"/>
    <s v="CZ"/>
    <n v="2024"/>
    <n v="33"/>
    <n v="590"/>
    <n v="0"/>
    <n v="3593"/>
    <n v="0"/>
    <x v="0"/>
    <x v="0"/>
    <s v="HpH 304 MS"/>
    <s v="DJ"/>
    <s v=""/>
    <m/>
  </r>
  <r>
    <x v="97"/>
    <x v="43"/>
    <x v="0"/>
    <x v="0"/>
    <x v="0"/>
    <s v="AZ Cup 2024 - Kombi Open"/>
    <s v="CZ"/>
    <n v="2024"/>
    <n v="34"/>
    <n v="484"/>
    <n v="0"/>
    <n v="2954"/>
    <n v="0"/>
    <x v="0"/>
    <x v="0"/>
    <s v="Ventus c 17.6m"/>
    <s v="LS"/>
    <s v=""/>
    <m/>
  </r>
  <r>
    <x v="49"/>
    <x v="14"/>
    <x v="0"/>
    <x v="0"/>
    <x v="0"/>
    <s v="AZ Cup 2024 - Kombi Open"/>
    <s v="CZ"/>
    <n v="2024"/>
    <n v="35"/>
    <n v="461"/>
    <n v="0"/>
    <n v="2753"/>
    <n v="0"/>
    <x v="0"/>
    <x v="0"/>
    <s v="Ventus 2cxm 18m"/>
    <s v="IB"/>
    <s v=""/>
    <m/>
  </r>
  <r>
    <x v="34"/>
    <x v="22"/>
    <x v="0"/>
    <x v="8"/>
    <x v="2"/>
    <s v="AZ Cup 2024 - Kombi Open"/>
    <s v="CZ"/>
    <n v="2024"/>
    <n v="36"/>
    <n v="408"/>
    <n v="0"/>
    <n v="2394"/>
    <n v="0"/>
    <x v="0"/>
    <x v="0"/>
    <s v="ASG 32 Mi"/>
    <s v="DX"/>
    <s v=""/>
    <m/>
  </r>
  <r>
    <x v="683"/>
    <x v="36"/>
    <x v="0"/>
    <x v="23"/>
    <x v="0"/>
    <s v="AZ Cup 2024 - Kombi Open"/>
    <s v="CZ"/>
    <n v="2024"/>
    <n v="37"/>
    <n v="343"/>
    <n v="0"/>
    <n v="1971"/>
    <n v="0"/>
    <x v="0"/>
    <x v="0"/>
    <s v="HpH 304 MS"/>
    <s v="TJ"/>
    <s v=""/>
    <m/>
  </r>
  <r>
    <x v="684"/>
    <x v="19"/>
    <x v="2"/>
    <x v="8"/>
    <x v="2"/>
    <s v="AZ Cup 2024 - Kombi Open"/>
    <s v="CZ"/>
    <n v="2024"/>
    <n v="38"/>
    <n v="200"/>
    <n v="0"/>
    <n v="1136"/>
    <n v="0"/>
    <x v="0"/>
    <x v="0"/>
    <s v="LAK 17 A 18m WL"/>
    <s v="PB"/>
    <s v=""/>
    <m/>
  </r>
  <r>
    <x v="47"/>
    <x v="32"/>
    <x v="0"/>
    <x v="0"/>
    <x v="0"/>
    <s v="AZ Cup 2024 - Kombi Open"/>
    <s v="CZ"/>
    <n v="2024"/>
    <n v="39"/>
    <n v="0"/>
    <n v="0"/>
    <n v="0"/>
    <n v="0"/>
    <x v="0"/>
    <x v="0"/>
    <s v="TwinShark"/>
    <s v="TS"/>
    <s v=""/>
    <m/>
  </r>
  <r>
    <x v="1"/>
    <x v="1"/>
    <x v="0"/>
    <x v="1"/>
    <x v="1"/>
    <s v="PMČR 2024 - Klub"/>
    <s v="CZ"/>
    <n v="2024"/>
    <n v="1"/>
    <n v="5268"/>
    <n v="1.06"/>
    <n v="10000"/>
    <n v="10600"/>
    <x v="1"/>
    <x v="0"/>
    <s v="LS4"/>
    <s v="PF"/>
    <s v=""/>
    <m/>
  </r>
  <r>
    <x v="0"/>
    <x v="0"/>
    <x v="0"/>
    <x v="0"/>
    <x v="0"/>
    <s v="PMČR 2024 - Klub"/>
    <s v="CZ"/>
    <n v="2024"/>
    <n v="2"/>
    <n v="5055"/>
    <n v="1.06"/>
    <n v="9602"/>
    <n v="10178"/>
    <x v="1"/>
    <x v="0"/>
    <s v="ASW 20"/>
    <s v="A3"/>
    <s v=""/>
    <m/>
  </r>
  <r>
    <x v="2"/>
    <x v="2"/>
    <x v="0"/>
    <x v="2"/>
    <x v="0"/>
    <s v="PMČR 2024 - Klub"/>
    <s v="CZ"/>
    <n v="2024"/>
    <n v="3"/>
    <n v="4962"/>
    <n v="1.06"/>
    <n v="9363"/>
    <n v="9925"/>
    <x v="1"/>
    <x v="0"/>
    <s v="ASW 20L"/>
    <s v="CP"/>
    <s v=""/>
    <m/>
  </r>
  <r>
    <x v="529"/>
    <x v="4"/>
    <x v="1"/>
    <x v="55"/>
    <x v="11"/>
    <s v="PMČR 2024 - Klub"/>
    <s v="CZ"/>
    <n v="2024"/>
    <n v="4"/>
    <n v="4945"/>
    <n v="1.06"/>
    <n v="9225"/>
    <n v="9779"/>
    <x v="0"/>
    <x v="0"/>
    <s v="ASW 20 L"/>
    <s v="ENW"/>
    <s v="Není v databázi"/>
    <m/>
  </r>
  <r>
    <x v="289"/>
    <x v="39"/>
    <x v="0"/>
    <x v="7"/>
    <x v="2"/>
    <s v="PMČR 2024 - Klub"/>
    <s v="CZ"/>
    <n v="2024"/>
    <n v="5"/>
    <n v="4800"/>
    <n v="1.06"/>
    <n v="8917"/>
    <n v="9452"/>
    <x v="1"/>
    <x v="0"/>
    <s v="ASW 15b"/>
    <s v="LE"/>
    <s v=""/>
    <m/>
  </r>
  <r>
    <x v="406"/>
    <x v="48"/>
    <x v="2"/>
    <x v="48"/>
    <x v="1"/>
    <s v="PMČR 2024 - Klub"/>
    <s v="CZ"/>
    <n v="2024"/>
    <n v="6"/>
    <n v="4627"/>
    <n v="1.06"/>
    <n v="8571"/>
    <n v="9085"/>
    <x v="1"/>
    <x v="0"/>
    <s v="LS 4"/>
    <s v="IX"/>
    <s v=""/>
    <m/>
  </r>
  <r>
    <x v="7"/>
    <x v="6"/>
    <x v="0"/>
    <x v="7"/>
    <x v="2"/>
    <s v="PMČR 2024 - Klub"/>
    <s v="CZ"/>
    <n v="2024"/>
    <n v="7"/>
    <n v="4626"/>
    <n v="1.06"/>
    <n v="8455"/>
    <n v="8962"/>
    <x v="0"/>
    <x v="0"/>
    <s v="ASW 20 A"/>
    <s v="LL"/>
    <s v=""/>
    <m/>
  </r>
  <r>
    <x v="685"/>
    <x v="4"/>
    <x v="1"/>
    <x v="55"/>
    <x v="6"/>
    <s v="PMČR 2024 - Klub"/>
    <s v="CZ"/>
    <n v="2024"/>
    <n v="8"/>
    <n v="4566"/>
    <n v="1.06"/>
    <n v="8260"/>
    <n v="8756"/>
    <x v="0"/>
    <x v="0"/>
    <s v="ASW 20 CL"/>
    <s v="VL"/>
    <s v="Není v databázi"/>
    <m/>
  </r>
  <r>
    <x v="9"/>
    <x v="7"/>
    <x v="0"/>
    <x v="9"/>
    <x v="1"/>
    <s v="PMČR 2024 - Klub"/>
    <s v="CZ"/>
    <n v="2024"/>
    <n v="9"/>
    <n v="4365"/>
    <n v="1.06"/>
    <n v="7877"/>
    <n v="8350"/>
    <x v="0"/>
    <x v="0"/>
    <s v="ASW 20 CL"/>
    <s v="VW"/>
    <s v="Junior v roce 2026"/>
    <m/>
  </r>
  <r>
    <x v="42"/>
    <x v="19"/>
    <x v="2"/>
    <x v="24"/>
    <x v="1"/>
    <s v="PMČR 2024 - Klub"/>
    <s v="CZ"/>
    <n v="2024"/>
    <n v="10"/>
    <n v="4282"/>
    <n v="1.06"/>
    <n v="7651"/>
    <n v="8110"/>
    <x v="1"/>
    <x v="0"/>
    <s v="Std. Cirrus"/>
    <s v="CI"/>
    <s v=""/>
    <m/>
  </r>
  <r>
    <x v="8"/>
    <x v="3"/>
    <x v="0"/>
    <x v="8"/>
    <x v="2"/>
    <s v="PMČR 2024 - Klub"/>
    <s v="CZ"/>
    <n v="2024"/>
    <n v="11"/>
    <n v="4262"/>
    <n v="1.06"/>
    <n v="7509"/>
    <n v="7960"/>
    <x v="0"/>
    <x v="0"/>
    <s v="LS4"/>
    <s v="6L"/>
    <s v="Junior v roce 2026"/>
    <m/>
  </r>
  <r>
    <x v="55"/>
    <x v="32"/>
    <x v="0"/>
    <x v="22"/>
    <x v="0"/>
    <s v="PMČR 2024 - Klub"/>
    <s v="CZ"/>
    <n v="2024"/>
    <n v="12"/>
    <n v="4159"/>
    <n v="1.06"/>
    <n v="7257"/>
    <n v="7692"/>
    <x v="0"/>
    <x v="0"/>
    <s v="ASW 20"/>
    <s v="CX"/>
    <s v=""/>
    <m/>
  </r>
  <r>
    <x v="283"/>
    <x v="60"/>
    <x v="0"/>
    <x v="7"/>
    <x v="2"/>
    <s v="PMČR 2024 - Klub"/>
    <s v="CZ"/>
    <n v="2024"/>
    <n v="13"/>
    <n v="3896"/>
    <n v="1.06"/>
    <n v="6792"/>
    <n v="7200"/>
    <x v="1"/>
    <x v="0"/>
    <s v="ASW 19"/>
    <s v="AE"/>
    <s v=""/>
    <m/>
  </r>
  <r>
    <x v="545"/>
    <x v="4"/>
    <x v="1"/>
    <x v="55"/>
    <x v="8"/>
    <s v="PMČR 2024 - Klub"/>
    <s v="CZ"/>
    <n v="2024"/>
    <n v="14"/>
    <n v="3812"/>
    <n v="1.06"/>
    <n v="6565"/>
    <n v="6959"/>
    <x v="0"/>
    <x v="0"/>
    <s v="ASW 20 C"/>
    <s v="LT"/>
    <s v="Není v databázi"/>
    <m/>
  </r>
  <r>
    <x v="686"/>
    <x v="4"/>
    <x v="1"/>
    <x v="55"/>
    <x v="11"/>
    <s v="PMČR 2024 - Klub"/>
    <s v="CZ"/>
    <n v="2024"/>
    <n v="15"/>
    <n v="3772"/>
    <n v="1.06"/>
    <n v="6397"/>
    <n v="6781"/>
    <x v="0"/>
    <x v="0"/>
    <s v="ASW 20 L"/>
    <s v="LD"/>
    <s v="Není v databázi"/>
    <m/>
  </r>
  <r>
    <x v="147"/>
    <x v="4"/>
    <x v="1"/>
    <x v="55"/>
    <x v="6"/>
    <s v="PMČR 2024 - Klub"/>
    <s v="CZ"/>
    <n v="2024"/>
    <n v="16"/>
    <n v="3532"/>
    <n v="1.06"/>
    <n v="5962"/>
    <n v="6320"/>
    <x v="0"/>
    <x v="0"/>
    <s v="ASW 20"/>
    <s v="WE"/>
    <s v="Není v databázi"/>
    <m/>
  </r>
  <r>
    <x v="687"/>
    <x v="31"/>
    <x v="0"/>
    <x v="48"/>
    <x v="1"/>
    <s v="PMČR 2024 - Klub"/>
    <s v="CZ"/>
    <n v="2024"/>
    <n v="17"/>
    <n v="3460"/>
    <n v="1.06"/>
    <n v="5751"/>
    <n v="6096"/>
    <x v="1"/>
    <x v="0"/>
    <s v="ASW 19"/>
    <n v="56"/>
    <s v=""/>
    <m/>
  </r>
  <r>
    <x v="688"/>
    <x v="4"/>
    <x v="1"/>
    <x v="55"/>
    <x v="6"/>
    <s v="PMČR 2024 - Klub"/>
    <s v="CZ"/>
    <n v="2024"/>
    <n v="18"/>
    <n v="3456"/>
    <n v="1.06"/>
    <n v="5631"/>
    <n v="5969"/>
    <x v="0"/>
    <x v="0"/>
    <s v="ASW-20 L"/>
    <s v="DC"/>
    <s v="Není v databázi"/>
    <m/>
  </r>
  <r>
    <x v="153"/>
    <x v="50"/>
    <x v="0"/>
    <x v="8"/>
    <x v="2"/>
    <s v="PMČR 2024 - Klub"/>
    <s v="CZ"/>
    <n v="2024"/>
    <n v="19"/>
    <n v="3035"/>
    <n v="1.06"/>
    <n v="4956"/>
    <n v="5253"/>
    <x v="0"/>
    <x v="0"/>
    <s v="LS1F"/>
    <s v="FD"/>
    <s v="Junior v roce 2026"/>
    <m/>
  </r>
  <r>
    <x v="203"/>
    <x v="29"/>
    <x v="0"/>
    <x v="17"/>
    <x v="0"/>
    <s v="PMČR 2024 - Klub"/>
    <s v="CZ"/>
    <n v="2024"/>
    <n v="20"/>
    <n v="2777"/>
    <n v="1.06"/>
    <n v="4498"/>
    <n v="4768"/>
    <x v="0"/>
    <x v="0"/>
    <s v="LS 1d"/>
    <s v="S3"/>
    <s v=""/>
    <m/>
  </r>
  <r>
    <x v="100"/>
    <x v="44"/>
    <x v="0"/>
    <x v="30"/>
    <x v="2"/>
    <s v="PMČR 2024 - Klub"/>
    <s v="CZ"/>
    <n v="2024"/>
    <n v="21"/>
    <n v="2551"/>
    <n v="1.06"/>
    <n v="4082"/>
    <n v="4327"/>
    <x v="0"/>
    <x v="0"/>
    <s v="ASW 19B"/>
    <n v="34"/>
    <s v="Junior v roce 2026"/>
    <m/>
  </r>
  <r>
    <x v="152"/>
    <x v="34"/>
    <x v="0"/>
    <x v="14"/>
    <x v="0"/>
    <s v="PMČR 2024 - Klub"/>
    <s v="CZ"/>
    <n v="2024"/>
    <n v="22"/>
    <n v="2247"/>
    <n v="1.06"/>
    <n v="3563"/>
    <n v="3777"/>
    <x v="0"/>
    <x v="0"/>
    <s v="DG 300 ELAN RG"/>
    <s v="DG"/>
    <s v="Junior v roce 2026"/>
    <m/>
  </r>
  <r>
    <x v="208"/>
    <x v="37"/>
    <x v="0"/>
    <x v="24"/>
    <x v="1"/>
    <s v="PMČR 2024 - Klub"/>
    <s v="CZ"/>
    <n v="2024"/>
    <n v="23"/>
    <n v="2223"/>
    <n v="1.06"/>
    <n v="3415"/>
    <n v="3620"/>
    <x v="1"/>
    <x v="0"/>
    <s v="DG-101"/>
    <s v="E2"/>
    <s v=""/>
    <m/>
  </r>
  <r>
    <x v="142"/>
    <x v="27"/>
    <x v="0"/>
    <x v="42"/>
    <x v="0"/>
    <s v="PMČR 2024 - Klub"/>
    <s v="CZ"/>
    <n v="2024"/>
    <n v="24"/>
    <n v="2127"/>
    <n v="1.06"/>
    <n v="3172"/>
    <n v="3362"/>
    <x v="0"/>
    <x v="0"/>
    <s v="Discus B"/>
    <s v="CT"/>
    <s v=""/>
    <m/>
  </r>
  <r>
    <x v="96"/>
    <x v="2"/>
    <x v="0"/>
    <x v="2"/>
    <x v="0"/>
    <s v="PMČR 2024 - Klub"/>
    <s v="CZ"/>
    <n v="2024"/>
    <n v="25"/>
    <n v="1547"/>
    <n v="1.06"/>
    <n v="2286"/>
    <n v="2423"/>
    <x v="0"/>
    <x v="0"/>
    <s v="Std. Cirrus"/>
    <s v="YU"/>
    <s v=""/>
    <m/>
  </r>
  <r>
    <x v="129"/>
    <x v="15"/>
    <x v="0"/>
    <x v="39"/>
    <x v="0"/>
    <s v="PMČR 2024 - Klub"/>
    <s v="CZ"/>
    <n v="2024"/>
    <n v="26"/>
    <n v="1486"/>
    <n v="1.06"/>
    <n v="2090"/>
    <n v="2215"/>
    <x v="1"/>
    <x v="0"/>
    <s v="ASW 19"/>
    <s v="XP"/>
    <s v=""/>
    <m/>
  </r>
  <r>
    <x v="207"/>
    <x v="29"/>
    <x v="0"/>
    <x v="2"/>
    <x v="0"/>
    <s v="PMČR 2024 - Klub"/>
    <s v="CZ"/>
    <n v="2024"/>
    <n v="27"/>
    <n v="407"/>
    <n v="1.06"/>
    <n v="541"/>
    <n v="573"/>
    <x v="0"/>
    <x v="0"/>
    <s v="Speed Astir IIb"/>
    <s v="Y3"/>
    <s v=""/>
    <m/>
  </r>
  <r>
    <x v="246"/>
    <x v="31"/>
    <x v="0"/>
    <x v="3"/>
    <x v="2"/>
    <s v="PMČR 2024 - Kombi 15m"/>
    <s v="CZ"/>
    <n v="2024"/>
    <n v="1"/>
    <n v="5048"/>
    <n v="1.0449999999999999"/>
    <n v="10000"/>
    <n v="10450"/>
    <x v="1"/>
    <x v="0"/>
    <s v="LS 8"/>
    <s v="FX"/>
    <s v=""/>
    <m/>
  </r>
  <r>
    <x v="149"/>
    <x v="4"/>
    <x v="1"/>
    <x v="55"/>
    <x v="11"/>
    <s v="PMČR 2024 - Kombi 15m"/>
    <s v="CZ"/>
    <n v="2024"/>
    <n v="2"/>
    <n v="5011"/>
    <n v="1.0449999999999999"/>
    <n v="9649"/>
    <n v="10083"/>
    <x v="0"/>
    <x v="0"/>
    <s v="LS 8"/>
    <s v="ZZ"/>
    <s v="Není v databázi"/>
    <m/>
  </r>
  <r>
    <x v="288"/>
    <x v="31"/>
    <x v="0"/>
    <x v="17"/>
    <x v="0"/>
    <s v="PMČR 2024 - Kombi 15m"/>
    <s v="CZ"/>
    <n v="2024"/>
    <n v="3"/>
    <n v="4739"/>
    <n v="1.0449999999999999"/>
    <n v="8972"/>
    <n v="9376"/>
    <x v="1"/>
    <x v="0"/>
    <s v="LS 8"/>
    <s v="JB"/>
    <s v=""/>
    <m/>
  </r>
  <r>
    <x v="38"/>
    <x v="26"/>
    <x v="0"/>
    <x v="21"/>
    <x v="0"/>
    <s v="PMČR 2024 - Kombi 15m"/>
    <s v="CZ"/>
    <n v="2024"/>
    <n v="4"/>
    <n v="4717"/>
    <n v="1.0449999999999999"/>
    <n v="8641"/>
    <n v="9030"/>
    <x v="0"/>
    <x v="0"/>
    <s v="Ventus 2ax"/>
    <s v="AX"/>
    <s v=""/>
    <m/>
  </r>
  <r>
    <x v="315"/>
    <x v="61"/>
    <x v="2"/>
    <x v="0"/>
    <x v="0"/>
    <s v="PMČR 2024 - Kombi 15m"/>
    <s v="CZ"/>
    <n v="2024"/>
    <n v="5"/>
    <n v="4451"/>
    <n v="1.0449999999999999"/>
    <n v="7972"/>
    <n v="8331"/>
    <x v="1"/>
    <x v="1"/>
    <s v="LS 8"/>
    <s v="EU"/>
    <s v=""/>
    <m/>
  </r>
  <r>
    <x v="138"/>
    <x v="37"/>
    <x v="0"/>
    <x v="39"/>
    <x v="0"/>
    <s v="PMČR 2024 - Kombi 15m"/>
    <s v="CZ"/>
    <n v="2024"/>
    <n v="6"/>
    <n v="4266"/>
    <n v="1.0449999999999999"/>
    <n v="7416"/>
    <n v="7750"/>
    <x v="1"/>
    <x v="0"/>
    <s v="Duo Discus XL"/>
    <s v="BB"/>
    <s v=""/>
    <m/>
  </r>
  <r>
    <x v="51"/>
    <x v="16"/>
    <x v="2"/>
    <x v="24"/>
    <x v="1"/>
    <s v="PMČR 2024 - Kombi 15m"/>
    <s v="CZ"/>
    <n v="2024"/>
    <n v="7"/>
    <n v="4153"/>
    <n v="1.0449999999999999"/>
    <n v="6959"/>
    <n v="7272"/>
    <x v="1"/>
    <x v="1"/>
    <s v="LS 8"/>
    <s v="W8"/>
    <s v=""/>
    <m/>
  </r>
  <r>
    <x v="31"/>
    <x v="4"/>
    <x v="1"/>
    <x v="43"/>
    <x v="4"/>
    <s v="PMČR 2024 - Kombi 15m"/>
    <s v="CZ"/>
    <n v="2024"/>
    <n v="8"/>
    <n v="4002"/>
    <n v="1.0449999999999999"/>
    <n v="6450"/>
    <n v="6740"/>
    <x v="0"/>
    <x v="0"/>
    <s v="JS3 JET 15m"/>
    <n v="3"/>
    <s v="Není v databázi"/>
    <m/>
  </r>
  <r>
    <x v="455"/>
    <x v="5"/>
    <x v="0"/>
    <x v="3"/>
    <x v="2"/>
    <s v="PMČR 2024 - Kombi 15m"/>
    <s v="CZ"/>
    <n v="2024"/>
    <n v="9"/>
    <n v="3583"/>
    <n v="1.0449999999999999"/>
    <n v="5569"/>
    <n v="5820"/>
    <x v="0"/>
    <x v="0"/>
    <s v="LS 8"/>
    <n v="18"/>
    <s v=""/>
    <m/>
  </r>
  <r>
    <x v="287"/>
    <x v="52"/>
    <x v="0"/>
    <x v="12"/>
    <x v="1"/>
    <s v="PMČR 2024 - Kombi 15m"/>
    <s v="CZ"/>
    <n v="2024"/>
    <n v="10"/>
    <n v="3532"/>
    <n v="1.0449999999999999"/>
    <n v="5198"/>
    <n v="5432"/>
    <x v="0"/>
    <x v="0"/>
    <s v="JS3 15m"/>
    <s v="XM"/>
    <s v=""/>
    <m/>
  </r>
  <r>
    <x v="689"/>
    <x v="4"/>
    <x v="1"/>
    <x v="55"/>
    <x v="11"/>
    <s v="PMČR 2024 - Kombi 15m"/>
    <s v="CZ"/>
    <n v="2024"/>
    <n v="11"/>
    <n v="3066"/>
    <n v="1.0449999999999999"/>
    <n v="4252"/>
    <n v="4443"/>
    <x v="0"/>
    <x v="0"/>
    <s v="Ventus 2a WL"/>
    <n v="85"/>
    <s v="Není v databázi"/>
    <m/>
  </r>
  <r>
    <x v="291"/>
    <x v="18"/>
    <x v="0"/>
    <x v="33"/>
    <x v="2"/>
    <s v="PMČR 2024 - Kombi Open"/>
    <s v="CZ"/>
    <n v="2024"/>
    <n v="1"/>
    <n v="4884"/>
    <n v="1.0900000000000001"/>
    <n v="10000"/>
    <n v="10900"/>
    <x v="1"/>
    <x v="0"/>
    <s v="Diana 3 FES"/>
    <s v="B"/>
    <s v=""/>
    <m/>
  </r>
  <r>
    <x v="27"/>
    <x v="19"/>
    <x v="0"/>
    <x v="18"/>
    <x v="2"/>
    <s v="PMČR 2024 - Kombi Open"/>
    <s v="CZ"/>
    <n v="2024"/>
    <n v="2"/>
    <n v="4757"/>
    <n v="1.0900000000000001"/>
    <n v="9668"/>
    <n v="10538"/>
    <x v="1"/>
    <x v="0"/>
    <s v="JS3 18m"/>
    <s v="QX"/>
    <s v=""/>
    <m/>
  </r>
  <r>
    <x v="53"/>
    <x v="34"/>
    <x v="2"/>
    <x v="2"/>
    <x v="0"/>
    <s v="PMČR 2024 - Kombi Open"/>
    <s v="CZ"/>
    <n v="2024"/>
    <n v="3"/>
    <n v="4611"/>
    <n v="1.0900000000000001"/>
    <n v="9309"/>
    <n v="10147"/>
    <x v="1"/>
    <x v="1"/>
    <s v="AS 33 ES 18m"/>
    <s v="EA"/>
    <s v="Junior v roce 2026"/>
    <m/>
  </r>
  <r>
    <x v="30"/>
    <x v="21"/>
    <x v="0"/>
    <x v="0"/>
    <x v="0"/>
    <s v="PMČR 2024 - Kombi Open"/>
    <s v="CZ"/>
    <n v="2024"/>
    <n v="4"/>
    <n v="4569"/>
    <n v="1.0900000000000001"/>
    <n v="9099"/>
    <n v="9918"/>
    <x v="1"/>
    <x v="0"/>
    <s v="ASG 29e 18m"/>
    <s v="NX"/>
    <s v=""/>
    <m/>
  </r>
  <r>
    <x v="37"/>
    <x v="25"/>
    <x v="2"/>
    <x v="0"/>
    <x v="0"/>
    <s v="PMČR 2024 - Kombi Open"/>
    <s v="CZ"/>
    <n v="2024"/>
    <n v="5"/>
    <n v="4447"/>
    <n v="1.0900000000000001"/>
    <n v="8774"/>
    <n v="9564"/>
    <x v="1"/>
    <x v="1"/>
    <s v="JS1 CTJ EVO 18m"/>
    <s v="JX"/>
    <s v=""/>
    <m/>
  </r>
  <r>
    <x v="29"/>
    <x v="21"/>
    <x v="0"/>
    <x v="19"/>
    <x v="1"/>
    <s v="PMČR 2024 - Kombi Open"/>
    <s v="CZ"/>
    <n v="2024"/>
    <n v="6"/>
    <n v="4002"/>
    <n v="1.0900000000000001"/>
    <n v="7986"/>
    <n v="8705"/>
    <x v="1"/>
    <x v="0"/>
    <s v="JS1 C 18m"/>
    <s v="ZF"/>
    <s v=""/>
    <m/>
  </r>
  <r>
    <x v="35"/>
    <x v="23"/>
    <x v="0"/>
    <x v="15"/>
    <x v="1"/>
    <s v="PMČR 2024 - Kombi Open"/>
    <s v="CZ"/>
    <n v="2024"/>
    <n v="7"/>
    <n v="3986"/>
    <n v="1.0900000000000001"/>
    <n v="7813"/>
    <n v="8516"/>
    <x v="1"/>
    <x v="0"/>
    <s v="Ventus C 17.6m"/>
    <s v="EG"/>
    <s v=""/>
    <m/>
  </r>
  <r>
    <x v="33"/>
    <x v="6"/>
    <x v="0"/>
    <x v="22"/>
    <x v="0"/>
    <s v="PMČR 2024 - Kombi Open"/>
    <s v="CZ"/>
    <n v="2024"/>
    <n v="8"/>
    <n v="3920"/>
    <n v="1.0900000000000001"/>
    <n v="7568"/>
    <n v="8249"/>
    <x v="0"/>
    <x v="0"/>
    <s v="ASG 29e 18m"/>
    <s v="GO"/>
    <s v=""/>
    <m/>
  </r>
  <r>
    <x v="32"/>
    <x v="14"/>
    <x v="0"/>
    <x v="21"/>
    <x v="0"/>
    <s v="PMČR 2024 - Kombi Open"/>
    <s v="CZ"/>
    <n v="2024"/>
    <n v="9"/>
    <n v="3887"/>
    <n v="1.0900000000000001"/>
    <n v="7371"/>
    <n v="8034"/>
    <x v="0"/>
    <x v="0"/>
    <s v="ASG 29e 18m"/>
    <s v="QZ"/>
    <s v=""/>
    <m/>
  </r>
  <r>
    <x v="338"/>
    <x v="61"/>
    <x v="0"/>
    <x v="58"/>
    <x v="1"/>
    <s v="PMČR 2024 - Kombi Open"/>
    <s v="CZ"/>
    <n v="2024"/>
    <n v="10"/>
    <n v="3875"/>
    <n v="1.0900000000000001"/>
    <n v="7204"/>
    <n v="7852"/>
    <x v="1"/>
    <x v="0"/>
    <s v="ASG 29 18m"/>
    <s v="XZ"/>
    <s v=""/>
    <m/>
  </r>
  <r>
    <x v="214"/>
    <x v="26"/>
    <x v="0"/>
    <x v="2"/>
    <x v="0"/>
    <s v="PMČR 2024 - Kombi Open"/>
    <s v="CZ"/>
    <n v="2024"/>
    <n v="11"/>
    <n v="3857"/>
    <n v="1.0900000000000001"/>
    <n v="7028"/>
    <n v="7661"/>
    <x v="0"/>
    <x v="0"/>
    <s v="Ventus C 17.6m"/>
    <s v="CS"/>
    <s v=""/>
    <m/>
  </r>
  <r>
    <x v="215"/>
    <x v="8"/>
    <x v="0"/>
    <x v="0"/>
    <x v="0"/>
    <s v="PMČR 2024 - Kombi Open"/>
    <s v="CZ"/>
    <n v="2024"/>
    <n v="12"/>
    <n v="3747"/>
    <n v="1.0900000000000001"/>
    <n v="6720"/>
    <n v="7325"/>
    <x v="0"/>
    <x v="0"/>
    <s v="JS3 18m"/>
    <s v="ZE"/>
    <s v=""/>
    <m/>
  </r>
  <r>
    <x v="236"/>
    <x v="1"/>
    <x v="0"/>
    <x v="24"/>
    <x v="1"/>
    <s v="PMČR 2024 - Kombi Open"/>
    <s v="CZ"/>
    <n v="2024"/>
    <n v="13"/>
    <n v="3726"/>
    <n v="1.0900000000000001"/>
    <n v="6540"/>
    <n v="7129"/>
    <x v="1"/>
    <x v="0"/>
    <s v="Ventus C 17.6m"/>
    <s v="WP"/>
    <s v=""/>
    <m/>
  </r>
  <r>
    <x v="58"/>
    <x v="21"/>
    <x v="0"/>
    <x v="0"/>
    <x v="0"/>
    <s v="PMČR 2024 - Kombi Open"/>
    <s v="CZ"/>
    <n v="2024"/>
    <n v="14"/>
    <n v="3647"/>
    <n v="1.0900000000000001"/>
    <n v="6277"/>
    <n v="6842"/>
    <x v="0"/>
    <x v="0"/>
    <s v="AS 33 ES 18m"/>
    <s v="EZ"/>
    <s v=""/>
    <m/>
  </r>
  <r>
    <x v="28"/>
    <x v="20"/>
    <x v="0"/>
    <x v="18"/>
    <x v="2"/>
    <s v="PMČR 2024 - Kombi Open"/>
    <s v="CZ"/>
    <n v="2024"/>
    <n v="15"/>
    <n v="3608"/>
    <n v="1.0900000000000001"/>
    <n v="6071"/>
    <n v="6617"/>
    <x v="0"/>
    <x v="0"/>
    <s v="AS 33 18m"/>
    <n v="12"/>
    <s v=""/>
    <m/>
  </r>
  <r>
    <x v="690"/>
    <x v="9"/>
    <x v="0"/>
    <x v="2"/>
    <x v="0"/>
    <s v="PMČR 2024 - Kombi Open"/>
    <s v="CZ"/>
    <n v="2024"/>
    <n v="16"/>
    <n v="2917"/>
    <n v="1.0900000000000001"/>
    <n v="4931"/>
    <n v="5375"/>
    <x v="1"/>
    <x v="0"/>
    <s v="Arcus M20 850kg"/>
    <s v="EY"/>
    <s v=""/>
    <m/>
  </r>
  <r>
    <x v="343"/>
    <x v="4"/>
    <x v="1"/>
    <x v="55"/>
    <x v="12"/>
    <s v="PMČR 2024 - Kombi Open"/>
    <s v="CZ"/>
    <n v="2024"/>
    <n v="17"/>
    <n v="2894"/>
    <n v="1.0900000000000001"/>
    <n v="4748"/>
    <n v="5175"/>
    <x v="0"/>
    <x v="0"/>
    <s v="JS3 JET 18m"/>
    <s v="ZB"/>
    <s v="Není v databázi"/>
    <m/>
  </r>
  <r>
    <x v="200"/>
    <x v="19"/>
    <x v="0"/>
    <x v="8"/>
    <x v="2"/>
    <s v="PMČR 2024 - Kombi Open"/>
    <s v="CZ"/>
    <n v="2024"/>
    <n v="18"/>
    <n v="2663"/>
    <n v="1.0900000000000001"/>
    <n v="4267"/>
    <n v="4651"/>
    <x v="0"/>
    <x v="0"/>
    <s v="Ventus C 17.6m"/>
    <s v="PD"/>
    <s v=""/>
    <m/>
  </r>
  <r>
    <x v="691"/>
    <x v="13"/>
    <x v="0"/>
    <x v="215"/>
    <x v="1"/>
    <s v="PMČR 2024 - Kombi Open"/>
    <s v="CZ"/>
    <n v="2024"/>
    <n v="19"/>
    <n v="2530"/>
    <n v="1.0900000000000001"/>
    <n v="3926"/>
    <n v="4279"/>
    <x v="1"/>
    <x v="0"/>
    <s v="HpH 304 MS 18m"/>
    <s v="XX"/>
    <s v=""/>
    <m/>
  </r>
  <r>
    <x v="220"/>
    <x v="23"/>
    <x v="0"/>
    <x v="17"/>
    <x v="0"/>
    <s v="PMČR 2024 - Kombi Open"/>
    <s v="CZ"/>
    <n v="2024"/>
    <n v="20"/>
    <n v="2445"/>
    <n v="1.0900000000000001"/>
    <n v="3654"/>
    <n v="3983"/>
    <x v="0"/>
    <x v="0"/>
    <s v="JS3 RES 18m"/>
    <s v="BS"/>
    <s v=""/>
    <m/>
  </r>
  <r>
    <x v="692"/>
    <x v="4"/>
    <x v="1"/>
    <x v="55"/>
    <x v="12"/>
    <s v="PMČR 2024 - Kombi Open"/>
    <s v="CZ"/>
    <n v="2024"/>
    <n v="21"/>
    <n v="2366"/>
    <n v="1.0900000000000001"/>
    <n v="3391"/>
    <n v="3696"/>
    <x v="0"/>
    <x v="0"/>
    <s v="ASG 29e 18m"/>
    <s v="HE"/>
    <s v="Není v databázi"/>
    <m/>
  </r>
  <r>
    <x v="238"/>
    <x v="15"/>
    <x v="0"/>
    <x v="64"/>
    <x v="0"/>
    <s v="PMRg 2024 - Klub"/>
    <s v="CZ"/>
    <n v="2024"/>
    <n v="1"/>
    <n v="1293"/>
    <n v="0.88"/>
    <n v="10000"/>
    <n v="8800"/>
    <x v="1"/>
    <x v="0"/>
    <s v="ASW 15 B"/>
    <s v="LF"/>
    <s v=""/>
    <m/>
  </r>
  <r>
    <x v="251"/>
    <x v="43"/>
    <x v="0"/>
    <x v="23"/>
    <x v="0"/>
    <s v="PMRg 2024 - Klub"/>
    <s v="CZ"/>
    <n v="2024"/>
    <n v="2"/>
    <n v="1292"/>
    <n v="0.88"/>
    <n v="9858"/>
    <n v="8675"/>
    <x v="1"/>
    <x v="0"/>
    <s v="Mosquito"/>
    <s v="LC"/>
    <s v=""/>
    <m/>
  </r>
  <r>
    <x v="682"/>
    <x v="24"/>
    <x v="0"/>
    <x v="25"/>
    <x v="1"/>
    <s v="PMRg 2024 - Klub"/>
    <s v="CZ"/>
    <n v="2024"/>
    <n v="3"/>
    <n v="1259"/>
    <n v="0.88"/>
    <n v="9543"/>
    <n v="8398"/>
    <x v="1"/>
    <x v="0"/>
    <s v="ASW 19 B"/>
    <s v="XP"/>
    <s v=""/>
    <m/>
  </r>
  <r>
    <x v="286"/>
    <x v="2"/>
    <x v="2"/>
    <x v="28"/>
    <x v="2"/>
    <s v="PMRg 2024 - Klub"/>
    <s v="CZ"/>
    <n v="2024"/>
    <n v="3"/>
    <n v="1259"/>
    <n v="0.88"/>
    <n v="9543"/>
    <n v="8398"/>
    <x v="1"/>
    <x v="1"/>
    <s v="SZD-48 Jantar Std. 2"/>
    <s v="SU"/>
    <s v=""/>
    <m/>
  </r>
  <r>
    <x v="693"/>
    <x v="31"/>
    <x v="0"/>
    <x v="216"/>
    <x v="1"/>
    <s v="PMRg 2024 - Klub"/>
    <s v="CZ"/>
    <n v="2024"/>
    <n v="5"/>
    <n v="1103"/>
    <n v="0.88"/>
    <n v="8426"/>
    <n v="7415"/>
    <x v="1"/>
    <x v="0"/>
    <s v="Std. Cirrus"/>
    <s v="J3"/>
    <s v=""/>
    <m/>
  </r>
  <r>
    <x v="694"/>
    <x v="6"/>
    <x v="0"/>
    <x v="24"/>
    <x v="1"/>
    <s v="PMRg 2024 - Klub"/>
    <s v="CZ"/>
    <n v="2024"/>
    <n v="6"/>
    <n v="1096"/>
    <n v="0.88"/>
    <n v="8252"/>
    <n v="7262"/>
    <x v="1"/>
    <x v="0"/>
    <s v="ASW 24 E"/>
    <s v="JM"/>
    <s v=""/>
    <m/>
  </r>
  <r>
    <x v="237"/>
    <x v="24"/>
    <x v="2"/>
    <x v="42"/>
    <x v="0"/>
    <s v="PMRg 2024 - Klub"/>
    <s v="CZ"/>
    <n v="2024"/>
    <n v="7"/>
    <n v="1070"/>
    <n v="0.88"/>
    <n v="7975"/>
    <n v="7018"/>
    <x v="1"/>
    <x v="1"/>
    <s v="Std. Cirrus"/>
    <s v="KAC"/>
    <s v=""/>
    <m/>
  </r>
  <r>
    <x v="235"/>
    <x v="21"/>
    <x v="0"/>
    <x v="42"/>
    <x v="0"/>
    <s v="PMRg 2024 - Klub"/>
    <s v="CZ"/>
    <n v="2024"/>
    <n v="8"/>
    <n v="1062"/>
    <n v="0.88"/>
    <n v="7795"/>
    <n v="6860"/>
    <x v="1"/>
    <x v="0"/>
    <s v="Std. Cirrus WL"/>
    <s v="IT"/>
    <s v=""/>
    <m/>
  </r>
  <r>
    <x v="70"/>
    <x v="37"/>
    <x v="0"/>
    <x v="29"/>
    <x v="2"/>
    <s v="PMRg 2024 - Klub"/>
    <s v="CZ"/>
    <n v="2024"/>
    <n v="9"/>
    <n v="1035"/>
    <n v="0.88"/>
    <n v="7512"/>
    <n v="6611"/>
    <x v="1"/>
    <x v="0"/>
    <s v="Discus b"/>
    <s v="AI"/>
    <s v=""/>
    <m/>
  </r>
  <r>
    <x v="126"/>
    <x v="47"/>
    <x v="0"/>
    <x v="38"/>
    <x v="1"/>
    <s v="PMRg 2024 - Klub"/>
    <s v="CZ"/>
    <n v="2024"/>
    <n v="10"/>
    <n v="1000"/>
    <n v="0.88"/>
    <n v="7186"/>
    <n v="6324"/>
    <x v="0"/>
    <x v="0"/>
    <s v="ASW 15 B"/>
    <s v="CW"/>
    <s v=""/>
    <m/>
  </r>
  <r>
    <x v="695"/>
    <x v="2"/>
    <x v="0"/>
    <x v="22"/>
    <x v="0"/>
    <s v="PMRg 2024 - Klub"/>
    <s v="CZ"/>
    <n v="2024"/>
    <n v="11"/>
    <n v="974"/>
    <n v="0.88"/>
    <n v="6909"/>
    <n v="6080"/>
    <x v="1"/>
    <x v="0"/>
    <s v="Std. Cirrus"/>
    <s v="SP"/>
    <s v=""/>
    <m/>
  </r>
  <r>
    <x v="696"/>
    <x v="14"/>
    <x v="0"/>
    <x v="22"/>
    <x v="0"/>
    <s v="PMRg 2024 - Klub"/>
    <s v="CZ"/>
    <n v="2024"/>
    <n v="12"/>
    <n v="944"/>
    <n v="0.88"/>
    <n v="6611"/>
    <n v="5818"/>
    <x v="1"/>
    <x v="0"/>
    <s v="Std. Cirrus"/>
    <s v="TSI"/>
    <s v=""/>
    <m/>
  </r>
  <r>
    <x v="242"/>
    <x v="30"/>
    <x v="0"/>
    <x v="42"/>
    <x v="0"/>
    <s v="PMRg 2024 - Klub"/>
    <s v="CZ"/>
    <n v="2024"/>
    <n v="13"/>
    <n v="912"/>
    <n v="0.88"/>
    <n v="6301"/>
    <n v="5545"/>
    <x v="1"/>
    <x v="0"/>
    <s v="Std. Cirrus"/>
    <s v="CON"/>
    <s v=""/>
    <m/>
  </r>
  <r>
    <x v="155"/>
    <x v="49"/>
    <x v="0"/>
    <x v="25"/>
    <x v="1"/>
    <s v="PMRg 2024 - Klub"/>
    <s v="CZ"/>
    <n v="2024"/>
    <n v="14"/>
    <n v="832"/>
    <n v="0.88"/>
    <n v="5732"/>
    <n v="5044"/>
    <x v="1"/>
    <x v="0"/>
    <s v="ASW 15 B"/>
    <s v="BF"/>
    <s v=""/>
    <m/>
  </r>
  <r>
    <x v="129"/>
    <x v="15"/>
    <x v="0"/>
    <x v="39"/>
    <x v="0"/>
    <s v="PMRg 2024 - Klub"/>
    <s v="CZ"/>
    <n v="2024"/>
    <n v="15"/>
    <n v="759"/>
    <n v="0.88"/>
    <n v="5200"/>
    <n v="4576"/>
    <x v="1"/>
    <x v="0"/>
    <s v="Std. Cirrus"/>
    <s v="UB"/>
    <s v=""/>
    <m/>
  </r>
  <r>
    <x v="697"/>
    <x v="24"/>
    <x v="0"/>
    <x v="217"/>
    <x v="0"/>
    <s v="PMRg 2024 - Klub"/>
    <s v="CZ"/>
    <n v="2024"/>
    <n v="16"/>
    <n v="744"/>
    <n v="0.88"/>
    <n v="4982"/>
    <n v="4384"/>
    <x v="0"/>
    <x v="0"/>
    <s v="ASW 15 B"/>
    <s v="XE"/>
    <s v=""/>
    <m/>
  </r>
  <r>
    <x v="675"/>
    <x v="1"/>
    <x v="0"/>
    <x v="64"/>
    <x v="0"/>
    <s v="PMRg 2024 - Klub"/>
    <s v="CZ"/>
    <n v="2024"/>
    <n v="17"/>
    <n v="737"/>
    <n v="0.88"/>
    <n v="4808"/>
    <n v="4231"/>
    <x v="1"/>
    <x v="0"/>
    <s v="Std. Cirrus"/>
    <s v="IMI"/>
    <s v=""/>
    <m/>
  </r>
  <r>
    <x v="150"/>
    <x v="49"/>
    <x v="0"/>
    <x v="48"/>
    <x v="1"/>
    <s v="PMRg 2024 - Klub"/>
    <s v="CZ"/>
    <n v="2024"/>
    <n v="18"/>
    <n v="684"/>
    <n v="0.88"/>
    <n v="4385"/>
    <n v="3859"/>
    <x v="1"/>
    <x v="0"/>
    <s v="Discus CS"/>
    <n v="65"/>
    <s v=""/>
    <m/>
  </r>
  <r>
    <x v="16"/>
    <x v="13"/>
    <x v="0"/>
    <x v="12"/>
    <x v="1"/>
    <s v="PMRg 2024 - Klub"/>
    <s v="CZ"/>
    <n v="2024"/>
    <n v="19"/>
    <n v="628"/>
    <n v="0.88"/>
    <n v="3945"/>
    <n v="3472"/>
    <x v="0"/>
    <x v="0"/>
    <s v="ASW 20"/>
    <n v="67"/>
    <s v=""/>
    <m/>
  </r>
  <r>
    <x v="698"/>
    <x v="9"/>
    <x v="0"/>
    <x v="218"/>
    <x v="0"/>
    <s v="PMRg 2024 - Klub"/>
    <s v="CZ"/>
    <n v="2024"/>
    <n v="20"/>
    <n v="618"/>
    <n v="0.88"/>
    <n v="3755"/>
    <n v="3304"/>
    <x v="1"/>
    <x v="0"/>
    <s v="ASW 15 B"/>
    <s v="B"/>
    <s v=""/>
    <m/>
  </r>
  <r>
    <x v="128"/>
    <x v="21"/>
    <x v="0"/>
    <x v="3"/>
    <x v="2"/>
    <s v="PMRg 2024 - Klub"/>
    <s v="CZ"/>
    <n v="2024"/>
    <n v="21"/>
    <n v="259"/>
    <n v="0.88"/>
    <n v="1675"/>
    <n v="1474"/>
    <x v="1"/>
    <x v="0"/>
    <s v="Std. Cirrus"/>
    <s v="ZL"/>
    <s v=""/>
    <m/>
  </r>
  <r>
    <x v="244"/>
    <x v="35"/>
    <x v="0"/>
    <x v="25"/>
    <x v="1"/>
    <s v="PMRg 2024 - Klub"/>
    <s v="CZ"/>
    <n v="2024"/>
    <n v="22"/>
    <n v="156"/>
    <n v="0.88"/>
    <n v="981"/>
    <n v="863"/>
    <x v="1"/>
    <x v="0"/>
    <s v="Std. Cirrus"/>
    <s v="AR"/>
    <s v=""/>
    <m/>
  </r>
  <r>
    <x v="699"/>
    <x v="42"/>
    <x v="0"/>
    <x v="64"/>
    <x v="0"/>
    <s v="PMRg 2024 - Klub"/>
    <s v="CZ"/>
    <n v="2024"/>
    <n v="23"/>
    <n v="0"/>
    <n v="0.88"/>
    <n v="0"/>
    <n v="0"/>
    <x v="0"/>
    <x v="0"/>
    <s v="VSO-10"/>
    <s v="F3"/>
    <s v=""/>
    <m/>
  </r>
  <r>
    <x v="130"/>
    <x v="26"/>
    <x v="0"/>
    <x v="39"/>
    <x v="0"/>
    <s v="PMRg 2024 - Klub"/>
    <s v="CZ"/>
    <n v="2024"/>
    <n v="23"/>
    <n v="0"/>
    <n v="0.88"/>
    <n v="0"/>
    <n v="0"/>
    <x v="0"/>
    <x v="0"/>
    <s v="DG 100"/>
    <s v="8W"/>
    <s v=""/>
    <m/>
  </r>
  <r>
    <x v="700"/>
    <x v="26"/>
    <x v="2"/>
    <x v="24"/>
    <x v="1"/>
    <s v="PMRg 2024 - Klub"/>
    <s v="CZ"/>
    <n v="2024"/>
    <n v="23"/>
    <n v="0"/>
    <n v="0.88"/>
    <n v="0"/>
    <n v="0"/>
    <x v="0"/>
    <x v="0"/>
    <s v="ASW 15"/>
    <s v="TZ"/>
    <s v=""/>
    <m/>
  </r>
  <r>
    <x v="124"/>
    <x v="30"/>
    <x v="0"/>
    <x v="21"/>
    <x v="0"/>
    <s v="PMRg 2024 - Klub"/>
    <s v="CZ"/>
    <n v="2024"/>
    <n v="23"/>
    <n v="0"/>
    <n v="0.88"/>
    <n v="0"/>
    <n v="0"/>
    <x v="0"/>
    <x v="0"/>
    <s v="ASW 19 B"/>
    <s v="XS"/>
    <s v=""/>
    <m/>
  </r>
  <r>
    <x v="701"/>
    <x v="35"/>
    <x v="0"/>
    <x v="217"/>
    <x v="0"/>
    <s v="PMRg 2024 - Klub"/>
    <s v="CZ"/>
    <n v="2024"/>
    <n v="23"/>
    <n v="0"/>
    <n v="0.88"/>
    <n v="0"/>
    <n v="0"/>
    <x v="0"/>
    <x v="0"/>
    <s v="LS 3a"/>
    <s v="2G"/>
    <s v=""/>
    <m/>
  </r>
  <r>
    <x v="349"/>
    <x v="0"/>
    <x v="0"/>
    <x v="9"/>
    <x v="1"/>
    <s v="PMRg 2024 - Kombi"/>
    <s v="CZ"/>
    <n v="2024"/>
    <n v="1"/>
    <n v="1018"/>
    <n v="0.9"/>
    <n v="10000"/>
    <n v="9000"/>
    <x v="1"/>
    <x v="0"/>
    <s v="JS-1b EVO JET"/>
    <s v="IGC"/>
    <s v=""/>
    <m/>
  </r>
  <r>
    <x v="43"/>
    <x v="8"/>
    <x v="0"/>
    <x v="25"/>
    <x v="1"/>
    <s v="PMRg 2024 - Kombi"/>
    <s v="CZ"/>
    <n v="2024"/>
    <n v="2"/>
    <n v="1004"/>
    <n v="0.9"/>
    <n v="9604"/>
    <n v="8644"/>
    <x v="1"/>
    <x v="0"/>
    <s v="ASG 29 E 18m"/>
    <s v="XZ"/>
    <s v=""/>
    <m/>
  </r>
  <r>
    <x v="53"/>
    <x v="34"/>
    <x v="2"/>
    <x v="2"/>
    <x v="0"/>
    <s v="PMRg 2024 - Kombi"/>
    <s v="CZ"/>
    <n v="2024"/>
    <n v="3"/>
    <n v="916"/>
    <n v="0.9"/>
    <n v="8699"/>
    <n v="7829"/>
    <x v="0"/>
    <x v="0"/>
    <s v="LS 8"/>
    <s v="W8"/>
    <s v="Junior v roce 2026"/>
    <m/>
  </r>
  <r>
    <x v="137"/>
    <x v="48"/>
    <x v="0"/>
    <x v="15"/>
    <x v="1"/>
    <s v="PMRg 2024 - Kombi"/>
    <s v="CZ"/>
    <n v="2024"/>
    <n v="4"/>
    <n v="832"/>
    <n v="0.9"/>
    <n v="7821"/>
    <n v="7039"/>
    <x v="1"/>
    <x v="0"/>
    <s v="LS 8"/>
    <s v="EU"/>
    <s v=""/>
    <m/>
  </r>
  <r>
    <x v="3"/>
    <x v="3"/>
    <x v="0"/>
    <x v="3"/>
    <x v="2"/>
    <s v="PMRg 2024 - Kombi"/>
    <s v="CZ"/>
    <n v="2024"/>
    <n v="5"/>
    <n v="820"/>
    <n v="0.9"/>
    <n v="7439"/>
    <n v="6695"/>
    <x v="0"/>
    <x v="0"/>
    <s v="LS 8"/>
    <s v="AU"/>
    <s v="Junior v roce 2026"/>
    <m/>
  </r>
  <r>
    <x v="47"/>
    <x v="32"/>
    <x v="0"/>
    <x v="0"/>
    <x v="0"/>
    <s v="PMRg 2024 - Kombi"/>
    <s v="CZ"/>
    <n v="2024"/>
    <n v="6"/>
    <n v="626"/>
    <n v="0.9"/>
    <n v="5805"/>
    <n v="5225"/>
    <x v="0"/>
    <x v="0"/>
    <s v="TwinShark"/>
    <s v="TS"/>
    <s v=""/>
    <m/>
  </r>
  <r>
    <x v="660"/>
    <x v="31"/>
    <x v="0"/>
    <x v="17"/>
    <x v="0"/>
    <s v="PMRg 2024 - Kombi"/>
    <s v="CZ"/>
    <n v="2024"/>
    <n v="7"/>
    <n v="588"/>
    <n v="0.9"/>
    <n v="5243"/>
    <n v="4719"/>
    <x v="1"/>
    <x v="0"/>
    <s v="LS 8 18m"/>
    <s v="EJ"/>
    <s v=""/>
    <m/>
  </r>
  <r>
    <x v="702"/>
    <x v="13"/>
    <x v="0"/>
    <x v="32"/>
    <x v="2"/>
    <s v="PMRg 2024 - Kombi"/>
    <s v="CZ"/>
    <n v="2024"/>
    <n v="8"/>
    <n v="581"/>
    <n v="0.9"/>
    <n v="4895"/>
    <n v="4406"/>
    <x v="1"/>
    <x v="0"/>
    <s v="DG 500 22m"/>
    <s v="YA"/>
    <s v=""/>
    <m/>
  </r>
  <r>
    <x v="76"/>
    <x v="40"/>
    <x v="0"/>
    <x v="30"/>
    <x v="2"/>
    <s v="PMRg 2024 - Kombi"/>
    <s v="CZ"/>
    <n v="2024"/>
    <n v="9"/>
    <n v="378"/>
    <n v="0.9"/>
    <n v="3199"/>
    <n v="2879"/>
    <x v="0"/>
    <x v="0"/>
    <s v="LAK-17A T 15m"/>
    <s v="GL"/>
    <s v=""/>
    <m/>
  </r>
  <r>
    <x v="141"/>
    <x v="36"/>
    <x v="0"/>
    <x v="41"/>
    <x v="0"/>
    <s v="PMRg 2024 - Kombi"/>
    <s v="CZ"/>
    <n v="2024"/>
    <n v="10"/>
    <n v="259"/>
    <n v="0.9"/>
    <n v="2081"/>
    <n v="1873"/>
    <x v="1"/>
    <x v="0"/>
    <s v="Duo Discus"/>
    <s v="DD"/>
    <s v=""/>
    <m/>
  </r>
  <r>
    <x v="703"/>
    <x v="8"/>
    <x v="0"/>
    <x v="25"/>
    <x v="1"/>
    <s v="PMRg 2024 - Kombi"/>
    <s v="CZ"/>
    <n v="2024"/>
    <n v="11"/>
    <n v="0"/>
    <n v="0.9"/>
    <n v="0"/>
    <n v="0"/>
    <x v="0"/>
    <x v="0"/>
    <s v="ASW 27 B WL"/>
    <s v="MF"/>
    <s v=""/>
    <m/>
  </r>
  <r>
    <x v="704"/>
    <x v="31"/>
    <x v="0"/>
    <x v="24"/>
    <x v="1"/>
    <s v="PMRg 2024 - Kombi"/>
    <s v="CZ"/>
    <n v="2024"/>
    <n v="11"/>
    <n v="0"/>
    <n v="0.9"/>
    <n v="0"/>
    <n v="0"/>
    <x v="0"/>
    <x v="0"/>
    <s v="Ventus a 15 WL"/>
    <s v="FW"/>
    <s v=""/>
    <m/>
  </r>
  <r>
    <x v="404"/>
    <x v="44"/>
    <x v="2"/>
    <x v="12"/>
    <x v="1"/>
    <s v="PMČRj 2024 - Klub"/>
    <s v="CZ"/>
    <n v="2024"/>
    <n v="1"/>
    <n v="1350"/>
    <n v="0.91"/>
    <n v="10000"/>
    <n v="9100"/>
    <x v="1"/>
    <x v="0"/>
    <s v="LS 4"/>
    <s v="6L"/>
    <s v="Junior v roce 2026"/>
    <m/>
  </r>
  <r>
    <x v="406"/>
    <x v="48"/>
    <x v="2"/>
    <x v="48"/>
    <x v="1"/>
    <s v="PMČRj 2024 - Klub"/>
    <s v="CZ"/>
    <n v="2024"/>
    <n v="2"/>
    <n v="1311"/>
    <n v="0.91"/>
    <n v="9710"/>
    <n v="8836"/>
    <x v="1"/>
    <x v="0"/>
    <s v="LS 4"/>
    <s v="IX"/>
    <s v=""/>
    <m/>
  </r>
  <r>
    <x v="146"/>
    <x v="17"/>
    <x v="0"/>
    <x v="44"/>
    <x v="1"/>
    <s v="PMČRj 2024 - Klub"/>
    <s v="CZ"/>
    <n v="2024"/>
    <n v="3"/>
    <n v="1271"/>
    <n v="0.91"/>
    <n v="9414"/>
    <n v="8567"/>
    <x v="0"/>
    <x v="0"/>
    <s v="ASW 24 WL"/>
    <s v="SM"/>
    <s v=""/>
    <m/>
  </r>
  <r>
    <x v="178"/>
    <x v="50"/>
    <x v="0"/>
    <x v="42"/>
    <x v="0"/>
    <s v="PMČRj 2024 - Klub"/>
    <s v="CZ"/>
    <n v="2024"/>
    <n v="4"/>
    <n v="1219"/>
    <n v="0.91"/>
    <n v="9056"/>
    <n v="8241"/>
    <x v="1"/>
    <x v="0"/>
    <s v="std. Cirrus"/>
    <s v="TI"/>
    <s v="Junior v roce 2026"/>
    <m/>
  </r>
  <r>
    <x v="148"/>
    <x v="48"/>
    <x v="0"/>
    <x v="46"/>
    <x v="0"/>
    <s v="PMČRj 2024 - Klub"/>
    <s v="CZ"/>
    <n v="2024"/>
    <n v="5"/>
    <n v="1182"/>
    <n v="0.91"/>
    <n v="8776"/>
    <n v="7986"/>
    <x v="1"/>
    <x v="0"/>
    <s v="ASW 19 B"/>
    <s v="HB"/>
    <s v=""/>
    <m/>
  </r>
  <r>
    <x v="705"/>
    <x v="17"/>
    <x v="0"/>
    <x v="23"/>
    <x v="0"/>
    <s v="PMČRj 2024 - Klub"/>
    <s v="CZ"/>
    <n v="2024"/>
    <n v="6"/>
    <n v="1148"/>
    <n v="0.91"/>
    <n v="8511"/>
    <n v="7745"/>
    <x v="1"/>
    <x v="0"/>
    <s v="ASW 19 B"/>
    <s v="KZ"/>
    <s v=""/>
    <m/>
  </r>
  <r>
    <x v="706"/>
    <x v="4"/>
    <x v="1"/>
    <x v="219"/>
    <x v="6"/>
    <s v="PMČRj 2024 - Klub"/>
    <s v="CZ"/>
    <n v="2024"/>
    <n v="7"/>
    <n v="1141"/>
    <n v="0.91"/>
    <n v="8387"/>
    <n v="7632"/>
    <x v="0"/>
    <x v="0"/>
    <s v="C101A"/>
    <s v="EJ"/>
    <s v="Není v databázi"/>
    <m/>
  </r>
  <r>
    <x v="152"/>
    <x v="34"/>
    <x v="0"/>
    <x v="14"/>
    <x v="0"/>
    <s v="PMČRj 2024 - Klub"/>
    <s v="CZ"/>
    <n v="2024"/>
    <n v="8"/>
    <n v="1105"/>
    <n v="0.91"/>
    <n v="8112"/>
    <n v="7382"/>
    <x v="1"/>
    <x v="0"/>
    <s v="Discus b WL"/>
    <s v="LD"/>
    <s v="Junior v roce 2026"/>
    <m/>
  </r>
  <r>
    <x v="8"/>
    <x v="3"/>
    <x v="0"/>
    <x v="8"/>
    <x v="2"/>
    <s v="PMČRj 2024 - Klub"/>
    <s v="CZ"/>
    <n v="2024"/>
    <n v="9"/>
    <n v="1097"/>
    <n v="0.91"/>
    <n v="7982"/>
    <n v="7264"/>
    <x v="0"/>
    <x v="0"/>
    <s v="ASW 20"/>
    <s v="CXI"/>
    <s v="Junior v roce 2026"/>
    <m/>
  </r>
  <r>
    <x v="157"/>
    <x v="7"/>
    <x v="0"/>
    <x v="3"/>
    <x v="2"/>
    <s v="PMČRj 2024 - Klub"/>
    <s v="CZ"/>
    <n v="2024"/>
    <n v="10"/>
    <n v="1068"/>
    <n v="0.91"/>
    <n v="7744"/>
    <n v="7047"/>
    <x v="1"/>
    <x v="0"/>
    <s v="Std. Cirrus WL"/>
    <s v="IJ"/>
    <s v="Junior v roce 2026"/>
    <m/>
  </r>
  <r>
    <x v="9"/>
    <x v="7"/>
    <x v="0"/>
    <x v="9"/>
    <x v="1"/>
    <s v="PMČRj 2024 - Klub"/>
    <s v="CZ"/>
    <n v="2024"/>
    <n v="11"/>
    <n v="1052"/>
    <n v="0.91"/>
    <n v="7572"/>
    <n v="6891"/>
    <x v="0"/>
    <x v="0"/>
    <s v="ASW 20 C"/>
    <s v="VW"/>
    <s v="Junior v roce 2026"/>
    <m/>
  </r>
  <r>
    <x v="161"/>
    <x v="51"/>
    <x v="2"/>
    <x v="41"/>
    <x v="0"/>
    <s v="PMČRj 2024 - Klub"/>
    <s v="CZ"/>
    <n v="2024"/>
    <n v="12"/>
    <n v="1035"/>
    <n v="0.91"/>
    <n v="7396"/>
    <n v="6730"/>
    <x v="0"/>
    <x v="0"/>
    <s v="DG 100G"/>
    <s v="JL"/>
    <s v="Junior v roce 2026"/>
    <m/>
  </r>
  <r>
    <x v="25"/>
    <x v="17"/>
    <x v="0"/>
    <x v="17"/>
    <x v="0"/>
    <s v="PMČRj 2024 - Klub"/>
    <s v="CZ"/>
    <n v="2024"/>
    <n v="13"/>
    <n v="1020"/>
    <n v="0.91"/>
    <n v="7230"/>
    <n v="6579"/>
    <x v="1"/>
    <x v="0"/>
    <s v="ASW 20"/>
    <s v="A3"/>
    <s v=""/>
    <m/>
  </r>
  <r>
    <x v="159"/>
    <x v="50"/>
    <x v="0"/>
    <x v="8"/>
    <x v="2"/>
    <s v="PMČRj 2024 - Klub"/>
    <s v="CZ"/>
    <n v="2024"/>
    <n v="14"/>
    <n v="1012"/>
    <n v="0.91"/>
    <n v="7100"/>
    <n v="6461"/>
    <x v="1"/>
    <x v="0"/>
    <s v="Std. Cirrus WL"/>
    <s v="CX"/>
    <s v="Junior v roce 2026"/>
    <m/>
  </r>
  <r>
    <x v="170"/>
    <x v="51"/>
    <x v="0"/>
    <x v="31"/>
    <x v="0"/>
    <s v="PMČRj 2024 - Klub"/>
    <s v="CZ"/>
    <n v="2024"/>
    <n v="15"/>
    <n v="978"/>
    <n v="0.91"/>
    <n v="6836"/>
    <n v="6221"/>
    <x v="1"/>
    <x v="0"/>
    <s v="Std. Cirrus"/>
    <n v="57"/>
    <s v="Junior v roce 2026"/>
    <m/>
  </r>
  <r>
    <x v="707"/>
    <x v="62"/>
    <x v="0"/>
    <x v="44"/>
    <x v="1"/>
    <s v="PMČRj 2024 - Klub"/>
    <s v="CZ"/>
    <n v="2024"/>
    <n v="16"/>
    <n v="972"/>
    <n v="0.91"/>
    <n v="6716"/>
    <n v="6112"/>
    <x v="1"/>
    <x v="0"/>
    <s v="ASW 15 B"/>
    <s v="BE"/>
    <s v="Junior v roce 2026"/>
    <m/>
  </r>
  <r>
    <x v="153"/>
    <x v="50"/>
    <x v="0"/>
    <x v="8"/>
    <x v="2"/>
    <s v="PMČRj 2024 - Klub"/>
    <s v="CZ"/>
    <n v="2024"/>
    <n v="17"/>
    <n v="941"/>
    <n v="0.91"/>
    <n v="6467"/>
    <n v="5885"/>
    <x v="0"/>
    <x v="0"/>
    <s v="LS 1-F"/>
    <s v="FD"/>
    <s v="Junior v roce 2026"/>
    <m/>
  </r>
  <r>
    <x v="156"/>
    <x v="3"/>
    <x v="0"/>
    <x v="51"/>
    <x v="1"/>
    <s v="PMČRj 2024 - Klub"/>
    <s v="CZ"/>
    <n v="2024"/>
    <n v="18"/>
    <n v="903"/>
    <n v="0.91"/>
    <n v="6182"/>
    <n v="5626"/>
    <x v="0"/>
    <x v="0"/>
    <s v="Std. Cirrus"/>
    <s v="UY"/>
    <s v="Junior v roce 2026"/>
    <m/>
  </r>
  <r>
    <x v="708"/>
    <x v="34"/>
    <x v="0"/>
    <x v="46"/>
    <x v="0"/>
    <s v="PMČRj 2024 - Klub"/>
    <s v="CZ"/>
    <n v="2024"/>
    <n v="19"/>
    <n v="898"/>
    <n v="0.91"/>
    <n v="6068"/>
    <n v="5522"/>
    <x v="1"/>
    <x v="0"/>
    <s v="ASW 15 B"/>
    <s v="LK"/>
    <s v="Junior v roce 2026"/>
    <m/>
  </r>
  <r>
    <x v="158"/>
    <x v="7"/>
    <x v="2"/>
    <x v="18"/>
    <x v="2"/>
    <s v="PMČRj 2024 - Klub"/>
    <s v="CZ"/>
    <n v="2024"/>
    <n v="20"/>
    <n v="871"/>
    <n v="0.91"/>
    <n v="5840"/>
    <n v="5314"/>
    <x v="1"/>
    <x v="1"/>
    <s v="Discus CS WL"/>
    <s v="HD"/>
    <s v="Junior v roce 2026"/>
    <m/>
  </r>
  <r>
    <x v="164"/>
    <x v="34"/>
    <x v="0"/>
    <x v="7"/>
    <x v="2"/>
    <s v="PMČRj 2024 - Klub"/>
    <s v="CZ"/>
    <n v="2024"/>
    <n v="21"/>
    <n v="866"/>
    <n v="0.91"/>
    <n v="5726"/>
    <n v="5211"/>
    <x v="1"/>
    <x v="0"/>
    <s v="ASW 19 B"/>
    <s v="NO"/>
    <s v="Junior v roce 2026"/>
    <m/>
  </r>
  <r>
    <x v="709"/>
    <x v="44"/>
    <x v="0"/>
    <x v="12"/>
    <x v="1"/>
    <s v="PMČRj 2024 - Klub"/>
    <s v="CZ"/>
    <n v="2024"/>
    <n v="22"/>
    <n v="855"/>
    <n v="0.91"/>
    <n v="5580"/>
    <n v="5078"/>
    <x v="1"/>
    <x v="0"/>
    <s v="Std. Cirrus"/>
    <s v="2C"/>
    <s v="Junior v roce 2026"/>
    <m/>
  </r>
  <r>
    <x v="160"/>
    <x v="50"/>
    <x v="0"/>
    <x v="3"/>
    <x v="2"/>
    <s v="PMČRj 2024 - Klub"/>
    <s v="CZ"/>
    <n v="2024"/>
    <n v="23"/>
    <n v="850"/>
    <n v="0.91"/>
    <n v="5466"/>
    <n v="4974"/>
    <x v="1"/>
    <x v="0"/>
    <s v="ASW 19 B"/>
    <s v="A1"/>
    <s v="Junior v roce 2026"/>
    <m/>
  </r>
  <r>
    <x v="710"/>
    <x v="51"/>
    <x v="0"/>
    <x v="31"/>
    <x v="0"/>
    <s v="PMČRj 2024 - Klub"/>
    <s v="CZ"/>
    <n v="2024"/>
    <n v="24"/>
    <n v="744"/>
    <n v="0.91"/>
    <n v="4828"/>
    <n v="4393"/>
    <x v="1"/>
    <x v="0"/>
    <s v="VSO-10"/>
    <s v="B1"/>
    <s v="Junior v roce 2026"/>
    <m/>
  </r>
  <r>
    <x v="165"/>
    <x v="17"/>
    <x v="0"/>
    <x v="8"/>
    <x v="2"/>
    <s v="PMČRj 2024 - Klub"/>
    <s v="CZ"/>
    <n v="2024"/>
    <n v="25"/>
    <n v="742"/>
    <n v="0.91"/>
    <n v="4730"/>
    <n v="4304"/>
    <x v="1"/>
    <x v="0"/>
    <s v="Std. Cirrus"/>
    <s v="MP"/>
    <s v=""/>
    <m/>
  </r>
  <r>
    <x v="711"/>
    <x v="3"/>
    <x v="0"/>
    <x v="30"/>
    <x v="2"/>
    <s v="PMČRj 2024 - Klub"/>
    <s v="CZ"/>
    <n v="2024"/>
    <n v="26"/>
    <n v="741"/>
    <n v="0.91"/>
    <n v="4636"/>
    <n v="4219"/>
    <x v="1"/>
    <x v="0"/>
    <s v="Std. Cirrus"/>
    <s v="MJ"/>
    <s v="Junior v roce 2026"/>
    <m/>
  </r>
  <r>
    <x v="712"/>
    <x v="44"/>
    <x v="0"/>
    <x v="31"/>
    <x v="0"/>
    <s v="PMČRj 2024 - Klub"/>
    <s v="CZ"/>
    <n v="2024"/>
    <n v="27"/>
    <n v="727"/>
    <n v="0.91"/>
    <n v="4476"/>
    <n v="4073"/>
    <x v="1"/>
    <x v="0"/>
    <s v="Std. Cirrus"/>
    <s v="BU"/>
    <s v="Junior v roce 2026"/>
    <m/>
  </r>
  <r>
    <x v="713"/>
    <x v="34"/>
    <x v="0"/>
    <x v="7"/>
    <x v="2"/>
    <s v="PMČRj 2024 - Klub"/>
    <s v="CZ"/>
    <n v="2024"/>
    <n v="28"/>
    <n v="665"/>
    <n v="0.91"/>
    <n v="4066"/>
    <n v="3700"/>
    <x v="1"/>
    <x v="0"/>
    <s v="ASW 15 B"/>
    <s v="LE"/>
    <s v="Junior v roce 2026"/>
    <m/>
  </r>
  <r>
    <x v="100"/>
    <x v="44"/>
    <x v="0"/>
    <x v="30"/>
    <x v="2"/>
    <s v="PMČRj 2024 - Klub"/>
    <s v="CZ"/>
    <n v="2024"/>
    <n v="29"/>
    <n v="630"/>
    <n v="0.91"/>
    <n v="3796"/>
    <n v="3454"/>
    <x v="0"/>
    <x v="0"/>
    <s v="ASW 19 B"/>
    <n v="34"/>
    <s v="Junior v roce 2026"/>
    <m/>
  </r>
  <r>
    <x v="714"/>
    <x v="48"/>
    <x v="0"/>
    <x v="24"/>
    <x v="1"/>
    <s v="PMČRj 2024 - Klub"/>
    <s v="CZ"/>
    <n v="2024"/>
    <n v="30"/>
    <n v="611"/>
    <n v="0.91"/>
    <n v="3609"/>
    <n v="3284"/>
    <x v="1"/>
    <x v="0"/>
    <s v="Discus bT WL"/>
    <s v="TAL"/>
    <s v=""/>
    <m/>
  </r>
  <r>
    <x v="162"/>
    <x v="17"/>
    <x v="0"/>
    <x v="44"/>
    <x v="1"/>
    <s v="PMČRj 2024 - Klub"/>
    <s v="CZ"/>
    <n v="2024"/>
    <n v="31"/>
    <n v="607"/>
    <n v="0.91"/>
    <n v="3500"/>
    <n v="3185"/>
    <x v="1"/>
    <x v="0"/>
    <s v="ASW 28"/>
    <s v="RC"/>
    <s v=""/>
    <m/>
  </r>
  <r>
    <x v="715"/>
    <x v="51"/>
    <x v="0"/>
    <x v="61"/>
    <x v="1"/>
    <s v="PMČRj 2024 - Klub"/>
    <s v="CZ"/>
    <n v="2024"/>
    <n v="32"/>
    <n v="537"/>
    <n v="0.91"/>
    <n v="3049"/>
    <n v="2775"/>
    <x v="0"/>
    <x v="0"/>
    <s v="ASW 15 B"/>
    <s v="PC"/>
    <s v="Junior v roce 2026"/>
    <m/>
  </r>
  <r>
    <x v="716"/>
    <x v="34"/>
    <x v="0"/>
    <x v="41"/>
    <x v="0"/>
    <s v="PMČRj 2024 - Klub"/>
    <s v="CZ"/>
    <n v="2024"/>
    <n v="33"/>
    <n v="527"/>
    <n v="0.91"/>
    <n v="2909"/>
    <n v="2647"/>
    <x v="1"/>
    <x v="0"/>
    <s v="VSO-10"/>
    <s v="L3"/>
    <s v="Junior v roce 2026"/>
    <m/>
  </r>
  <r>
    <x v="717"/>
    <x v="34"/>
    <x v="0"/>
    <x v="39"/>
    <x v="0"/>
    <s v="PMČRj 2024 - Klub"/>
    <s v="CZ"/>
    <n v="2024"/>
    <n v="34"/>
    <n v="228"/>
    <n v="0.91"/>
    <n v="1270"/>
    <n v="1156"/>
    <x v="1"/>
    <x v="0"/>
    <s v="ASW 15 B"/>
    <s v="2P"/>
    <s v="Junior v roce 2026"/>
    <m/>
  </r>
  <r>
    <x v="163"/>
    <x v="34"/>
    <x v="0"/>
    <x v="30"/>
    <x v="2"/>
    <s v="PMČRj 2024 - Klub"/>
    <s v="CZ"/>
    <n v="2024"/>
    <n v="35"/>
    <n v="0"/>
    <n v="0.91"/>
    <n v="0"/>
    <n v="0"/>
    <x v="0"/>
    <x v="0"/>
    <s v="DG 300"/>
    <s v="U7"/>
    <s v="Junior v roce 2026"/>
    <m/>
  </r>
  <r>
    <x v="71"/>
    <x v="8"/>
    <x v="0"/>
    <x v="29"/>
    <x v="2"/>
    <s v="FL 2024 - Klub"/>
    <s v="CZ"/>
    <n v="2024"/>
    <n v="1"/>
    <n v="2523"/>
    <n v="0.755"/>
    <n v="10000"/>
    <n v="7550"/>
    <x v="1"/>
    <x v="0"/>
    <s v="ASW 20 WL"/>
    <s v="MK"/>
    <s v=""/>
    <m/>
  </r>
  <r>
    <x v="17"/>
    <x v="9"/>
    <x v="0"/>
    <x v="13"/>
    <x v="1"/>
    <s v="FL 2024 - Klub"/>
    <s v="CZ"/>
    <n v="2024"/>
    <n v="2"/>
    <n v="2510"/>
    <n v="0.755"/>
    <n v="9764"/>
    <n v="7372"/>
    <x v="1"/>
    <x v="0"/>
    <s v="Discus b"/>
    <s v="JA"/>
    <s v=""/>
    <m/>
  </r>
  <r>
    <x v="240"/>
    <x v="15"/>
    <x v="0"/>
    <x v="8"/>
    <x v="2"/>
    <s v="FL 2024 - Klub"/>
    <s v="CZ"/>
    <n v="2024"/>
    <n v="3"/>
    <n v="2419"/>
    <n v="0.755"/>
    <n v="9311"/>
    <n v="7030"/>
    <x v="1"/>
    <x v="0"/>
    <s v="Std. Cirrus"/>
    <s v="EX"/>
    <s v=""/>
    <m/>
  </r>
  <r>
    <x v="10"/>
    <x v="8"/>
    <x v="0"/>
    <x v="10"/>
    <x v="0"/>
    <s v="FL 2024 - Klub"/>
    <s v="CZ"/>
    <n v="2024"/>
    <n v="4"/>
    <n v="2330"/>
    <n v="0.755"/>
    <n v="8865"/>
    <n v="6693"/>
    <x v="0"/>
    <x v="0"/>
    <s v="DG 300"/>
    <s v="BK"/>
    <s v=""/>
    <m/>
  </r>
  <r>
    <x v="94"/>
    <x v="43"/>
    <x v="0"/>
    <x v="35"/>
    <x v="2"/>
    <s v="FL 2024 - Klub"/>
    <s v="CZ"/>
    <n v="2024"/>
    <n v="5"/>
    <n v="2188"/>
    <n v="0.755"/>
    <n v="8271"/>
    <n v="6245"/>
    <x v="1"/>
    <x v="0"/>
    <s v="ASW 15 B"/>
    <s v="FK"/>
    <s v=""/>
    <m/>
  </r>
  <r>
    <x v="61"/>
    <x v="31"/>
    <x v="0"/>
    <x v="27"/>
    <x v="2"/>
    <s v="FL 2024 - Klub"/>
    <s v="CZ"/>
    <n v="2024"/>
    <n v="6"/>
    <n v="2023"/>
    <n v="0.755"/>
    <n v="7613"/>
    <n v="5748"/>
    <x v="1"/>
    <x v="0"/>
    <s v="Std. Cirrus"/>
    <s v="GT"/>
    <s v=""/>
    <m/>
  </r>
  <r>
    <x v="59"/>
    <x v="36"/>
    <x v="0"/>
    <x v="6"/>
    <x v="2"/>
    <s v="FL 2024 - Klub"/>
    <s v="CZ"/>
    <n v="2024"/>
    <n v="7"/>
    <n v="1759"/>
    <n v="0.755"/>
    <n v="6680"/>
    <n v="5043"/>
    <x v="0"/>
    <x v="0"/>
    <s v="Std. Cirrus"/>
    <n v="22"/>
    <s v=""/>
    <m/>
  </r>
  <r>
    <x v="718"/>
    <x v="36"/>
    <x v="0"/>
    <x v="18"/>
    <x v="2"/>
    <s v="FL 2024 - Klub"/>
    <s v="CZ"/>
    <n v="2024"/>
    <n v="8"/>
    <n v="1608"/>
    <n v="0.755"/>
    <n v="6061"/>
    <n v="4576"/>
    <x v="1"/>
    <x v="0"/>
    <s v="Std. Cirrus"/>
    <s v="XII"/>
    <s v=""/>
    <m/>
  </r>
  <r>
    <x v="719"/>
    <x v="9"/>
    <x v="0"/>
    <x v="61"/>
    <x v="1"/>
    <s v="FL 2024 - Klub"/>
    <s v="CZ"/>
    <n v="2024"/>
    <n v="9"/>
    <n v="1598"/>
    <n v="0.755"/>
    <n v="5834"/>
    <n v="4405"/>
    <x v="1"/>
    <x v="0"/>
    <s v="LS 1-d"/>
    <s v="MZ"/>
    <s v=""/>
    <m/>
  </r>
  <r>
    <x v="720"/>
    <x v="23"/>
    <x v="0"/>
    <x v="6"/>
    <x v="2"/>
    <s v="FL 2024 - Klub"/>
    <s v="CZ"/>
    <n v="2024"/>
    <n v="10"/>
    <n v="1331"/>
    <n v="0.755"/>
    <n v="4893"/>
    <n v="3694"/>
    <x v="1"/>
    <x v="0"/>
    <s v="DG 400 17m"/>
    <s v="PS"/>
    <s v=""/>
    <m/>
  </r>
  <r>
    <x v="721"/>
    <x v="58"/>
    <x v="0"/>
    <x v="18"/>
    <x v="2"/>
    <s v="FL 2024 - Klub"/>
    <s v="CZ"/>
    <n v="2024"/>
    <n v="11"/>
    <n v="1278"/>
    <n v="0.755"/>
    <n v="4546"/>
    <n v="3432"/>
    <x v="1"/>
    <x v="0"/>
    <s v="G 102 Astir CS"/>
    <s v="W7"/>
    <s v=""/>
    <m/>
  </r>
  <r>
    <x v="60"/>
    <x v="11"/>
    <x v="0"/>
    <x v="6"/>
    <x v="2"/>
    <s v="FL 2024 - Klub"/>
    <s v="CZ"/>
    <n v="2024"/>
    <n v="12"/>
    <n v="1273"/>
    <n v="0.755"/>
    <n v="4332"/>
    <n v="3271"/>
    <x v="0"/>
    <x v="0"/>
    <s v="ASW 15 B"/>
    <s v="PA"/>
    <s v=""/>
    <m/>
  </r>
  <r>
    <x v="23"/>
    <x v="16"/>
    <x v="0"/>
    <x v="6"/>
    <x v="2"/>
    <s v="FL 2024 - Klub"/>
    <s v="CZ"/>
    <n v="2024"/>
    <n v="13"/>
    <n v="1146"/>
    <n v="0.755"/>
    <n v="3780"/>
    <n v="2854"/>
    <x v="0"/>
    <x v="0"/>
    <s v="LS 1-f"/>
    <s v="EM"/>
    <s v=""/>
    <m/>
  </r>
  <r>
    <x v="6"/>
    <x v="5"/>
    <x v="0"/>
    <x v="6"/>
    <x v="2"/>
    <s v="FL 2024 - Klub"/>
    <s v="CZ"/>
    <n v="2024"/>
    <n v="14"/>
    <n v="903"/>
    <n v="0.755"/>
    <n v="2905"/>
    <n v="2193"/>
    <x v="0"/>
    <x v="0"/>
    <s v="LS 3a"/>
    <s v="SJ"/>
    <s v=""/>
    <m/>
  </r>
  <r>
    <x v="63"/>
    <x v="1"/>
    <x v="0"/>
    <x v="6"/>
    <x v="2"/>
    <s v="FL 2024 - Klub"/>
    <s v="CZ"/>
    <n v="2024"/>
    <n v="15"/>
    <n v="809"/>
    <n v="0.755"/>
    <n v="2445"/>
    <n v="1846"/>
    <x v="1"/>
    <x v="0"/>
    <s v="DG 400 17m"/>
    <s v="RD"/>
    <s v=""/>
    <m/>
  </r>
  <r>
    <x v="22"/>
    <x v="14"/>
    <x v="0"/>
    <x v="6"/>
    <x v="2"/>
    <s v="FL 2024 - Klub"/>
    <s v="CZ"/>
    <n v="2024"/>
    <n v="16"/>
    <n v="384"/>
    <n v="0.755"/>
    <n v="1065"/>
    <n v="804"/>
    <x v="0"/>
    <x v="0"/>
    <s v="LS 3"/>
    <s v="TX"/>
    <s v=""/>
    <m/>
  </r>
  <r>
    <x v="73"/>
    <x v="38"/>
    <x v="0"/>
    <x v="6"/>
    <x v="2"/>
    <s v="FL 2024 - Kombi"/>
    <s v="CZ"/>
    <n v="2024"/>
    <n v="1"/>
    <n v="1247"/>
    <n v="0"/>
    <n v="10000"/>
    <n v="0"/>
    <x v="0"/>
    <x v="0"/>
    <s v="LAK-12"/>
    <s v="DE"/>
    <s v=""/>
    <m/>
  </r>
  <r>
    <x v="68"/>
    <x v="9"/>
    <x v="0"/>
    <x v="6"/>
    <x v="2"/>
    <s v="FL 2024 - Kombi"/>
    <s v="CZ"/>
    <n v="2024"/>
    <n v="2"/>
    <n v="1004"/>
    <n v="0"/>
    <n v="8136"/>
    <n v="0"/>
    <x v="0"/>
    <x v="0"/>
    <s v="Duo Discus -700 kg"/>
    <n v="777"/>
    <s v=""/>
    <m/>
  </r>
  <r>
    <x v="654"/>
    <x v="36"/>
    <x v="0"/>
    <x v="30"/>
    <x v="2"/>
    <s v="FL 2024 - Kombi"/>
    <s v="CZ"/>
    <n v="2024"/>
    <n v="3"/>
    <n v="878"/>
    <n v="0"/>
    <n v="6929"/>
    <n v="0"/>
    <x v="0"/>
    <x v="0"/>
    <s v="Arcus M"/>
    <s v="II"/>
    <s v=""/>
    <m/>
  </r>
  <r>
    <x v="67"/>
    <x v="6"/>
    <x v="0"/>
    <x v="18"/>
    <x v="2"/>
    <s v="FL 2024 - Kombi"/>
    <s v="CZ"/>
    <n v="2024"/>
    <n v="4"/>
    <n v="775"/>
    <n v="0"/>
    <n v="5850"/>
    <n v="0"/>
    <x v="0"/>
    <x v="0"/>
    <s v="Nimbus 3T 24.5m"/>
    <s v="A1"/>
    <s v=""/>
    <m/>
  </r>
  <r>
    <x v="722"/>
    <x v="39"/>
    <x v="0"/>
    <x v="36"/>
    <x v="2"/>
    <s v="FL 2024 - Kombi"/>
    <s v="CZ"/>
    <n v="2024"/>
    <n v="5"/>
    <n v="567"/>
    <n v="0"/>
    <n v="4183"/>
    <n v="0"/>
    <x v="0"/>
    <x v="0"/>
    <s v="DG 500M 22m"/>
    <s v="T1"/>
    <s v=""/>
    <m/>
  </r>
  <r>
    <x v="75"/>
    <x v="39"/>
    <x v="0"/>
    <x v="31"/>
    <x v="0"/>
    <s v="FL 2024 - Kombi"/>
    <s v="CZ"/>
    <n v="2024"/>
    <n v="6"/>
    <n v="442"/>
    <n v="0"/>
    <n v="2981"/>
    <n v="0"/>
    <x v="0"/>
    <x v="0"/>
    <s v="Discus b WL"/>
    <s v="SH"/>
    <s v=""/>
    <m/>
  </r>
  <r>
    <x v="79"/>
    <x v="5"/>
    <x v="0"/>
    <x v="18"/>
    <x v="2"/>
    <s v="FL 2024 - Kombi"/>
    <s v="CZ"/>
    <n v="2024"/>
    <n v="7"/>
    <n v="0"/>
    <n v="0"/>
    <n v="0"/>
    <n v="0"/>
    <x v="0"/>
    <x v="0"/>
    <s v="Nimbus 3 25.5m"/>
    <s v="RF"/>
    <s v=""/>
    <m/>
  </r>
  <r>
    <x v="2"/>
    <x v="2"/>
    <x v="0"/>
    <x v="2"/>
    <x v="0"/>
    <s v="Toužim Cup 2024 - Klub"/>
    <s v="CZ"/>
    <n v="2024"/>
    <n v="1"/>
    <n v="2265"/>
    <n v="0.91"/>
    <n v="10000"/>
    <n v="9100"/>
    <x v="0"/>
    <x v="0"/>
    <s v="LS-1d"/>
    <s v="CL"/>
    <s v=""/>
    <m/>
  </r>
  <r>
    <x v="42"/>
    <x v="19"/>
    <x v="2"/>
    <x v="24"/>
    <x v="1"/>
    <s v="Toužim Cup 2024 - Klub"/>
    <s v="CZ"/>
    <n v="2024"/>
    <n v="2"/>
    <n v="2166"/>
    <n v="0.91"/>
    <n v="9558"/>
    <n v="8698"/>
    <x v="0"/>
    <x v="0"/>
    <s v="Std. Cirrus"/>
    <s v="CI"/>
    <s v=""/>
    <m/>
  </r>
  <r>
    <x v="198"/>
    <x v="11"/>
    <x v="0"/>
    <x v="17"/>
    <x v="0"/>
    <s v="Toužim Cup 2024 - Klub"/>
    <s v="CZ"/>
    <n v="2024"/>
    <n v="3"/>
    <n v="2121"/>
    <n v="0.91"/>
    <n v="9282"/>
    <n v="8447"/>
    <x v="1"/>
    <x v="0"/>
    <s v="ASW-19B"/>
    <s v="JL"/>
    <s v=""/>
    <m/>
  </r>
  <r>
    <x v="723"/>
    <x v="60"/>
    <x v="0"/>
    <x v="46"/>
    <x v="0"/>
    <s v="Toužim Cup 2024 - Klub"/>
    <s v="CZ"/>
    <n v="2024"/>
    <n v="4"/>
    <n v="2117"/>
    <n v="0.91"/>
    <n v="9134"/>
    <n v="8312"/>
    <x v="1"/>
    <x v="0"/>
    <s v="H-201b Std. Libelle WL"/>
    <n v="442"/>
    <s v=""/>
    <m/>
  </r>
  <r>
    <x v="236"/>
    <x v="1"/>
    <x v="0"/>
    <x v="24"/>
    <x v="1"/>
    <s v="Toužim Cup 2024 - Klub"/>
    <s v="CZ"/>
    <n v="2024"/>
    <n v="5"/>
    <n v="2085"/>
    <n v="0.91"/>
    <n v="8898"/>
    <n v="8097"/>
    <x v="1"/>
    <x v="0"/>
    <s v="Std. Cirrus"/>
    <s v="LW"/>
    <s v=""/>
    <m/>
  </r>
  <r>
    <x v="203"/>
    <x v="29"/>
    <x v="0"/>
    <x v="17"/>
    <x v="0"/>
    <s v="Toužim Cup 2024 - Klub"/>
    <s v="CZ"/>
    <n v="2024"/>
    <n v="6"/>
    <n v="1959"/>
    <n v="0.91"/>
    <n v="8372"/>
    <n v="7619"/>
    <x v="1"/>
    <x v="0"/>
    <s v="LS-1c"/>
    <s v="S3"/>
    <s v=""/>
    <m/>
  </r>
  <r>
    <x v="11"/>
    <x v="9"/>
    <x v="0"/>
    <x v="0"/>
    <x v="0"/>
    <s v="Toužim Cup 2024 - Klub"/>
    <s v="CZ"/>
    <n v="2024"/>
    <n v="7"/>
    <n v="1809"/>
    <n v="0.91"/>
    <n v="7773"/>
    <n v="7073"/>
    <x v="1"/>
    <x v="0"/>
    <s v="ASW-20 (A)+L+F /15m"/>
    <s v="NW"/>
    <s v=""/>
    <m/>
  </r>
  <r>
    <x v="205"/>
    <x v="43"/>
    <x v="0"/>
    <x v="17"/>
    <x v="0"/>
    <s v="Toužim Cup 2024 - Klub"/>
    <s v="CZ"/>
    <n v="2024"/>
    <n v="8"/>
    <n v="1777"/>
    <n v="0.91"/>
    <n v="7537"/>
    <n v="6859"/>
    <x v="0"/>
    <x v="0"/>
    <s v="Discus b"/>
    <s v="SJ"/>
    <s v=""/>
    <m/>
  </r>
  <r>
    <x v="208"/>
    <x v="37"/>
    <x v="0"/>
    <x v="24"/>
    <x v="1"/>
    <s v="Toužim Cup 2024 - Klub"/>
    <s v="CZ"/>
    <n v="2024"/>
    <n v="9"/>
    <n v="1567"/>
    <n v="0.91"/>
    <n v="6752"/>
    <n v="6144"/>
    <x v="1"/>
    <x v="0"/>
    <s v="DG-101 G"/>
    <s v="E2"/>
    <s v=""/>
    <m/>
  </r>
  <r>
    <x v="204"/>
    <x v="24"/>
    <x v="0"/>
    <x v="17"/>
    <x v="0"/>
    <s v="Toužim Cup 2024 - Klub"/>
    <s v="CZ"/>
    <n v="2024"/>
    <n v="10"/>
    <n v="1552"/>
    <n v="0.91"/>
    <n v="6569"/>
    <n v="5978"/>
    <x v="1"/>
    <x v="0"/>
    <s v="LS-1c"/>
    <s v="AN"/>
    <s v=""/>
    <m/>
  </r>
  <r>
    <x v="199"/>
    <x v="19"/>
    <x v="0"/>
    <x v="17"/>
    <x v="0"/>
    <s v="Toužim Cup 2024 - Klub"/>
    <s v="CZ"/>
    <n v="2024"/>
    <n v="11"/>
    <n v="1540"/>
    <n v="0.91"/>
    <n v="6396"/>
    <n v="5820"/>
    <x v="1"/>
    <x v="0"/>
    <s v="ASW-15B"/>
    <s v="T1"/>
    <s v=""/>
    <m/>
  </r>
  <r>
    <x v="83"/>
    <x v="5"/>
    <x v="0"/>
    <x v="2"/>
    <x v="0"/>
    <s v="Toužim Cup 2024 - Klub"/>
    <s v="CZ"/>
    <n v="2024"/>
    <n v="12"/>
    <n v="1462"/>
    <n v="0.91"/>
    <n v="6018"/>
    <n v="5476"/>
    <x v="1"/>
    <x v="0"/>
    <s v="Janus CM (FG) (fix gear=pevný podvozek)"/>
    <s v="J59"/>
    <s v=""/>
    <m/>
  </r>
  <r>
    <x v="201"/>
    <x v="1"/>
    <x v="0"/>
    <x v="21"/>
    <x v="0"/>
    <s v="Toužim Cup 2024 - Klub"/>
    <s v="CZ"/>
    <n v="2024"/>
    <n v="13"/>
    <n v="1389"/>
    <n v="0.91"/>
    <n v="5656"/>
    <n v="5147"/>
    <x v="0"/>
    <x v="0"/>
    <s v="ASW-19B"/>
    <s v="AH"/>
    <s v=""/>
    <m/>
  </r>
  <r>
    <x v="202"/>
    <x v="45"/>
    <x v="0"/>
    <x v="17"/>
    <x v="0"/>
    <s v="Toužim Cup 2024 - Klub"/>
    <s v="CZ"/>
    <n v="2024"/>
    <n v="14"/>
    <n v="1381"/>
    <n v="0.91"/>
    <n v="5495"/>
    <n v="5000"/>
    <x v="0"/>
    <x v="0"/>
    <s v="Std. Cirrus"/>
    <s v="LD"/>
    <s v=""/>
    <m/>
  </r>
  <r>
    <x v="724"/>
    <x v="15"/>
    <x v="0"/>
    <x v="3"/>
    <x v="2"/>
    <s v="Toužim Cup 2024 - Klub"/>
    <s v="CZ"/>
    <n v="2024"/>
    <n v="15"/>
    <n v="1334"/>
    <n v="0.91"/>
    <n v="5214"/>
    <n v="4745"/>
    <x v="1"/>
    <x v="0"/>
    <s v="Janus C (FG) (fix gear=pevný podvozek)"/>
    <s v="GVed"/>
    <s v=""/>
    <m/>
  </r>
  <r>
    <x v="725"/>
    <x v="6"/>
    <x v="0"/>
    <x v="2"/>
    <x v="0"/>
    <s v="Toužim Cup 2024 - Klub"/>
    <s v="CZ"/>
    <n v="2024"/>
    <n v="16"/>
    <n v="852"/>
    <n v="0.91"/>
    <n v="3588"/>
    <n v="3265"/>
    <x v="1"/>
    <x v="0"/>
    <s v="LS-1c"/>
    <s v="CI"/>
    <s v=""/>
    <m/>
  </r>
  <r>
    <x v="209"/>
    <x v="54"/>
    <x v="0"/>
    <x v="0"/>
    <x v="0"/>
    <s v="Toužim Cup 2024 - Klub"/>
    <s v="CZ"/>
    <n v="2024"/>
    <n v="17"/>
    <n v="799"/>
    <n v="0.91"/>
    <n v="3287"/>
    <n v="2991"/>
    <x v="1"/>
    <x v="0"/>
    <s v="ASW-19B"/>
    <n v="2"/>
    <s v=""/>
    <m/>
  </r>
  <r>
    <x v="210"/>
    <x v="36"/>
    <x v="0"/>
    <x v="24"/>
    <x v="1"/>
    <s v="Toužim Cup 2024 - Klub"/>
    <s v="CZ"/>
    <n v="2024"/>
    <n v="18"/>
    <n v="773"/>
    <n v="0.91"/>
    <n v="3071"/>
    <n v="2795"/>
    <x v="1"/>
    <x v="0"/>
    <s v="ASW-15B"/>
    <s v="MC"/>
    <s v=""/>
    <m/>
  </r>
  <r>
    <x v="726"/>
    <x v="42"/>
    <x v="0"/>
    <x v="52"/>
    <x v="0"/>
    <s v="Toužim Cup 2024 - Klub"/>
    <s v="CZ"/>
    <n v="2024"/>
    <n v="19"/>
    <n v="724"/>
    <n v="0.91"/>
    <n v="2783"/>
    <n v="2533"/>
    <x v="1"/>
    <x v="0"/>
    <s v="Std. Cirrus"/>
    <n v="4"/>
    <s v=""/>
    <m/>
  </r>
  <r>
    <x v="166"/>
    <x v="48"/>
    <x v="2"/>
    <x v="52"/>
    <x v="0"/>
    <s v="Toužim Cup 2024 - Klub"/>
    <s v="CZ"/>
    <n v="2024"/>
    <n v="20"/>
    <n v="487"/>
    <n v="0.91"/>
    <n v="1914"/>
    <n v="1742"/>
    <x v="1"/>
    <x v="1"/>
    <s v="Discus b"/>
    <s v="IJK"/>
    <s v=""/>
    <m/>
  </r>
  <r>
    <x v="207"/>
    <x v="29"/>
    <x v="0"/>
    <x v="2"/>
    <x v="0"/>
    <s v="Toužim Cup 2024 - Klub"/>
    <s v="CZ"/>
    <n v="2024"/>
    <n v="21"/>
    <n v="473"/>
    <n v="0.91"/>
    <n v="1735"/>
    <n v="1579"/>
    <x v="1"/>
    <x v="0"/>
    <s v="G-104 Speed Astir II b"/>
    <s v="Y3"/>
    <s v=""/>
    <m/>
  </r>
  <r>
    <x v="727"/>
    <x v="21"/>
    <x v="0"/>
    <x v="0"/>
    <x v="0"/>
    <s v="Toužim Cup 2024 - Klub"/>
    <s v="CZ"/>
    <n v="2024"/>
    <n v="22"/>
    <n v="443"/>
    <n v="0.91"/>
    <n v="1505"/>
    <n v="1370"/>
    <x v="1"/>
    <x v="0"/>
    <s v="G-103 Twin Basic dvojí (zatahovací podvozek) nemá nádrže"/>
    <s v="RB"/>
    <s v=""/>
    <m/>
  </r>
  <r>
    <x v="206"/>
    <x v="33"/>
    <x v="0"/>
    <x v="0"/>
    <x v="0"/>
    <s v="Toužim Cup 2024 - Klub"/>
    <s v="CZ"/>
    <n v="2024"/>
    <n v="23"/>
    <n v="441"/>
    <n v="0.91"/>
    <n v="1363"/>
    <n v="1240"/>
    <x v="1"/>
    <x v="0"/>
    <s v="G-103 Twin III dvojí (pevný podvozek)"/>
    <s v="TO"/>
    <s v=""/>
    <m/>
  </r>
  <r>
    <x v="33"/>
    <x v="6"/>
    <x v="0"/>
    <x v="22"/>
    <x v="0"/>
    <s v="Toužim Cup 2024 - Kombi"/>
    <s v="CZ"/>
    <n v="2024"/>
    <n v="1"/>
    <n v="2223"/>
    <n v="0.91500000000000004"/>
    <n v="10000"/>
    <n v="9150"/>
    <x v="1"/>
    <x v="0"/>
    <s v="ASG-29E /18m"/>
    <s v="GO"/>
    <s v=""/>
    <m/>
  </r>
  <r>
    <x v="247"/>
    <x v="24"/>
    <x v="0"/>
    <x v="65"/>
    <x v="2"/>
    <s v="Toužim Cup 2024 - Kombi"/>
    <s v="CZ"/>
    <n v="2024"/>
    <n v="2"/>
    <n v="2204"/>
    <n v="0.91500000000000004"/>
    <n v="9843"/>
    <n v="9006"/>
    <x v="1"/>
    <x v="0"/>
    <s v="Ventus c /17,6m"/>
    <s v="AD"/>
    <s v=""/>
    <m/>
  </r>
  <r>
    <x v="58"/>
    <x v="21"/>
    <x v="0"/>
    <x v="0"/>
    <x v="0"/>
    <s v="Toužim Cup 2024 - Kombi"/>
    <s v="CZ"/>
    <n v="2024"/>
    <n v="3"/>
    <n v="2193"/>
    <n v="0.91500000000000004"/>
    <n v="9712"/>
    <n v="8886"/>
    <x v="1"/>
    <x v="0"/>
    <s v="AS 33 /18m"/>
    <s v="EZ"/>
    <s v=""/>
    <m/>
  </r>
  <r>
    <x v="224"/>
    <x v="25"/>
    <x v="0"/>
    <x v="17"/>
    <x v="0"/>
    <s v="Toužim Cup 2024 - Kombi"/>
    <s v="CZ"/>
    <n v="2024"/>
    <n v="4"/>
    <n v="2171"/>
    <n v="0.91500000000000004"/>
    <n v="9546"/>
    <n v="8735"/>
    <x v="1"/>
    <x v="0"/>
    <s v="LS-8-18 /18m"/>
    <n v="301"/>
    <s v=""/>
    <m/>
  </r>
  <r>
    <x v="7"/>
    <x v="6"/>
    <x v="0"/>
    <x v="7"/>
    <x v="2"/>
    <s v="Toužim Cup 2024 - Kombi"/>
    <s v="CZ"/>
    <n v="2024"/>
    <n v="5"/>
    <n v="2148"/>
    <n v="0.91500000000000004"/>
    <n v="9377"/>
    <n v="8580"/>
    <x v="0"/>
    <x v="0"/>
    <s v="ASG-32 Mi -800 kg"/>
    <s v="DX"/>
    <s v=""/>
    <m/>
  </r>
  <r>
    <x v="216"/>
    <x v="58"/>
    <x v="0"/>
    <x v="60"/>
    <x v="2"/>
    <s v="Toužim Cup 2024 - Kombi"/>
    <s v="CZ"/>
    <n v="2024"/>
    <n v="6"/>
    <n v="2090"/>
    <n v="0.91500000000000004"/>
    <n v="9097"/>
    <n v="8324"/>
    <x v="1"/>
    <x v="0"/>
    <s v="Duo Discus (700 kg)"/>
    <s v="OK"/>
    <s v=""/>
    <m/>
  </r>
  <r>
    <x v="728"/>
    <x v="18"/>
    <x v="0"/>
    <x v="220"/>
    <x v="2"/>
    <s v="Toužim Cup 2024 - Kombi"/>
    <s v="CZ"/>
    <n v="2024"/>
    <n v="7"/>
    <n v="2088"/>
    <n v="0.91500000000000004"/>
    <n v="8994"/>
    <n v="8230"/>
    <x v="1"/>
    <x v="0"/>
    <s v="Nimbus 4DM"/>
    <s v="AM"/>
    <s v=""/>
    <m/>
  </r>
  <r>
    <x v="659"/>
    <x v="27"/>
    <x v="0"/>
    <x v="64"/>
    <x v="0"/>
    <s v="Toužim Cup 2024 - Kombi"/>
    <s v="CZ"/>
    <n v="2024"/>
    <n v="8"/>
    <n v="1974"/>
    <n v="0.91500000000000004"/>
    <n v="8539"/>
    <n v="7813"/>
    <x v="1"/>
    <x v="0"/>
    <s v="JS3-18m"/>
    <s v="NS"/>
    <s v=""/>
    <m/>
  </r>
  <r>
    <x v="214"/>
    <x v="26"/>
    <x v="0"/>
    <x v="2"/>
    <x v="0"/>
    <s v="Toužim Cup 2024 - Kombi"/>
    <s v="CZ"/>
    <n v="2024"/>
    <n v="9"/>
    <n v="1953"/>
    <n v="0.91500000000000004"/>
    <n v="8376"/>
    <n v="7664"/>
    <x v="1"/>
    <x v="0"/>
    <s v="Ventus c /17,6m"/>
    <s v="CS"/>
    <s v=""/>
    <m/>
  </r>
  <r>
    <x v="219"/>
    <x v="6"/>
    <x v="0"/>
    <x v="61"/>
    <x v="1"/>
    <s v="Toužim Cup 2024 - Kombi"/>
    <s v="CZ"/>
    <n v="2024"/>
    <n v="10"/>
    <n v="1950"/>
    <n v="0.91500000000000004"/>
    <n v="8269"/>
    <n v="7566"/>
    <x v="1"/>
    <x v="0"/>
    <s v="Nimbus 4DM"/>
    <n v="7"/>
    <s v=""/>
    <m/>
  </r>
  <r>
    <x v="228"/>
    <x v="25"/>
    <x v="0"/>
    <x v="21"/>
    <x v="0"/>
    <s v="Toužim Cup 2024 - Kombi"/>
    <s v="CZ"/>
    <n v="2024"/>
    <n v="11"/>
    <n v="1807"/>
    <n v="0.91500000000000004"/>
    <n v="7722"/>
    <n v="7066"/>
    <x v="1"/>
    <x v="0"/>
    <s v="Ventus c /17,6m"/>
    <s v="PUP"/>
    <s v=""/>
    <m/>
  </r>
  <r>
    <x v="220"/>
    <x v="23"/>
    <x v="0"/>
    <x v="17"/>
    <x v="0"/>
    <s v="Toužim Cup 2024 - Kombi"/>
    <s v="CZ"/>
    <n v="2024"/>
    <n v="12"/>
    <n v="1786"/>
    <n v="0.91500000000000004"/>
    <n v="7559"/>
    <n v="6916"/>
    <x v="1"/>
    <x v="0"/>
    <s v="JS3-18m"/>
    <s v="BS"/>
    <s v=""/>
    <m/>
  </r>
  <r>
    <x v="221"/>
    <x v="13"/>
    <x v="0"/>
    <x v="62"/>
    <x v="1"/>
    <s v="Toužim Cup 2024 - Kombi"/>
    <s v="CZ"/>
    <n v="2024"/>
    <n v="13"/>
    <n v="1783"/>
    <n v="0.91500000000000004"/>
    <n v="7453"/>
    <n v="6819"/>
    <x v="1"/>
    <x v="0"/>
    <s v="Ventus bt /16,6m"/>
    <s v="SK"/>
    <s v=""/>
    <m/>
  </r>
  <r>
    <x v="44"/>
    <x v="29"/>
    <x v="0"/>
    <x v="10"/>
    <x v="0"/>
    <s v="Toužim Cup 2024 - Kombi"/>
    <s v="CZ"/>
    <n v="2024"/>
    <n v="14"/>
    <n v="1714"/>
    <n v="0.91500000000000004"/>
    <n v="7139"/>
    <n v="6532"/>
    <x v="0"/>
    <x v="0"/>
    <s v="HpH 304MS SHARK"/>
    <s v="DJ"/>
    <s v=""/>
    <m/>
  </r>
  <r>
    <x v="230"/>
    <x v="14"/>
    <x v="0"/>
    <x v="2"/>
    <x v="0"/>
    <s v="Toužim Cup 2024 - Kombi"/>
    <s v="CZ"/>
    <n v="2024"/>
    <n v="15"/>
    <n v="1690"/>
    <n v="0.91500000000000004"/>
    <n v="6967"/>
    <n v="6375"/>
    <x v="1"/>
    <x v="0"/>
    <s v="HpH 304MS SHARK"/>
    <s v="LK"/>
    <s v=""/>
    <m/>
  </r>
  <r>
    <x v="729"/>
    <x v="4"/>
    <x v="1"/>
    <x v="221"/>
    <x v="10"/>
    <s v="Toužim Cup 2024 - Kombi"/>
    <s v="CZ"/>
    <n v="2024"/>
    <n v="16"/>
    <n v="1637"/>
    <n v="0.91500000000000004"/>
    <n v="6703"/>
    <n v="6133"/>
    <x v="0"/>
    <x v="0"/>
    <s v="Duo Discus (700 kg)"/>
    <s v="K2"/>
    <s v="Není v databázi"/>
    <m/>
  </r>
  <r>
    <x v="222"/>
    <x v="19"/>
    <x v="0"/>
    <x v="2"/>
    <x v="0"/>
    <s v="Toužim Cup 2024 - Kombi"/>
    <s v="CZ"/>
    <n v="2024"/>
    <n v="17"/>
    <n v="1583"/>
    <n v="0.91500000000000004"/>
    <n v="6436"/>
    <n v="5889"/>
    <x v="1"/>
    <x v="0"/>
    <s v="Ventus c /17,6m"/>
    <s v="PC"/>
    <s v=""/>
    <m/>
  </r>
  <r>
    <x v="114"/>
    <x v="25"/>
    <x v="2"/>
    <x v="36"/>
    <x v="2"/>
    <s v="Toužim Cup 2024 - Kombi"/>
    <s v="CZ"/>
    <n v="2024"/>
    <n v="18"/>
    <n v="1493"/>
    <n v="0.91500000000000004"/>
    <n v="6056"/>
    <n v="5541"/>
    <x v="1"/>
    <x v="1"/>
    <s v="LS-6c /18m WL"/>
    <s v="MM"/>
    <s v=""/>
    <m/>
  </r>
  <r>
    <x v="97"/>
    <x v="43"/>
    <x v="0"/>
    <x v="0"/>
    <x v="0"/>
    <s v="Toužim Cup 2024 - Kombi"/>
    <s v="CZ"/>
    <n v="2024"/>
    <n v="19"/>
    <n v="1479"/>
    <n v="0.91500000000000004"/>
    <n v="5915"/>
    <n v="5412"/>
    <x v="1"/>
    <x v="0"/>
    <s v="Ventus c /17,6m"/>
    <s v="LS"/>
    <s v=""/>
    <m/>
  </r>
  <r>
    <x v="730"/>
    <x v="50"/>
    <x v="2"/>
    <x v="17"/>
    <x v="0"/>
    <s v="Toužim Cup 2024 - Kombi"/>
    <s v="CZ"/>
    <n v="2024"/>
    <n v="20"/>
    <n v="1360"/>
    <n v="0.91500000000000004"/>
    <n v="5444"/>
    <n v="4981"/>
    <x v="1"/>
    <x v="1"/>
    <s v="Duo Discus T (700kg)"/>
    <s v="ZS"/>
    <s v="Junior v roce 2026"/>
    <m/>
  </r>
  <r>
    <x v="218"/>
    <x v="31"/>
    <x v="0"/>
    <x v="52"/>
    <x v="0"/>
    <s v="Toužim Cup 2024 - Kombi"/>
    <s v="CZ"/>
    <n v="2024"/>
    <n v="21"/>
    <n v="1273"/>
    <n v="0.91500000000000004"/>
    <n v="5073"/>
    <n v="4642"/>
    <x v="1"/>
    <x v="0"/>
    <s v="DG-400 17m"/>
    <s v="FF"/>
    <s v=""/>
    <m/>
  </r>
  <r>
    <x v="691"/>
    <x v="13"/>
    <x v="0"/>
    <x v="215"/>
    <x v="1"/>
    <s v="Toužim Cup 2024 - Kombi"/>
    <s v="CZ"/>
    <n v="2024"/>
    <n v="22"/>
    <n v="1271"/>
    <n v="0.91500000000000004"/>
    <n v="4970"/>
    <n v="4548"/>
    <x v="1"/>
    <x v="0"/>
    <s v="HpH 304MS SHARK /18m (560 kg)"/>
    <s v="XX"/>
    <s v=""/>
    <m/>
  </r>
  <r>
    <x v="76"/>
    <x v="40"/>
    <x v="0"/>
    <x v="30"/>
    <x v="2"/>
    <s v="Toužim Cup 2024 - Kombi"/>
    <s v="CZ"/>
    <n v="2024"/>
    <n v="23"/>
    <n v="1123"/>
    <n v="0.91500000000000004"/>
    <n v="4407"/>
    <n v="4032"/>
    <x v="1"/>
    <x v="0"/>
    <s v="LAK 17 AT 18m"/>
    <s v="GL"/>
    <s v=""/>
    <m/>
  </r>
  <r>
    <x v="223"/>
    <x v="32"/>
    <x v="0"/>
    <x v="17"/>
    <x v="0"/>
    <s v="Toužim Cup 2024 - Kombi"/>
    <s v="CZ"/>
    <n v="2024"/>
    <n v="24"/>
    <n v="1031"/>
    <n v="0.91500000000000004"/>
    <n v="4021"/>
    <n v="3679"/>
    <x v="1"/>
    <x v="0"/>
    <s v="Ventus ct /17,6m"/>
    <s v="AW"/>
    <s v=""/>
    <m/>
  </r>
  <r>
    <x v="74"/>
    <x v="36"/>
    <x v="0"/>
    <x v="18"/>
    <x v="2"/>
    <s v="Toužim Cup 2024 - Kombi"/>
    <s v="CZ"/>
    <n v="2024"/>
    <n v="25"/>
    <n v="1025"/>
    <n v="0.91500000000000004"/>
    <n v="3905"/>
    <n v="3573"/>
    <x v="0"/>
    <x v="0"/>
    <s v="ASG-29E /18m"/>
    <s v="ŠNeK"/>
    <s v=""/>
    <m/>
  </r>
  <r>
    <x v="67"/>
    <x v="6"/>
    <x v="0"/>
    <x v="18"/>
    <x v="2"/>
    <s v="Toužim Cup 2024 - Kombi"/>
    <s v="CZ"/>
    <n v="2024"/>
    <n v="26"/>
    <n v="1010"/>
    <n v="0.91500000000000004"/>
    <n v="3761"/>
    <n v="3441"/>
    <x v="0"/>
    <x v="0"/>
    <s v="HpH 304 TS Twin Shark S 850kg"/>
    <s v="FNC"/>
    <s v=""/>
    <m/>
  </r>
  <r>
    <x v="227"/>
    <x v="31"/>
    <x v="0"/>
    <x v="8"/>
    <x v="2"/>
    <s v="Toužim Cup 2024 - Kombi"/>
    <s v="CZ"/>
    <n v="2024"/>
    <n v="27"/>
    <n v="820"/>
    <n v="0.91500000000000004"/>
    <n v="3066"/>
    <n v="2805"/>
    <x v="1"/>
    <x v="0"/>
    <s v="Ventus c /17,6m"/>
    <s v="PD"/>
    <s v=""/>
    <m/>
  </r>
  <r>
    <x v="731"/>
    <x v="42"/>
    <x v="0"/>
    <x v="0"/>
    <x v="0"/>
    <s v="Toužim Cup 2024 - Kombi"/>
    <s v="CZ"/>
    <n v="2024"/>
    <n v="28"/>
    <n v="615"/>
    <n v="0.91500000000000004"/>
    <n v="2324"/>
    <n v="2126"/>
    <x v="1"/>
    <x v="0"/>
    <s v="HpH 304 TS Twin Shark MS (850 kg)"/>
    <s v="NZ"/>
    <s v=""/>
    <m/>
  </r>
  <r>
    <x v="231"/>
    <x v="5"/>
    <x v="0"/>
    <x v="61"/>
    <x v="1"/>
    <s v="Toužim Cup 2024 - Kombi"/>
    <s v="CZ"/>
    <n v="2024"/>
    <n v="29"/>
    <n v="345"/>
    <n v="0.91500000000000004"/>
    <n v="1377"/>
    <n v="1260"/>
    <x v="1"/>
    <x v="0"/>
    <s v="ASH 26 E WL"/>
    <s v="SB"/>
    <s v=""/>
    <m/>
  </r>
  <r>
    <x v="121"/>
    <x v="32"/>
    <x v="0"/>
    <x v="15"/>
    <x v="1"/>
    <s v="Toužim Cup 2024 - Kombi"/>
    <s v="CZ"/>
    <n v="2024"/>
    <n v="30"/>
    <n v="270"/>
    <n v="0.91500000000000004"/>
    <n v="1044"/>
    <n v="955"/>
    <x v="1"/>
    <x v="0"/>
    <s v="Ventus 2cm /18m 525 kg"/>
    <s v="OZ"/>
    <s v=""/>
    <m/>
  </r>
  <r>
    <x v="232"/>
    <x v="27"/>
    <x v="0"/>
    <x v="2"/>
    <x v="0"/>
    <s v="Toužim Cup 2024 - Kombi"/>
    <s v="CZ"/>
    <n v="2024"/>
    <n v="31"/>
    <n v="29"/>
    <n v="0.91500000000000004"/>
    <n v="188"/>
    <n v="172"/>
    <x v="1"/>
    <x v="0"/>
    <s v="DG-400 17m"/>
    <s v="TK"/>
    <s v=""/>
    <m/>
  </r>
  <r>
    <x v="690"/>
    <x v="9"/>
    <x v="0"/>
    <x v="2"/>
    <x v="0"/>
    <s v="Toužim Cup 2024 - Kombi"/>
    <s v="CZ"/>
    <n v="2024"/>
    <n v="32"/>
    <n v="0"/>
    <n v="0.91500000000000004"/>
    <n v="0"/>
    <n v="0"/>
    <x v="0"/>
    <x v="0"/>
    <s v="Ventus ct /17,6m"/>
    <s v="KB"/>
    <s v=""/>
    <m/>
  </r>
  <r>
    <x v="171"/>
    <x v="53"/>
    <x v="0"/>
    <x v="53"/>
    <x v="1"/>
    <s v="Safari Cup 2024 - Klub"/>
    <s v="CZ"/>
    <n v="2024"/>
    <n v="1"/>
    <n v="1325"/>
    <n v="0.73"/>
    <n v="10000"/>
    <n v="7300"/>
    <x v="1"/>
    <x v="0"/>
    <s v="Std. Cirrus"/>
    <s v="KA"/>
    <s v=""/>
    <m/>
  </r>
  <r>
    <x v="732"/>
    <x v="61"/>
    <x v="0"/>
    <x v="9"/>
    <x v="1"/>
    <s v="Safari Cup 2024 - Klub"/>
    <s v="CZ"/>
    <n v="2024"/>
    <n v="2"/>
    <n v="1211"/>
    <n v="0.73"/>
    <n v="9282"/>
    <n v="6776"/>
    <x v="1"/>
    <x v="0"/>
    <s v="Janus b dvojí"/>
    <s v="V1"/>
    <s v=""/>
    <m/>
  </r>
  <r>
    <x v="168"/>
    <x v="52"/>
    <x v="0"/>
    <x v="9"/>
    <x v="1"/>
    <s v="Safari Cup 2024 - Klub"/>
    <s v="CZ"/>
    <n v="2024"/>
    <n v="3"/>
    <n v="1176"/>
    <n v="0.73"/>
    <n v="8982"/>
    <n v="6557"/>
    <x v="1"/>
    <x v="0"/>
    <s v="Janus C (FG)"/>
    <s v="KSS"/>
    <s v=""/>
    <m/>
  </r>
  <r>
    <x v="90"/>
    <x v="42"/>
    <x v="0"/>
    <x v="18"/>
    <x v="2"/>
    <s v="Safari Cup 2024 - Klub"/>
    <s v="CZ"/>
    <n v="2024"/>
    <n v="4"/>
    <n v="1115"/>
    <n v="0.73"/>
    <n v="8544"/>
    <n v="6237"/>
    <x v="1"/>
    <x v="0"/>
    <s v="TST-10M Atlas"/>
    <n v="7"/>
    <s v=""/>
    <m/>
  </r>
  <r>
    <x v="176"/>
    <x v="4"/>
    <x v="1"/>
    <x v="107"/>
    <x v="12"/>
    <s v="Safari Cup 2024 - Klub"/>
    <s v="CZ"/>
    <n v="2024"/>
    <n v="5"/>
    <n v="1082"/>
    <n v="0.73"/>
    <n v="8255"/>
    <n v="6026"/>
    <x v="0"/>
    <x v="0"/>
    <s v="LS-4"/>
    <s v="KP"/>
    <s v="Není v databázi"/>
    <m/>
  </r>
  <r>
    <x v="174"/>
    <x v="23"/>
    <x v="0"/>
    <x v="9"/>
    <x v="1"/>
    <s v="Safari Cup 2024 - Klub"/>
    <s v="CZ"/>
    <n v="2024"/>
    <n v="6"/>
    <n v="1046"/>
    <n v="0.73"/>
    <n v="7949"/>
    <n v="5803"/>
    <x v="0"/>
    <x v="0"/>
    <s v="Cirrus VTC"/>
    <s v="OT"/>
    <s v=""/>
    <m/>
  </r>
  <r>
    <x v="173"/>
    <x v="42"/>
    <x v="0"/>
    <x v="53"/>
    <x v="1"/>
    <s v="Safari Cup 2024 - Klub"/>
    <s v="CZ"/>
    <n v="2024"/>
    <n v="7"/>
    <n v="1024"/>
    <n v="0.73"/>
    <n v="7718"/>
    <n v="5634"/>
    <x v="1"/>
    <x v="0"/>
    <s v="HpH 304cz 15m"/>
    <s v="LB"/>
    <s v=""/>
    <m/>
  </r>
  <r>
    <x v="167"/>
    <x v="44"/>
    <x v="0"/>
    <x v="53"/>
    <x v="1"/>
    <s v="Safari Cup 2024 - Klub"/>
    <s v="CZ"/>
    <n v="2024"/>
    <n v="8"/>
    <n v="1008"/>
    <n v="0.73"/>
    <n v="7518"/>
    <n v="5488"/>
    <x v="1"/>
    <x v="0"/>
    <s v="LS-3 15m"/>
    <s v="R9"/>
    <s v="Junior v roce 2026"/>
    <m/>
  </r>
  <r>
    <x v="172"/>
    <x v="36"/>
    <x v="0"/>
    <x v="54"/>
    <x v="1"/>
    <s v="Safari Cup 2024 - Klub"/>
    <s v="CZ"/>
    <n v="2024"/>
    <n v="9"/>
    <n v="959"/>
    <n v="0.73"/>
    <n v="7143"/>
    <n v="5214"/>
    <x v="1"/>
    <x v="0"/>
    <s v="G-104 Speed Astir II"/>
    <s v="V2"/>
    <s v=""/>
    <m/>
  </r>
  <r>
    <x v="179"/>
    <x v="4"/>
    <x v="1"/>
    <x v="55"/>
    <x v="12"/>
    <s v="Safari Cup 2024 - Klub"/>
    <s v="CZ"/>
    <n v="2024"/>
    <n v="10"/>
    <n v="957"/>
    <n v="0.73"/>
    <n v="7017"/>
    <n v="5122"/>
    <x v="0"/>
    <x v="0"/>
    <s v="Centrair C-101A Pegase"/>
    <s v="AJ"/>
    <s v="Není v databázi"/>
    <m/>
  </r>
  <r>
    <x v="183"/>
    <x v="4"/>
    <x v="1"/>
    <x v="222"/>
    <x v="12"/>
    <s v="Safari Cup 2024 - Klub"/>
    <s v="CZ"/>
    <n v="2024"/>
    <n v="11"/>
    <n v="801"/>
    <n v="0.73"/>
    <n v="6078"/>
    <n v="4437"/>
    <x v="0"/>
    <x v="0"/>
    <s v="LS-4"/>
    <s v="YL"/>
    <s v="Není v databázi"/>
    <m/>
  </r>
  <r>
    <x v="184"/>
    <x v="20"/>
    <x v="0"/>
    <x v="14"/>
    <x v="0"/>
    <s v="Safari Cup 2024 - Klub"/>
    <s v="CZ"/>
    <n v="2024"/>
    <n v="12"/>
    <n v="786"/>
    <n v="0.73"/>
    <n v="5883"/>
    <n v="4295"/>
    <x v="1"/>
    <x v="0"/>
    <s v="ASK-21 dvojí"/>
    <s v="AK"/>
    <s v=""/>
    <m/>
  </r>
  <r>
    <x v="175"/>
    <x v="6"/>
    <x v="0"/>
    <x v="53"/>
    <x v="1"/>
    <s v="Safari Cup 2024 - Klub"/>
    <s v="CZ"/>
    <n v="2024"/>
    <n v="13"/>
    <n v="781"/>
    <n v="0.73"/>
    <n v="5741"/>
    <n v="4191"/>
    <x v="1"/>
    <x v="0"/>
    <s v="KKB 15E+ (FES)"/>
    <s v="AC"/>
    <s v=""/>
    <m/>
  </r>
  <r>
    <x v="169"/>
    <x v="9"/>
    <x v="0"/>
    <x v="51"/>
    <x v="1"/>
    <s v="Safari Cup 2024 - Klub"/>
    <s v="CZ"/>
    <n v="2024"/>
    <n v="14"/>
    <n v="749"/>
    <n v="0.73"/>
    <n v="5457"/>
    <n v="3984"/>
    <x v="1"/>
    <x v="0"/>
    <s v="G-103 Twin Astir dvojí (RG)"/>
    <n v="5"/>
    <s v=""/>
    <m/>
  </r>
  <r>
    <x v="186"/>
    <x v="0"/>
    <x v="0"/>
    <x v="14"/>
    <x v="0"/>
    <s v="Safari Cup 2024 - Klub"/>
    <s v="CZ"/>
    <n v="2024"/>
    <n v="15"/>
    <n v="712"/>
    <n v="0.73"/>
    <n v="5146"/>
    <n v="3757"/>
    <x v="1"/>
    <x v="0"/>
    <s v="G-102 Astir Jeans"/>
    <s v="VI"/>
    <s v=""/>
    <m/>
  </r>
  <r>
    <x v="733"/>
    <x v="4"/>
    <x v="1"/>
    <x v="223"/>
    <x v="12"/>
    <s v="Safari Cup 2024 - Klub"/>
    <s v="CZ"/>
    <n v="2024"/>
    <n v="16"/>
    <n v="668"/>
    <n v="0.73"/>
    <n v="4798"/>
    <n v="3503"/>
    <x v="0"/>
    <x v="0"/>
    <s v="LS-1d"/>
    <s v="GX"/>
    <s v="Není v databázi"/>
    <m/>
  </r>
  <r>
    <x v="180"/>
    <x v="47"/>
    <x v="0"/>
    <x v="3"/>
    <x v="2"/>
    <s v="Safari Cup 2024 - Klub"/>
    <s v="CZ"/>
    <n v="2024"/>
    <n v="17"/>
    <n v="628"/>
    <n v="0.73"/>
    <n v="4472"/>
    <n v="3265"/>
    <x v="1"/>
    <x v="0"/>
    <s v="G-104 Speed Astir II b"/>
    <s v="LE"/>
    <s v=""/>
    <m/>
  </r>
  <r>
    <x v="274"/>
    <x v="0"/>
    <x v="0"/>
    <x v="14"/>
    <x v="0"/>
    <s v="Safari Cup 2024 - Klub"/>
    <s v="CZ"/>
    <n v="2024"/>
    <n v="18"/>
    <n v="597"/>
    <n v="0.73"/>
    <n v="4192"/>
    <n v="3060"/>
    <x v="1"/>
    <x v="0"/>
    <s v="Std. Cirrus"/>
    <s v="FU"/>
    <s v=""/>
    <m/>
  </r>
  <r>
    <x v="177"/>
    <x v="54"/>
    <x v="0"/>
    <x v="14"/>
    <x v="0"/>
    <s v="Safari Cup 2024 - Klub"/>
    <s v="CZ"/>
    <n v="2024"/>
    <n v="19"/>
    <n v="568"/>
    <n v="0.73"/>
    <n v="3924"/>
    <n v="2865"/>
    <x v="1"/>
    <x v="0"/>
    <s v="VSO-10"/>
    <n v="93"/>
    <s v=""/>
    <m/>
  </r>
  <r>
    <x v="187"/>
    <x v="55"/>
    <x v="0"/>
    <x v="9"/>
    <x v="1"/>
    <s v="Safari Cup 2024 - Klub"/>
    <s v="CZ"/>
    <n v="2024"/>
    <n v="20"/>
    <n v="531"/>
    <n v="0.73"/>
    <n v="3613"/>
    <n v="2637"/>
    <x v="1"/>
    <x v="0"/>
    <s v="Cirrus VTC"/>
    <s v="VTC"/>
    <s v=""/>
    <m/>
  </r>
  <r>
    <x v="181"/>
    <x v="0"/>
    <x v="0"/>
    <x v="14"/>
    <x v="0"/>
    <s v="Safari Cup 2024 - Klub"/>
    <s v="CZ"/>
    <n v="2024"/>
    <n v="21"/>
    <n v="526"/>
    <n v="0.73"/>
    <n v="3471"/>
    <n v="2534"/>
    <x v="1"/>
    <x v="0"/>
    <s v="G-104 Speed Astir II b"/>
    <s v="M2"/>
    <s v=""/>
    <m/>
  </r>
  <r>
    <x v="734"/>
    <x v="4"/>
    <x v="1"/>
    <x v="224"/>
    <x v="12"/>
    <s v="Safari Cup 2024 - Klub"/>
    <s v="CZ"/>
    <n v="2024"/>
    <n v="22"/>
    <n v="476"/>
    <n v="0.73"/>
    <n v="3092"/>
    <n v="2257"/>
    <x v="0"/>
    <x v="0"/>
    <s v="DG 300"/>
    <s v="N5"/>
    <s v="Není v databázi"/>
    <m/>
  </r>
  <r>
    <x v="270"/>
    <x v="5"/>
    <x v="0"/>
    <x v="14"/>
    <x v="0"/>
    <s v="Safari Cup 2024 - Klub"/>
    <s v="CZ"/>
    <n v="2024"/>
    <n v="23"/>
    <n v="472"/>
    <n v="0.73"/>
    <n v="2955"/>
    <n v="2157"/>
    <x v="1"/>
    <x v="0"/>
    <s v="DG-300 Club Elan (RG)"/>
    <s v="DG"/>
    <s v=""/>
    <m/>
  </r>
  <r>
    <x v="735"/>
    <x v="4"/>
    <x v="1"/>
    <x v="225"/>
    <x v="12"/>
    <s v="Safari Cup 2024 - Klub"/>
    <s v="CZ"/>
    <n v="2024"/>
    <n v="23"/>
    <n v="472"/>
    <n v="0.73"/>
    <n v="2955"/>
    <n v="2157"/>
    <x v="0"/>
    <x v="0"/>
    <s v="Std. Cirrus"/>
    <s v="KL"/>
    <s v="Není v databázi"/>
    <m/>
  </r>
  <r>
    <x v="736"/>
    <x v="4"/>
    <x v="1"/>
    <x v="223"/>
    <x v="12"/>
    <s v="Safari Cup 2024 - Klub"/>
    <s v="CZ"/>
    <n v="2024"/>
    <n v="23"/>
    <n v="472"/>
    <n v="0.73"/>
    <n v="2955"/>
    <n v="2157"/>
    <x v="0"/>
    <x v="0"/>
    <s v="G-102 Astir Jeans"/>
    <n v="33"/>
    <s v="Není v databázi"/>
    <m/>
  </r>
  <r>
    <x v="188"/>
    <x v="56"/>
    <x v="0"/>
    <x v="56"/>
    <x v="2"/>
    <s v="Safari Cup 2024 - Klub"/>
    <s v="CZ"/>
    <n v="2024"/>
    <n v="26"/>
    <n v="3"/>
    <n v="0.73"/>
    <n v="131"/>
    <n v="96"/>
    <x v="1"/>
    <x v="0"/>
    <s v="TST-10M Atlas"/>
    <s v="KE"/>
    <s v=""/>
    <m/>
  </r>
  <r>
    <x v="737"/>
    <x v="4"/>
    <x v="1"/>
    <x v="226"/>
    <x v="12"/>
    <s v="Safari Cup 2024 - Klub"/>
    <s v="CZ"/>
    <n v="2024"/>
    <n v="27"/>
    <n v="0"/>
    <n v="0.73"/>
    <n v="0"/>
    <n v="0"/>
    <x v="0"/>
    <x v="0"/>
    <s v="DG 300"/>
    <s v="NS"/>
    <s v="Není v databázi"/>
    <m/>
  </r>
  <r>
    <x v="194"/>
    <x v="22"/>
    <x v="0"/>
    <x v="9"/>
    <x v="1"/>
    <s v="Safari Cup 2024 - Kombi"/>
    <s v="CZ"/>
    <n v="2024"/>
    <n v="1"/>
    <n v="1545"/>
    <n v="0.75"/>
    <n v="10000"/>
    <n v="7500"/>
    <x v="1"/>
    <x v="0"/>
    <s v="LAK-17B FES 18m"/>
    <s v="TF"/>
    <s v=""/>
    <m/>
  </r>
  <r>
    <x v="191"/>
    <x v="11"/>
    <x v="0"/>
    <x v="9"/>
    <x v="1"/>
    <s v="Safari Cup 2024 - Kombi"/>
    <s v="CZ"/>
    <n v="2024"/>
    <n v="2"/>
    <n v="1275"/>
    <n v="0.75"/>
    <n v="8443"/>
    <n v="6332"/>
    <x v="1"/>
    <x v="0"/>
    <s v="ASW-20 L +FL 16,6m"/>
    <s v="JP"/>
    <s v=""/>
    <m/>
  </r>
  <r>
    <x v="193"/>
    <x v="33"/>
    <x v="0"/>
    <x v="51"/>
    <x v="1"/>
    <s v="Safari Cup 2024 - Kombi"/>
    <s v="CZ"/>
    <n v="2024"/>
    <n v="3"/>
    <n v="1247"/>
    <n v="0.75"/>
    <n v="7983"/>
    <n v="5987"/>
    <x v="1"/>
    <x v="0"/>
    <s v="Discus b"/>
    <s v="VR"/>
    <s v=""/>
    <m/>
  </r>
  <r>
    <x v="192"/>
    <x v="29"/>
    <x v="0"/>
    <x v="57"/>
    <x v="1"/>
    <s v="Safari Cup 2024 - Kombi"/>
    <s v="CZ"/>
    <n v="2024"/>
    <n v="4"/>
    <n v="1133"/>
    <n v="0.75"/>
    <n v="7133"/>
    <n v="5350"/>
    <x v="1"/>
    <x v="0"/>
    <s v="HpH 304MS SHARK 18m -560 kg"/>
    <s v="TDi"/>
    <s v=""/>
    <m/>
  </r>
  <r>
    <x v="738"/>
    <x v="2"/>
    <x v="0"/>
    <x v="53"/>
    <x v="1"/>
    <s v="Safari Cup 2024 - Kombi"/>
    <s v="CZ"/>
    <n v="2024"/>
    <n v="5"/>
    <n v="1132"/>
    <n v="0.75"/>
    <n v="6795"/>
    <n v="5096"/>
    <x v="1"/>
    <x v="0"/>
    <s v="HpH 304cz 17,4m"/>
    <s v="IH"/>
    <s v=""/>
    <m/>
  </r>
  <r>
    <x v="190"/>
    <x v="16"/>
    <x v="0"/>
    <x v="15"/>
    <x v="1"/>
    <s v="Safari Cup 2024 - Kombi"/>
    <s v="CZ"/>
    <n v="2024"/>
    <n v="6"/>
    <n v="1078"/>
    <n v="0.75"/>
    <n v="6217"/>
    <n v="4663"/>
    <x v="1"/>
    <x v="0"/>
    <s v="Ventus c 17.6m"/>
    <s v="GE"/>
    <s v=""/>
    <m/>
  </r>
  <r>
    <x v="195"/>
    <x v="6"/>
    <x v="0"/>
    <x v="54"/>
    <x v="1"/>
    <s v="Safari Cup 2024 - Kombi"/>
    <s v="CZ"/>
    <n v="2024"/>
    <n v="7"/>
    <n v="876"/>
    <n v="0.75"/>
    <n v="4969"/>
    <n v="3727"/>
    <x v="1"/>
    <x v="0"/>
    <s v="DG 400 17m"/>
    <s v="ST"/>
    <s v=""/>
    <m/>
  </r>
  <r>
    <x v="109"/>
    <x v="25"/>
    <x v="0"/>
    <x v="27"/>
    <x v="2"/>
    <s v="Safari Cup 2024 - Kombi"/>
    <s v="CZ"/>
    <n v="2024"/>
    <n v="8"/>
    <n v="348"/>
    <n v="0.75"/>
    <n v="2243"/>
    <n v="1682"/>
    <x v="0"/>
    <x v="0"/>
    <s v="DG 400 17m"/>
    <s v="MR"/>
    <s v=""/>
    <m/>
  </r>
  <r>
    <x v="196"/>
    <x v="18"/>
    <x v="0"/>
    <x v="9"/>
    <x v="1"/>
    <s v="Safari Cup 2024 - Kombi"/>
    <s v="CZ"/>
    <n v="2024"/>
    <n v="9"/>
    <n v="122"/>
    <n v="0.75"/>
    <n v="886"/>
    <n v="665"/>
    <x v="1"/>
    <x v="0"/>
    <s v="HpH 304cz 17,4m"/>
    <s v="KN"/>
    <s v=""/>
    <m/>
  </r>
  <r>
    <x v="197"/>
    <x v="53"/>
    <x v="0"/>
    <x v="58"/>
    <x v="1"/>
    <s v="Safari Cup 2024 - Kombi"/>
    <s v="CZ"/>
    <n v="2024"/>
    <n v="10"/>
    <n v="16"/>
    <n v="0.75"/>
    <n v="72"/>
    <n v="54"/>
    <x v="1"/>
    <x v="0"/>
    <s v="Nimbus 2M"/>
    <s v="PM"/>
    <s v=""/>
    <m/>
  </r>
  <r>
    <x v="250"/>
    <x v="23"/>
    <x v="0"/>
    <x v="23"/>
    <x v="0"/>
    <s v="PPV 2024 - Klub"/>
    <s v="CZ"/>
    <n v="2024"/>
    <n v="1"/>
    <n v="4432"/>
    <n v="0.96000000000000008"/>
    <n v="10000"/>
    <n v="9600"/>
    <x v="1"/>
    <x v="0"/>
    <s v="ASW 15 B"/>
    <s v="MA"/>
    <s v=""/>
    <m/>
  </r>
  <r>
    <x v="123"/>
    <x v="37"/>
    <x v="0"/>
    <x v="7"/>
    <x v="2"/>
    <s v="PPV 2024 - Klub"/>
    <s v="CZ"/>
    <n v="2024"/>
    <n v="2"/>
    <n v="4392"/>
    <n v="0.96000000000000008"/>
    <n v="9833"/>
    <n v="9440"/>
    <x v="1"/>
    <x v="0"/>
    <s v="ASW 19 B"/>
    <s v="NO"/>
    <s v=""/>
    <m/>
  </r>
  <r>
    <x v="42"/>
    <x v="19"/>
    <x v="2"/>
    <x v="24"/>
    <x v="1"/>
    <s v="PPV 2024 - Klub"/>
    <s v="CZ"/>
    <n v="2024"/>
    <n v="3"/>
    <n v="4375"/>
    <n v="0.96000000000000008"/>
    <n v="9703"/>
    <n v="9315"/>
    <x v="1"/>
    <x v="1"/>
    <s v="Std. Cirrus"/>
    <s v="CI"/>
    <s v=""/>
    <m/>
  </r>
  <r>
    <x v="81"/>
    <x v="8"/>
    <x v="0"/>
    <x v="23"/>
    <x v="0"/>
    <s v="PPV 2024 - Klub"/>
    <s v="CZ"/>
    <n v="2024"/>
    <n v="4"/>
    <n v="4302"/>
    <n v="0.96000000000000008"/>
    <n v="9484"/>
    <n v="9105"/>
    <x v="1"/>
    <x v="0"/>
    <s v="Discus bT WL"/>
    <s v="OI"/>
    <s v=""/>
    <m/>
  </r>
  <r>
    <x v="86"/>
    <x v="27"/>
    <x v="0"/>
    <x v="23"/>
    <x v="0"/>
    <s v="PPV 2024 - Klub"/>
    <s v="CZ"/>
    <n v="2024"/>
    <n v="5"/>
    <n v="4177"/>
    <n v="0.96000000000000008"/>
    <n v="9183"/>
    <n v="8816"/>
    <x v="1"/>
    <x v="0"/>
    <s v="ASW 15 B"/>
    <s v="JJ"/>
    <s v=""/>
    <m/>
  </r>
  <r>
    <x v="249"/>
    <x v="48"/>
    <x v="0"/>
    <x v="23"/>
    <x v="0"/>
    <s v="PPV 2024 - Klub"/>
    <s v="CZ"/>
    <n v="2024"/>
    <n v="6"/>
    <n v="4142"/>
    <n v="0.96000000000000008"/>
    <n v="9025"/>
    <n v="8664"/>
    <x v="1"/>
    <x v="0"/>
    <s v="Discus b WL"/>
    <s v="DP"/>
    <s v=""/>
    <m/>
  </r>
  <r>
    <x v="244"/>
    <x v="35"/>
    <x v="0"/>
    <x v="25"/>
    <x v="1"/>
    <s v="PPV 2024 - Klub"/>
    <s v="CZ"/>
    <n v="2024"/>
    <n v="7"/>
    <n v="4119"/>
    <n v="0.96000000000000008"/>
    <n v="8885"/>
    <n v="8530"/>
    <x v="1"/>
    <x v="0"/>
    <s v="Std. Cirrus"/>
    <s v="AR"/>
    <s v=""/>
    <m/>
  </r>
  <r>
    <x v="251"/>
    <x v="43"/>
    <x v="0"/>
    <x v="23"/>
    <x v="0"/>
    <s v="PPV 2024 - Klub"/>
    <s v="CZ"/>
    <n v="2024"/>
    <n v="8"/>
    <n v="4113"/>
    <n v="0.96000000000000008"/>
    <n v="8772"/>
    <n v="8421"/>
    <x v="0"/>
    <x v="0"/>
    <s v="Mosquito"/>
    <s v="LC"/>
    <s v=""/>
    <m/>
  </r>
  <r>
    <x v="252"/>
    <x v="27"/>
    <x v="0"/>
    <x v="13"/>
    <x v="1"/>
    <s v="PPV 2024 - Klub"/>
    <s v="CZ"/>
    <n v="2024"/>
    <n v="9"/>
    <n v="4090"/>
    <n v="0.96000000000000008"/>
    <n v="8632"/>
    <n v="8287"/>
    <x v="1"/>
    <x v="0"/>
    <s v="Std. Cirrus"/>
    <s v="IF"/>
    <s v=""/>
    <m/>
  </r>
  <r>
    <x v="267"/>
    <x v="2"/>
    <x v="0"/>
    <x v="23"/>
    <x v="0"/>
    <s v="PPV 2024 - Klub"/>
    <s v="CZ"/>
    <n v="2024"/>
    <n v="10"/>
    <n v="4044"/>
    <n v="0.96000000000000008"/>
    <n v="8456"/>
    <n v="8118"/>
    <x v="1"/>
    <x v="0"/>
    <s v="Discus b"/>
    <s v="LH"/>
    <s v=""/>
    <m/>
  </r>
  <r>
    <x v="238"/>
    <x v="15"/>
    <x v="0"/>
    <x v="64"/>
    <x v="0"/>
    <s v="PPV 2024 - Klub"/>
    <s v="CZ"/>
    <n v="2024"/>
    <n v="11"/>
    <n v="3908"/>
    <n v="0.96000000000000008"/>
    <n v="8138"/>
    <n v="7812"/>
    <x v="1"/>
    <x v="0"/>
    <s v="ASW 15 B"/>
    <s v="LF"/>
    <s v=""/>
    <m/>
  </r>
  <r>
    <x v="255"/>
    <x v="45"/>
    <x v="0"/>
    <x v="19"/>
    <x v="1"/>
    <s v="PPV 2024 - Klub"/>
    <s v="CZ"/>
    <n v="2024"/>
    <n v="12"/>
    <n v="3690"/>
    <n v="0.96000000000000008"/>
    <n v="7690"/>
    <n v="7382"/>
    <x v="0"/>
    <x v="0"/>
    <s v="VT-116 Orlic 2"/>
    <n v="46"/>
    <s v=""/>
    <m/>
  </r>
  <r>
    <x v="254"/>
    <x v="2"/>
    <x v="0"/>
    <x v="66"/>
    <x v="1"/>
    <s v="PPV 2024 - Klub"/>
    <s v="CZ"/>
    <n v="2024"/>
    <n v="13"/>
    <n v="3660"/>
    <n v="0.96000000000000008"/>
    <n v="7539"/>
    <n v="7237"/>
    <x v="1"/>
    <x v="0"/>
    <s v="ASW 19 B"/>
    <s v="RCE"/>
    <s v=""/>
    <m/>
  </r>
  <r>
    <x v="77"/>
    <x v="41"/>
    <x v="0"/>
    <x v="30"/>
    <x v="2"/>
    <s v="PPV 2024 - Klub"/>
    <s v="CZ"/>
    <n v="2024"/>
    <n v="14"/>
    <n v="3605"/>
    <n v="0.96000000000000008"/>
    <n v="7349"/>
    <n v="7055"/>
    <x v="1"/>
    <x v="0"/>
    <s v="ASW 20"/>
    <s v="NS"/>
    <s v=""/>
    <m/>
  </r>
  <r>
    <x v="134"/>
    <x v="21"/>
    <x v="0"/>
    <x v="39"/>
    <x v="0"/>
    <s v="PPV 2024 - Klub"/>
    <s v="CZ"/>
    <n v="2024"/>
    <n v="15"/>
    <n v="3277"/>
    <n v="0.96000000000000008"/>
    <n v="6727"/>
    <n v="6458"/>
    <x v="1"/>
    <x v="0"/>
    <s v="DG 200"/>
    <s v="EK"/>
    <s v=""/>
    <m/>
  </r>
  <r>
    <x v="264"/>
    <x v="26"/>
    <x v="0"/>
    <x v="23"/>
    <x v="0"/>
    <s v="PPV 2024 - Klub"/>
    <s v="CZ"/>
    <n v="2024"/>
    <n v="16"/>
    <n v="3075"/>
    <n v="0.96000000000000008"/>
    <n v="6305"/>
    <n v="6053"/>
    <x v="1"/>
    <x v="0"/>
    <s v="ASW 19"/>
    <s v="WT"/>
    <s v=""/>
    <m/>
  </r>
  <r>
    <x v="127"/>
    <x v="36"/>
    <x v="0"/>
    <x v="39"/>
    <x v="0"/>
    <s v="PPV 2024 - Klub"/>
    <s v="CZ"/>
    <n v="2024"/>
    <n v="17"/>
    <n v="3014"/>
    <n v="0.96000000000000008"/>
    <n v="6105"/>
    <n v="5861"/>
    <x v="1"/>
    <x v="0"/>
    <s v="VSO-10"/>
    <n v="9"/>
    <s v=""/>
    <m/>
  </r>
  <r>
    <x v="133"/>
    <x v="24"/>
    <x v="0"/>
    <x v="39"/>
    <x v="0"/>
    <s v="PPV 2024 - Klub"/>
    <s v="CZ"/>
    <n v="2024"/>
    <n v="18"/>
    <n v="2943"/>
    <n v="0.96000000000000008"/>
    <n v="5890"/>
    <n v="5654"/>
    <x v="1"/>
    <x v="0"/>
    <s v="DG 100"/>
    <n v="78"/>
    <s v=""/>
    <m/>
  </r>
  <r>
    <x v="263"/>
    <x v="27"/>
    <x v="0"/>
    <x v="23"/>
    <x v="0"/>
    <s v="PPV 2024 - Klub"/>
    <s v="CZ"/>
    <n v="2024"/>
    <n v="19"/>
    <n v="2848"/>
    <n v="0.96000000000000008"/>
    <n v="5636"/>
    <n v="5411"/>
    <x v="1"/>
    <x v="0"/>
    <s v="G 102 Astir CS"/>
    <s v="PD"/>
    <s v=""/>
    <m/>
  </r>
  <r>
    <x v="266"/>
    <x v="44"/>
    <x v="0"/>
    <x v="23"/>
    <x v="0"/>
    <s v="PPV 2024 - Klub"/>
    <s v="CZ"/>
    <n v="2024"/>
    <n v="20"/>
    <n v="2820"/>
    <n v="0.96000000000000008"/>
    <n v="5488"/>
    <n v="5268"/>
    <x v="1"/>
    <x v="0"/>
    <s v="VSO-10"/>
    <s v="L5"/>
    <s v="Junior v roce 2026"/>
    <m/>
  </r>
  <r>
    <x v="131"/>
    <x v="16"/>
    <x v="0"/>
    <x v="39"/>
    <x v="0"/>
    <s v="PPV 2024 - Klub"/>
    <s v="CZ"/>
    <n v="2024"/>
    <n v="21"/>
    <n v="2679"/>
    <n v="0.96000000000000008"/>
    <n v="5162"/>
    <n v="4956"/>
    <x v="1"/>
    <x v="0"/>
    <s v="ASW 15 B"/>
    <s v="HH"/>
    <s v=""/>
    <m/>
  </r>
  <r>
    <x v="253"/>
    <x v="24"/>
    <x v="0"/>
    <x v="23"/>
    <x v="0"/>
    <s v="PPV 2024 - Klub"/>
    <s v="CZ"/>
    <n v="2024"/>
    <n v="22"/>
    <n v="2570"/>
    <n v="0.96000000000000008"/>
    <n v="4887"/>
    <n v="4692"/>
    <x v="1"/>
    <x v="0"/>
    <s v="ASW 15 B"/>
    <s v="BA4"/>
    <s v=""/>
    <m/>
  </r>
  <r>
    <x v="272"/>
    <x v="59"/>
    <x v="0"/>
    <x v="19"/>
    <x v="1"/>
    <s v="PPV 2024 - Klub"/>
    <s v="CZ"/>
    <n v="2024"/>
    <n v="23"/>
    <n v="2429"/>
    <n v="0.96000000000000008"/>
    <n v="4561"/>
    <n v="4379"/>
    <x v="1"/>
    <x v="0"/>
    <s v="VT-116 Orlic 2"/>
    <s v="I"/>
    <s v=""/>
    <m/>
  </r>
  <r>
    <x v="135"/>
    <x v="9"/>
    <x v="0"/>
    <x v="39"/>
    <x v="0"/>
    <s v="PPV 2024 - Klub"/>
    <s v="CZ"/>
    <n v="2024"/>
    <n v="24"/>
    <n v="2305"/>
    <n v="0.96000000000000008"/>
    <n v="4261"/>
    <n v="4091"/>
    <x v="1"/>
    <x v="0"/>
    <s v="ASW 19"/>
    <s v="BO"/>
    <s v=""/>
    <m/>
  </r>
  <r>
    <x v="243"/>
    <x v="31"/>
    <x v="0"/>
    <x v="21"/>
    <x v="0"/>
    <s v="PPV 2024 - Klub"/>
    <s v="CZ"/>
    <n v="2024"/>
    <n v="25"/>
    <n v="2154"/>
    <n v="0.96000000000000008"/>
    <n v="3919"/>
    <n v="3762"/>
    <x v="1"/>
    <x v="0"/>
    <s v="Std. Cirrus"/>
    <s v="BW"/>
    <s v=""/>
    <m/>
  </r>
  <r>
    <x v="261"/>
    <x v="0"/>
    <x v="0"/>
    <x v="23"/>
    <x v="0"/>
    <s v="PPV 2024 - Klub"/>
    <s v="CZ"/>
    <n v="2024"/>
    <n v="26"/>
    <n v="2006"/>
    <n v="0.96000000000000008"/>
    <n v="3582"/>
    <n v="3439"/>
    <x v="1"/>
    <x v="0"/>
    <s v="G 102 Astir CS"/>
    <s v="PJ"/>
    <s v=""/>
    <m/>
  </r>
  <r>
    <x v="265"/>
    <x v="27"/>
    <x v="0"/>
    <x v="23"/>
    <x v="0"/>
    <s v="PPV 2024 - Klub"/>
    <s v="CZ"/>
    <n v="2024"/>
    <n v="27"/>
    <n v="1952"/>
    <n v="0.96000000000000008"/>
    <n v="3393"/>
    <n v="3257"/>
    <x v="1"/>
    <x v="0"/>
    <s v="Alpin T"/>
    <s v="AI"/>
    <s v=""/>
    <m/>
  </r>
  <r>
    <x v="268"/>
    <x v="24"/>
    <x v="0"/>
    <x v="23"/>
    <x v="0"/>
    <s v="PPV 2024 - Klub"/>
    <s v="CZ"/>
    <n v="2024"/>
    <n v="28"/>
    <n v="1172"/>
    <n v="0.96000000000000008"/>
    <n v="2058"/>
    <n v="1976"/>
    <x v="1"/>
    <x v="0"/>
    <s v="Std. Cirrus WL"/>
    <s v="JE"/>
    <s v=""/>
    <m/>
  </r>
  <r>
    <x v="273"/>
    <x v="11"/>
    <x v="0"/>
    <x v="23"/>
    <x v="0"/>
    <s v="PPV 2024 - Klub"/>
    <s v="CZ"/>
    <n v="2024"/>
    <n v="29"/>
    <n v="981"/>
    <n v="0.96000000000000008"/>
    <n v="1653"/>
    <n v="1587"/>
    <x v="1"/>
    <x v="0"/>
    <s v="Std. Cirrus"/>
    <s v="L8"/>
    <s v=""/>
    <m/>
  </r>
  <r>
    <x v="271"/>
    <x v="39"/>
    <x v="0"/>
    <x v="19"/>
    <x v="1"/>
    <s v="PPV 2024 - Klub"/>
    <s v="CZ"/>
    <n v="2024"/>
    <n v="30"/>
    <n v="771"/>
    <n v="0.96000000000000008"/>
    <n v="1218"/>
    <n v="1169"/>
    <x v="0"/>
    <x v="0"/>
    <s v="VT-116 Orlic 2"/>
    <s v="ZUZ"/>
    <s v=""/>
    <m/>
  </r>
  <r>
    <x v="35"/>
    <x v="23"/>
    <x v="0"/>
    <x v="15"/>
    <x v="1"/>
    <s v="PPV 2024 - Kombi"/>
    <s v="CZ"/>
    <n v="2024"/>
    <n v="1"/>
    <n v="3834"/>
    <n v="0.92500000000000004"/>
    <n v="10000"/>
    <n v="9250"/>
    <x v="1"/>
    <x v="0"/>
    <s v="Ventus c 17.6m"/>
    <s v="EG"/>
    <s v=""/>
    <m/>
  </r>
  <r>
    <x v="41"/>
    <x v="28"/>
    <x v="0"/>
    <x v="23"/>
    <x v="0"/>
    <s v="PPV 2024 - Kombi"/>
    <s v="CZ"/>
    <n v="2024"/>
    <n v="2"/>
    <n v="3785"/>
    <n v="0.92500000000000004"/>
    <n v="9811"/>
    <n v="9075"/>
    <x v="1"/>
    <x v="0"/>
    <s v="AS 33 Es 18m"/>
    <s v="CAT"/>
    <s v=""/>
    <m/>
  </r>
  <r>
    <x v="739"/>
    <x v="4"/>
    <x v="1"/>
    <x v="119"/>
    <x v="4"/>
    <s v="PPV 2024 - Kombi"/>
    <s v="CZ"/>
    <n v="2024"/>
    <n v="3"/>
    <n v="3735"/>
    <n v="0.92500000000000004"/>
    <n v="9619"/>
    <n v="8898"/>
    <x v="0"/>
    <x v="0"/>
    <s v="Discus 2cT 18m"/>
    <s v="AL"/>
    <s v="Není v databázi"/>
    <m/>
  </r>
  <r>
    <x v="36"/>
    <x v="24"/>
    <x v="0"/>
    <x v="23"/>
    <x v="0"/>
    <s v="PPV 2024 - Kombi"/>
    <s v="CZ"/>
    <n v="2024"/>
    <n v="4"/>
    <n v="3721"/>
    <n v="0.92500000000000004"/>
    <n v="9494"/>
    <n v="8782"/>
    <x v="1"/>
    <x v="0"/>
    <s v="ASG 29 E 18m"/>
    <s v="QX"/>
    <s v=""/>
    <m/>
  </r>
  <r>
    <x v="247"/>
    <x v="24"/>
    <x v="0"/>
    <x v="65"/>
    <x v="2"/>
    <s v="PPV 2024 - Kombi"/>
    <s v="CZ"/>
    <n v="2024"/>
    <n v="5"/>
    <n v="3663"/>
    <n v="0.92500000000000004"/>
    <n v="9288"/>
    <n v="8591"/>
    <x v="1"/>
    <x v="0"/>
    <s v="Ventus c 17.6m"/>
    <s v="AD"/>
    <s v=""/>
    <m/>
  </r>
  <r>
    <x v="740"/>
    <x v="15"/>
    <x v="0"/>
    <x v="0"/>
    <x v="0"/>
    <s v="PPV 2024 - Kombi"/>
    <s v="CZ"/>
    <n v="2024"/>
    <n v="6"/>
    <n v="3609"/>
    <n v="0.92500000000000004"/>
    <n v="9089"/>
    <n v="8407"/>
    <x v="1"/>
    <x v="0"/>
    <s v="Discus 2cT 18m"/>
    <s v="AE"/>
    <s v=""/>
    <m/>
  </r>
  <r>
    <x v="138"/>
    <x v="37"/>
    <x v="0"/>
    <x v="39"/>
    <x v="0"/>
    <s v="PPV 2024 - Kombi"/>
    <s v="CZ"/>
    <n v="2024"/>
    <n v="7"/>
    <n v="3582"/>
    <n v="0.92500000000000004"/>
    <n v="8940"/>
    <n v="8270"/>
    <x v="1"/>
    <x v="0"/>
    <s v="Duo Discus X"/>
    <s v="BB"/>
    <s v=""/>
    <m/>
  </r>
  <r>
    <x v="45"/>
    <x v="30"/>
    <x v="0"/>
    <x v="15"/>
    <x v="1"/>
    <s v="PPV 2024 - Kombi"/>
    <s v="CZ"/>
    <n v="2024"/>
    <n v="8"/>
    <n v="3426"/>
    <n v="0.92500000000000004"/>
    <n v="8555"/>
    <n v="7913"/>
    <x v="1"/>
    <x v="0"/>
    <s v="Ventus c 17.6m"/>
    <s v="VV"/>
    <s v=""/>
    <m/>
  </r>
  <r>
    <x v="228"/>
    <x v="25"/>
    <x v="0"/>
    <x v="21"/>
    <x v="0"/>
    <s v="PPV 2024 - Kombi"/>
    <s v="CZ"/>
    <n v="2024"/>
    <n v="9"/>
    <n v="3410"/>
    <n v="0.92500000000000004"/>
    <n v="8426"/>
    <n v="7794"/>
    <x v="1"/>
    <x v="0"/>
    <s v="Ventus c 17.6m"/>
    <s v="PUP"/>
    <s v=""/>
    <m/>
  </r>
  <r>
    <x v="54"/>
    <x v="2"/>
    <x v="2"/>
    <x v="21"/>
    <x v="0"/>
    <s v="PPV 2024 - Kombi"/>
    <s v="CZ"/>
    <n v="2024"/>
    <n v="10"/>
    <n v="3393"/>
    <n v="0.92500000000000004"/>
    <n v="8295"/>
    <n v="7673"/>
    <x v="1"/>
    <x v="1"/>
    <s v="LS 8 18m"/>
    <s v="ID"/>
    <s v=""/>
    <m/>
  </r>
  <r>
    <x v="112"/>
    <x v="25"/>
    <x v="0"/>
    <x v="10"/>
    <x v="0"/>
    <s v="PPV 2024 - Kombi"/>
    <s v="CZ"/>
    <n v="2024"/>
    <n v="11"/>
    <n v="3274"/>
    <n v="0.92500000000000004"/>
    <n v="7978"/>
    <n v="7380"/>
    <x v="0"/>
    <x v="0"/>
    <s v="Ventus cT 17.6m"/>
    <s v="KR"/>
    <s v=""/>
    <m/>
  </r>
  <r>
    <x v="44"/>
    <x v="29"/>
    <x v="0"/>
    <x v="10"/>
    <x v="0"/>
    <s v="PPV 2024 - Kombi"/>
    <s v="CZ"/>
    <n v="2024"/>
    <n v="12"/>
    <n v="3256"/>
    <n v="0.92500000000000004"/>
    <n v="7845"/>
    <n v="7257"/>
    <x v="1"/>
    <x v="0"/>
    <s v="HpH 304 MS Shark"/>
    <s v="DJ"/>
    <s v=""/>
    <m/>
  </r>
  <r>
    <x v="217"/>
    <x v="47"/>
    <x v="0"/>
    <x v="38"/>
    <x v="1"/>
    <s v="PPV 2024 - Kombi"/>
    <s v="CZ"/>
    <n v="2024"/>
    <n v="13"/>
    <n v="3191"/>
    <n v="0.92500000000000004"/>
    <n v="7626"/>
    <n v="7054"/>
    <x v="1"/>
    <x v="0"/>
    <s v="JS1 18m"/>
    <s v="IGC"/>
    <s v=""/>
    <m/>
  </r>
  <r>
    <x v="276"/>
    <x v="21"/>
    <x v="0"/>
    <x v="1"/>
    <x v="1"/>
    <s v="PPV 2024 - Kombi"/>
    <s v="CZ"/>
    <n v="2024"/>
    <n v="14"/>
    <n v="3166"/>
    <n v="0.92500000000000004"/>
    <n v="7480"/>
    <n v="6919"/>
    <x v="1"/>
    <x v="0"/>
    <s v="Ventus 2cM 18m"/>
    <s v="LS"/>
    <s v=""/>
    <m/>
  </r>
  <r>
    <x v="66"/>
    <x v="27"/>
    <x v="0"/>
    <x v="27"/>
    <x v="2"/>
    <s v="PPV 2024 - Kombi"/>
    <s v="CZ"/>
    <n v="2024"/>
    <n v="15"/>
    <n v="3121"/>
    <n v="0.92500000000000004"/>
    <n v="7298"/>
    <n v="6751"/>
    <x v="0"/>
    <x v="0"/>
    <s v="Ventus cM 17.6m"/>
    <s v="JK"/>
    <s v=""/>
    <m/>
  </r>
  <r>
    <x v="678"/>
    <x v="4"/>
    <x v="1"/>
    <x v="55"/>
    <x v="4"/>
    <s v="PPV 2024 - Kombi"/>
    <s v="CZ"/>
    <n v="2024"/>
    <n v="16"/>
    <n v="3051"/>
    <n v="0.92500000000000004"/>
    <n v="7070"/>
    <n v="6540"/>
    <x v="0"/>
    <x v="0"/>
    <s v="ASG 29 E 18m"/>
    <s v="LK"/>
    <s v="Není v databázi"/>
    <m/>
  </r>
  <r>
    <x v="74"/>
    <x v="36"/>
    <x v="0"/>
    <x v="18"/>
    <x v="2"/>
    <s v="PPV 2024 - Kombi"/>
    <s v="CZ"/>
    <n v="2024"/>
    <n v="17"/>
    <n v="3014"/>
    <n v="0.92500000000000004"/>
    <n v="6903"/>
    <n v="6385"/>
    <x v="1"/>
    <x v="0"/>
    <s v="ASG 29 E 18m"/>
    <s v="SNeK"/>
    <s v=""/>
    <m/>
  </r>
  <r>
    <x v="52"/>
    <x v="33"/>
    <x v="0"/>
    <x v="15"/>
    <x v="1"/>
    <s v="PPV 2024 - Kombi"/>
    <s v="CZ"/>
    <n v="2024"/>
    <n v="18"/>
    <n v="2983"/>
    <n v="0.92500000000000004"/>
    <n v="6746"/>
    <n v="6240"/>
    <x v="1"/>
    <x v="0"/>
    <s v="LS 8 18m"/>
    <s v="ZB"/>
    <s v=""/>
    <m/>
  </r>
  <r>
    <x v="277"/>
    <x v="29"/>
    <x v="0"/>
    <x v="28"/>
    <x v="2"/>
    <s v="PPV 2024 - Kombi"/>
    <s v="CZ"/>
    <n v="2024"/>
    <n v="19"/>
    <n v="2929"/>
    <n v="0.92500000000000004"/>
    <n v="6548"/>
    <n v="6057"/>
    <x v="0"/>
    <x v="0"/>
    <s v="Duo Discus T"/>
    <s v="ZS"/>
    <s v=""/>
    <m/>
  </r>
  <r>
    <x v="278"/>
    <x v="60"/>
    <x v="0"/>
    <x v="10"/>
    <x v="0"/>
    <s v="PPV 2024 - Kombi"/>
    <s v="CZ"/>
    <n v="2024"/>
    <n v="20"/>
    <n v="2918"/>
    <n v="0.92500000000000004"/>
    <n v="6428"/>
    <n v="5946"/>
    <x v="1"/>
    <x v="0"/>
    <s v="Nimbus 3 22.9m WL"/>
    <s v="HS"/>
    <s v=""/>
    <m/>
  </r>
  <r>
    <x v="281"/>
    <x v="2"/>
    <x v="0"/>
    <x v="60"/>
    <x v="2"/>
    <s v="PPV 2024 - Kombi"/>
    <s v="CZ"/>
    <n v="2024"/>
    <n v="21"/>
    <n v="2798"/>
    <n v="0.92500000000000004"/>
    <n v="6109"/>
    <n v="5651"/>
    <x v="1"/>
    <x v="0"/>
    <s v="HpH 304 TS Twin Shark"/>
    <s v="PH"/>
    <s v=""/>
    <m/>
  </r>
  <r>
    <x v="279"/>
    <x v="35"/>
    <x v="0"/>
    <x v="23"/>
    <x v="0"/>
    <s v="PPV 2024 - Kombi"/>
    <s v="CZ"/>
    <n v="2024"/>
    <n v="22"/>
    <n v="2612"/>
    <n v="0.92500000000000004"/>
    <n v="5669"/>
    <n v="5244"/>
    <x v="1"/>
    <x v="0"/>
    <s v="Ventus c 17.6m"/>
    <s v="UC"/>
    <s v=""/>
    <m/>
  </r>
  <r>
    <x v="97"/>
    <x v="43"/>
    <x v="0"/>
    <x v="0"/>
    <x v="0"/>
    <s v="PPV 2024 - Kombi"/>
    <s v="CZ"/>
    <n v="2024"/>
    <n v="23"/>
    <n v="2377"/>
    <n v="0.92500000000000004"/>
    <n v="5140"/>
    <n v="4755"/>
    <x v="0"/>
    <x v="0"/>
    <s v="Ventus c 17.6m"/>
    <s v="LS"/>
    <s v=""/>
    <m/>
  </r>
  <r>
    <x v="143"/>
    <x v="4"/>
    <x v="1"/>
    <x v="55"/>
    <x v="4"/>
    <s v="PPV 2024 - Kombi"/>
    <s v="CZ"/>
    <n v="2024"/>
    <n v="24"/>
    <n v="2337"/>
    <n v="0.92500000000000004"/>
    <n v="4967"/>
    <n v="4594"/>
    <x v="0"/>
    <x v="0"/>
    <s v="LS 6 17.5m"/>
    <s v="N6"/>
    <s v="Není v databázi"/>
    <m/>
  </r>
  <r>
    <x v="280"/>
    <x v="18"/>
    <x v="0"/>
    <x v="23"/>
    <x v="0"/>
    <s v="PPV 2024 - Kombi"/>
    <s v="CZ"/>
    <n v="2024"/>
    <n v="25"/>
    <n v="2275"/>
    <n v="0.92500000000000004"/>
    <n v="4754"/>
    <n v="4397"/>
    <x v="1"/>
    <x v="0"/>
    <s v="LS 6 18m"/>
    <s v="F5"/>
    <s v=""/>
    <m/>
  </r>
  <r>
    <x v="49"/>
    <x v="14"/>
    <x v="0"/>
    <x v="0"/>
    <x v="0"/>
    <s v="PPV 2024 - Kombi"/>
    <s v="CZ"/>
    <n v="2024"/>
    <n v="26"/>
    <n v="2192"/>
    <n v="0.92500000000000004"/>
    <n v="4502"/>
    <n v="4164"/>
    <x v="1"/>
    <x v="0"/>
    <s v="Ventus 2cxM 18m"/>
    <s v="IB"/>
    <s v=""/>
    <m/>
  </r>
  <r>
    <x v="292"/>
    <x v="4"/>
    <x v="1"/>
    <x v="55"/>
    <x v="4"/>
    <s v="PPV 2024 - Kombi"/>
    <s v="CZ"/>
    <n v="2024"/>
    <n v="27"/>
    <n v="2076"/>
    <n v="0.92500000000000004"/>
    <n v="4190"/>
    <n v="3876"/>
    <x v="0"/>
    <x v="0"/>
    <s v="Ventus 3F 18m"/>
    <s v="LB"/>
    <s v="Není v databázi"/>
    <m/>
  </r>
  <r>
    <x v="76"/>
    <x v="40"/>
    <x v="0"/>
    <x v="30"/>
    <x v="2"/>
    <s v="PPV 2024 - Kombi"/>
    <s v="CZ"/>
    <n v="2024"/>
    <n v="28"/>
    <n v="1894"/>
    <n v="0.92500000000000004"/>
    <n v="3758"/>
    <n v="3476"/>
    <x v="0"/>
    <x v="0"/>
    <s v="LAK-17A T 18m"/>
    <s v="GL"/>
    <s v=""/>
    <m/>
  </r>
  <r>
    <x v="258"/>
    <x v="0"/>
    <x v="0"/>
    <x v="60"/>
    <x v="2"/>
    <s v="PPV 2024 - Kombi"/>
    <s v="CZ"/>
    <n v="2024"/>
    <n v="29"/>
    <n v="1822"/>
    <n v="0.92500000000000004"/>
    <n v="3527"/>
    <n v="3262"/>
    <x v="1"/>
    <x v="0"/>
    <s v="Ventus cM 17.6m"/>
    <s v="RK"/>
    <s v=""/>
    <m/>
  </r>
  <r>
    <x v="741"/>
    <x v="4"/>
    <x v="1"/>
    <x v="55"/>
    <x v="4"/>
    <s v="PPV 2024 - Kombi"/>
    <s v="CZ"/>
    <n v="2024"/>
    <n v="30"/>
    <n v="1739"/>
    <n v="0.92500000000000004"/>
    <n v="3275"/>
    <n v="3029"/>
    <x v="0"/>
    <x v="0"/>
    <s v="Discus 2cT 18m"/>
    <s v="JH"/>
    <s v="Není v databázi"/>
    <m/>
  </r>
  <r>
    <x v="742"/>
    <x v="4"/>
    <x v="0"/>
    <x v="227"/>
    <x v="3"/>
    <s v="PPV 2024 - Kombi"/>
    <s v="CZ"/>
    <n v="2024"/>
    <n v="31"/>
    <n v="1654"/>
    <n v="0.92500000000000004"/>
    <n v="3020"/>
    <n v="2794"/>
    <x v="0"/>
    <x v="0"/>
    <s v="Ventus cT 17.6m"/>
    <s v="JQ"/>
    <s v="Není v databázi"/>
    <m/>
  </r>
  <r>
    <x v="697"/>
    <x v="24"/>
    <x v="0"/>
    <x v="217"/>
    <x v="0"/>
    <s v="Ranský pohár 2024 - Klub"/>
    <s v="CZ"/>
    <n v="2024"/>
    <n v="1"/>
    <n v="3849"/>
    <n v="0.76500000000000001"/>
    <n v="10000"/>
    <n v="7650"/>
    <x v="1"/>
    <x v="0"/>
    <s v="ASW 15 B"/>
    <s v="XE"/>
    <s v=""/>
    <m/>
  </r>
  <r>
    <x v="714"/>
    <x v="48"/>
    <x v="0"/>
    <x v="24"/>
    <x v="1"/>
    <s v="Ranský pohár 2024 - Klub"/>
    <s v="CZ"/>
    <n v="2024"/>
    <n v="2"/>
    <n v="3648"/>
    <n v="0.76500000000000001"/>
    <n v="9492"/>
    <n v="7261"/>
    <x v="1"/>
    <x v="0"/>
    <s v="Discus bT WL"/>
    <s v="TAL"/>
    <s v=""/>
    <m/>
  </r>
  <r>
    <x v="349"/>
    <x v="0"/>
    <x v="0"/>
    <x v="9"/>
    <x v="1"/>
    <s v="Ranský pohár 2024 - Klub"/>
    <s v="CZ"/>
    <n v="2024"/>
    <n v="3"/>
    <n v="3607"/>
    <n v="0.76500000000000001"/>
    <n v="9274"/>
    <n v="7095"/>
    <x v="1"/>
    <x v="0"/>
    <s v="Std. Cirrus WL"/>
    <s v="UY"/>
    <s v=""/>
    <m/>
  </r>
  <r>
    <x v="694"/>
    <x v="6"/>
    <x v="0"/>
    <x v="24"/>
    <x v="1"/>
    <s v="Ranský pohár 2024 - Klub"/>
    <s v="CZ"/>
    <n v="2024"/>
    <n v="4"/>
    <n v="3496"/>
    <n v="0.76500000000000001"/>
    <n v="8929"/>
    <n v="6831"/>
    <x v="1"/>
    <x v="0"/>
    <s v="ASW 24 E WL"/>
    <s v="JM"/>
    <s v=""/>
    <m/>
  </r>
  <r>
    <x v="743"/>
    <x v="45"/>
    <x v="0"/>
    <x v="24"/>
    <x v="1"/>
    <s v="Ranský pohár 2024 - Klub"/>
    <s v="CZ"/>
    <n v="2024"/>
    <n v="5"/>
    <n v="349"/>
    <n v="0.76500000000000001"/>
    <n v="3063"/>
    <n v="2343"/>
    <x v="1"/>
    <x v="0"/>
    <s v="Std. Cirrus"/>
    <s v="EX"/>
    <s v=""/>
    <m/>
  </r>
  <r>
    <x v="125"/>
    <x v="9"/>
    <x v="0"/>
    <x v="22"/>
    <x v="0"/>
    <s v="Ranský pohár 2024 - Klub"/>
    <s v="CZ"/>
    <n v="2024"/>
    <n v="6"/>
    <n v="3472"/>
    <n v="0.76500000000000001"/>
    <n v="8600"/>
    <n v="6579"/>
    <x v="1"/>
    <x v="0"/>
    <s v="Std. Cirrus"/>
    <s v="GT"/>
    <s v=""/>
    <m/>
  </r>
  <r>
    <x v="744"/>
    <x v="39"/>
    <x v="0"/>
    <x v="62"/>
    <x v="1"/>
    <s v="Ranský pohár 2024 - Klub"/>
    <s v="CZ"/>
    <n v="2024"/>
    <n v="7"/>
    <n v="3296"/>
    <n v="0.76500000000000001"/>
    <n v="8137"/>
    <n v="6225"/>
    <x v="1"/>
    <x v="0"/>
    <s v="Std. Cirrus"/>
    <s v="FF"/>
    <s v=""/>
    <m/>
  </r>
  <r>
    <x v="126"/>
    <x v="47"/>
    <x v="0"/>
    <x v="38"/>
    <x v="1"/>
    <s v="Ranský pohár 2024 - Klub"/>
    <s v="CZ"/>
    <n v="2024"/>
    <n v="8"/>
    <n v="3246"/>
    <n v="0.76500000000000001"/>
    <n v="7903"/>
    <n v="6046"/>
    <x v="0"/>
    <x v="0"/>
    <s v="ASW 15 B"/>
    <s v="CW"/>
    <s v=""/>
    <m/>
  </r>
  <r>
    <x v="745"/>
    <x v="13"/>
    <x v="0"/>
    <x v="24"/>
    <x v="1"/>
    <s v="Ranský pohár 2024 - Klub"/>
    <s v="CZ"/>
    <n v="2024"/>
    <n v="9"/>
    <n v="2918"/>
    <n v="0.76500000000000001"/>
    <n v="7164"/>
    <n v="5480"/>
    <x v="1"/>
    <x v="0"/>
    <s v="Std. Cirrus"/>
    <s v="GP"/>
    <s v=""/>
    <m/>
  </r>
  <r>
    <x v="746"/>
    <x v="50"/>
    <x v="0"/>
    <x v="24"/>
    <x v="1"/>
    <s v="Ranský pohár 2024 - Klub"/>
    <s v="CZ"/>
    <n v="2024"/>
    <n v="10"/>
    <n v="2398"/>
    <n v="0.76500000000000001"/>
    <n v="6075"/>
    <n v="4647"/>
    <x v="1"/>
    <x v="0"/>
    <s v="VSO-10"/>
    <n v="59"/>
    <s v="Junior v roce 2026"/>
    <m/>
  </r>
  <r>
    <x v="747"/>
    <x v="27"/>
    <x v="0"/>
    <x v="38"/>
    <x v="1"/>
    <s v="Ranský pohár 2024 - Klub"/>
    <s v="CZ"/>
    <n v="2024"/>
    <n v="11"/>
    <n v="2318"/>
    <n v="0.76500000000000001"/>
    <n v="5787"/>
    <n v="4427"/>
    <x v="1"/>
    <x v="0"/>
    <s v="ASW 15 B"/>
    <s v="T"/>
    <s v=""/>
    <m/>
  </r>
  <r>
    <x v="748"/>
    <x v="27"/>
    <x v="0"/>
    <x v="38"/>
    <x v="1"/>
    <s v="Ranský pohár 2024 - Klub"/>
    <s v="CZ"/>
    <n v="2024"/>
    <n v="12"/>
    <n v="2152"/>
    <n v="0.76500000000000001"/>
    <n v="5342"/>
    <n v="4087"/>
    <x v="1"/>
    <x v="0"/>
    <s v="Std. Cirrus"/>
    <s v="CV"/>
    <s v=""/>
    <m/>
  </r>
  <r>
    <x v="701"/>
    <x v="35"/>
    <x v="0"/>
    <x v="217"/>
    <x v="0"/>
    <s v="Ranský pohár 2024 - Klub"/>
    <s v="CZ"/>
    <n v="2024"/>
    <n v="13"/>
    <n v="1854"/>
    <n v="0.76500000000000001"/>
    <n v="4657"/>
    <n v="3563"/>
    <x v="1"/>
    <x v="0"/>
    <s v="LS 3a"/>
    <s v="2G"/>
    <s v=""/>
    <m/>
  </r>
  <r>
    <x v="749"/>
    <x v="21"/>
    <x v="0"/>
    <x v="24"/>
    <x v="1"/>
    <s v="Ranský pohár 2024 - Klub"/>
    <s v="CZ"/>
    <n v="2024"/>
    <n v="14"/>
    <n v="1796"/>
    <n v="0.76500000000000001"/>
    <n v="4409"/>
    <n v="3373"/>
    <x v="1"/>
    <x v="0"/>
    <s v="M-35"/>
    <n v="36"/>
    <s v=""/>
    <m/>
  </r>
  <r>
    <x v="750"/>
    <x v="21"/>
    <x v="0"/>
    <x v="24"/>
    <x v="1"/>
    <s v="Ranský pohár 2024 - Klub"/>
    <s v="CZ"/>
    <n v="2024"/>
    <n v="15"/>
    <n v="1767"/>
    <n v="0.76500000000000001"/>
    <n v="4214"/>
    <n v="3224"/>
    <x v="1"/>
    <x v="0"/>
    <s v="ASW 19"/>
    <s v="FR"/>
    <s v=""/>
    <m/>
  </r>
  <r>
    <x v="751"/>
    <x v="0"/>
    <x v="2"/>
    <x v="24"/>
    <x v="1"/>
    <s v="Ranský pohár 2024 - Klub"/>
    <s v="CZ"/>
    <n v="2024"/>
    <n v="16"/>
    <n v="1761"/>
    <n v="0.76500000000000001"/>
    <n v="4060"/>
    <n v="3106"/>
    <x v="1"/>
    <x v="1"/>
    <s v="LS 1-0"/>
    <s v="AL"/>
    <s v=""/>
    <m/>
  </r>
  <r>
    <x v="208"/>
    <x v="37"/>
    <x v="0"/>
    <x v="24"/>
    <x v="1"/>
    <s v="Ranský pohár 2024 - Klub"/>
    <s v="CZ"/>
    <n v="2024"/>
    <n v="17"/>
    <n v="161"/>
    <n v="0.76500000000000001"/>
    <n v="1007"/>
    <n v="770"/>
    <x v="0"/>
    <x v="0"/>
    <s v="Janus 18.2m"/>
    <s v="RA"/>
    <s v=""/>
    <m/>
  </r>
  <r>
    <x v="101"/>
    <x v="18"/>
    <x v="0"/>
    <x v="28"/>
    <x v="2"/>
    <s v="Ranský pohár 2024 - Klub"/>
    <s v="CZ"/>
    <n v="2024"/>
    <n v="18"/>
    <n v="1514"/>
    <n v="0.76500000000000001"/>
    <n v="3325"/>
    <n v="2544"/>
    <x v="0"/>
    <x v="0"/>
    <s v="ASW 15 B"/>
    <n v="15"/>
    <s v=""/>
    <m/>
  </r>
  <r>
    <x v="700"/>
    <x v="26"/>
    <x v="2"/>
    <x v="24"/>
    <x v="1"/>
    <s v="Ranský pohár 2024 - Klub"/>
    <s v="CZ"/>
    <n v="2024"/>
    <n v="19"/>
    <n v="1436"/>
    <n v="0.76500000000000001"/>
    <n v="3040"/>
    <n v="2326"/>
    <x v="1"/>
    <x v="1"/>
    <s v="ASW 15"/>
    <s v="TZ"/>
    <s v=""/>
    <m/>
  </r>
  <r>
    <x v="752"/>
    <x v="6"/>
    <x v="2"/>
    <x v="28"/>
    <x v="2"/>
    <s v="Ranský pohár 2024 - Klub"/>
    <s v="CZ"/>
    <n v="2024"/>
    <n v="20"/>
    <n v="1373"/>
    <n v="0.76500000000000001"/>
    <n v="2783"/>
    <n v="2129"/>
    <x v="1"/>
    <x v="1"/>
    <s v="ASW 15 B"/>
    <s v="R5"/>
    <s v=""/>
    <m/>
  </r>
  <r>
    <x v="753"/>
    <x v="24"/>
    <x v="0"/>
    <x v="217"/>
    <x v="0"/>
    <s v="Ranský pohár 2024 - Klub"/>
    <s v="CZ"/>
    <n v="2024"/>
    <n v="21"/>
    <n v="341"/>
    <n v="0.76500000000000001"/>
    <n v="763"/>
    <n v="584"/>
    <x v="1"/>
    <x v="0"/>
    <s v="VSO-10 C"/>
    <s v="V3"/>
    <s v=""/>
    <m/>
  </r>
  <r>
    <x v="96"/>
    <x v="2"/>
    <x v="0"/>
    <x v="2"/>
    <x v="0"/>
    <s v="Ranský pohár 2024 - Klub"/>
    <s v="CZ"/>
    <n v="2024"/>
    <n v="22"/>
    <n v="0"/>
    <n v="0.76500000000000001"/>
    <n v="0"/>
    <n v="0"/>
    <x v="0"/>
    <x v="0"/>
    <s v="Cirrus VTC 17.74m"/>
    <s v="JP"/>
    <s v=""/>
    <m/>
  </r>
  <r>
    <x v="722"/>
    <x v="39"/>
    <x v="0"/>
    <x v="36"/>
    <x v="2"/>
    <s v="Pohár Českého Ráje 2024 - Klub"/>
    <s v="CZ"/>
    <n v="2024"/>
    <n v="1"/>
    <n v="1184"/>
    <n v="0.73"/>
    <n v="10000"/>
    <n v="7300"/>
    <x v="1"/>
    <x v="0"/>
    <s v="Tukan"/>
    <s v="MD"/>
    <s v=""/>
    <m/>
  </r>
  <r>
    <x v="754"/>
    <x v="6"/>
    <x v="0"/>
    <x v="15"/>
    <x v="1"/>
    <s v="Pohár Českého Ráje 2024 - Klub"/>
    <s v="CZ"/>
    <n v="2024"/>
    <n v="2"/>
    <n v="1016"/>
    <n v="0.73"/>
    <n v="8792"/>
    <n v="6418"/>
    <x v="1"/>
    <x v="0"/>
    <s v="ASW 15"/>
    <s v="A18"/>
    <s v=""/>
    <m/>
  </r>
  <r>
    <x v="755"/>
    <x v="13"/>
    <x v="0"/>
    <x v="15"/>
    <x v="1"/>
    <s v="Pohár Českého Ráje 2024 - Klub"/>
    <s v="CZ"/>
    <n v="2024"/>
    <n v="3"/>
    <n v="941"/>
    <n v="0.73"/>
    <n v="8135"/>
    <n v="5939"/>
    <x v="1"/>
    <x v="0"/>
    <s v="TEREJ II 13,5"/>
    <s v="TP"/>
    <s v=""/>
    <m/>
  </r>
  <r>
    <x v="756"/>
    <x v="34"/>
    <x v="0"/>
    <x v="18"/>
    <x v="2"/>
    <s v="Pohár Českého Ráje 2024 - Klub"/>
    <s v="CZ"/>
    <n v="2024"/>
    <n v="4"/>
    <n v="724"/>
    <n v="0.73"/>
    <n v="6638"/>
    <n v="4846"/>
    <x v="1"/>
    <x v="0"/>
    <s v="TST-10 Atlas M"/>
    <n v="7"/>
    <s v="Junior v roce 2026"/>
    <m/>
  </r>
  <r>
    <x v="757"/>
    <x v="42"/>
    <x v="0"/>
    <x v="15"/>
    <x v="1"/>
    <s v="Pohár Českého Ráje 2024 - Klub"/>
    <s v="CZ"/>
    <n v="2024"/>
    <n v="5"/>
    <n v="699"/>
    <n v="0.73"/>
    <n v="6275"/>
    <n v="4581"/>
    <x v="1"/>
    <x v="0"/>
    <s v="TST-10 Atlas M"/>
    <n v="10"/>
    <s v=""/>
    <m/>
  </r>
  <r>
    <x v="758"/>
    <x v="36"/>
    <x v="0"/>
    <x v="51"/>
    <x v="1"/>
    <s v="Pohár Českého Ráje 2024 - Klub"/>
    <s v="CZ"/>
    <n v="2024"/>
    <n v="6"/>
    <n v="651"/>
    <n v="0.73"/>
    <n v="5777"/>
    <n v="4217"/>
    <x v="1"/>
    <x v="0"/>
    <s v="VT-116"/>
    <n v="116"/>
    <s v=""/>
    <m/>
  </r>
  <r>
    <x v="759"/>
    <x v="23"/>
    <x v="0"/>
    <x v="37"/>
    <x v="1"/>
    <s v="Pohár Českého Ráje 2024 - Klub"/>
    <s v="CZ"/>
    <n v="2024"/>
    <n v="7"/>
    <n v="630"/>
    <n v="0.73"/>
    <n v="5439"/>
    <n v="3970"/>
    <x v="1"/>
    <x v="0"/>
    <s v="L-SPATZ 55"/>
    <s v="D1"/>
    <s v=""/>
    <m/>
  </r>
  <r>
    <x v="760"/>
    <x v="32"/>
    <x v="0"/>
    <x v="15"/>
    <x v="1"/>
    <s v="Pohár Českého Ráje 2024 - Klub"/>
    <s v="CZ"/>
    <n v="2024"/>
    <n v="8"/>
    <n v="572"/>
    <n v="0.73"/>
    <n v="4882"/>
    <n v="3564"/>
    <x v="1"/>
    <x v="0"/>
    <s v="Std. Cirrus"/>
    <s v="SC"/>
    <s v=""/>
    <m/>
  </r>
  <r>
    <x v="761"/>
    <x v="6"/>
    <x v="0"/>
    <x v="0"/>
    <x v="0"/>
    <s v="Pohár Českého Ráje 2024 - Klub"/>
    <s v="CZ"/>
    <n v="2024"/>
    <n v="9"/>
    <n v="549"/>
    <n v="0.73"/>
    <n v="4531"/>
    <n v="3308"/>
    <x v="1"/>
    <x v="0"/>
    <s v="TEREJ II 13,5"/>
    <s v="BG"/>
    <s v=""/>
    <m/>
  </r>
  <r>
    <x v="762"/>
    <x v="12"/>
    <x v="0"/>
    <x v="36"/>
    <x v="2"/>
    <s v="Pohár Českého Ráje 2024 - Klub"/>
    <s v="CZ"/>
    <n v="2024"/>
    <n v="10"/>
    <n v="461"/>
    <n v="0.73"/>
    <n v="3797"/>
    <n v="2772"/>
    <x v="1"/>
    <x v="0"/>
    <s v="Banjo MH"/>
    <s v="JK"/>
    <s v=""/>
    <m/>
  </r>
  <r>
    <x v="274"/>
    <x v="0"/>
    <x v="0"/>
    <x v="14"/>
    <x v="0"/>
    <s v="Pohár Českého Ráje 2024 - Klub"/>
    <s v="CZ"/>
    <n v="2024"/>
    <n v="11"/>
    <n v="330"/>
    <n v="0.73"/>
    <n v="2808"/>
    <n v="2050"/>
    <x v="0"/>
    <x v="0"/>
    <s v="Std. Cirrus"/>
    <s v="FU"/>
    <s v=""/>
    <m/>
  </r>
  <r>
    <x v="184"/>
    <x v="20"/>
    <x v="0"/>
    <x v="14"/>
    <x v="0"/>
    <s v="Pohár Českého Ráje 2024 - Klub"/>
    <s v="CZ"/>
    <n v="2024"/>
    <n v="12"/>
    <n v="72"/>
    <n v="0.73"/>
    <n v="1069"/>
    <n v="780"/>
    <x v="0"/>
    <x v="0"/>
    <s v="TEREJ I"/>
    <s v="VIP"/>
    <s v=""/>
    <m/>
  </r>
  <r>
    <x v="763"/>
    <x v="13"/>
    <x v="0"/>
    <x v="42"/>
    <x v="0"/>
    <s v="Pohár Českého Ráje 2024 - Klub"/>
    <s v="CZ"/>
    <n v="2024"/>
    <n v="13"/>
    <n v="33"/>
    <n v="0.73"/>
    <n v="624"/>
    <n v="456"/>
    <x v="1"/>
    <x v="0"/>
    <s v="Astir CS Jeans"/>
    <s v="HXY"/>
    <s v=""/>
    <m/>
  </r>
  <r>
    <x v="764"/>
    <x v="63"/>
    <x v="0"/>
    <x v="228"/>
    <x v="13"/>
    <s v="Pohár Českého Ráje 2024 - Klub"/>
    <s v="CZ"/>
    <n v="2024"/>
    <n v="14"/>
    <n v="32"/>
    <n v="0.73"/>
    <n v="403"/>
    <n v="294"/>
    <x v="1"/>
    <x v="0"/>
    <s v="VIVA"/>
    <s v="OD"/>
    <s v=""/>
    <m/>
  </r>
  <r>
    <x v="188"/>
    <x v="56"/>
    <x v="0"/>
    <x v="56"/>
    <x v="2"/>
    <s v="Pohár Českého Ráje 2024 - Klub"/>
    <s v="CZ"/>
    <n v="2024"/>
    <n v="15"/>
    <n v="0"/>
    <n v="0.73"/>
    <n v="0"/>
    <n v="0"/>
    <x v="0"/>
    <x v="0"/>
    <s v="TST-10 Atlas M"/>
    <s v="KE"/>
    <s v=""/>
    <m/>
  </r>
  <r>
    <x v="765"/>
    <x v="37"/>
    <x v="0"/>
    <x v="51"/>
    <x v="1"/>
    <s v="Pohár Českého Ráje 2024 - Klub"/>
    <s v="CZ"/>
    <n v="2024"/>
    <n v="15"/>
    <n v="0"/>
    <n v="0.73"/>
    <n v="0"/>
    <n v="0"/>
    <x v="0"/>
    <x v="0"/>
    <s v="TUKAN"/>
    <n v="74"/>
    <s v=""/>
    <m/>
  </r>
  <r>
    <x v="24"/>
    <x v="9"/>
    <x v="0"/>
    <x v="16"/>
    <x v="0"/>
    <s v="Rakovnická Dlaždice 2024 - Kombi"/>
    <s v="CZ"/>
    <n v="2024"/>
    <n v="1"/>
    <n v="3242"/>
    <n v="0.755"/>
    <n v="10000"/>
    <n v="7550"/>
    <x v="1"/>
    <x v="0"/>
    <s v="ASW 24"/>
    <n v="76"/>
    <s v=""/>
    <m/>
  </r>
  <r>
    <x v="723"/>
    <x v="60"/>
    <x v="0"/>
    <x v="46"/>
    <x v="0"/>
    <s v="Rakovnická Dlaždice 2024 - Kombi"/>
    <s v="CZ"/>
    <n v="2024"/>
    <n v="2"/>
    <n v="3183"/>
    <n v="0.755"/>
    <n v="9715"/>
    <n v="7335"/>
    <x v="1"/>
    <x v="0"/>
    <s v="Std. Libelle"/>
    <n v="442"/>
    <s v=""/>
    <m/>
  </r>
  <r>
    <x v="156"/>
    <x v="3"/>
    <x v="0"/>
    <x v="51"/>
    <x v="1"/>
    <s v="Rakovnická Dlaždice 2024 - Kombi"/>
    <s v="CZ"/>
    <n v="2024"/>
    <n v="3"/>
    <n v="3173"/>
    <n v="0.755"/>
    <n v="9535"/>
    <n v="7199"/>
    <x v="1"/>
    <x v="0"/>
    <s v="ASW 19"/>
    <s v="HB"/>
    <s v="Junior v roce 2026"/>
    <m/>
  </r>
  <r>
    <x v="178"/>
    <x v="50"/>
    <x v="0"/>
    <x v="42"/>
    <x v="0"/>
    <s v="Rakovnická Dlaždice 2024 - Kombi"/>
    <s v="CZ"/>
    <n v="2024"/>
    <n v="4"/>
    <n v="3086"/>
    <n v="0.755"/>
    <n v="9189"/>
    <n v="6938"/>
    <x v="0"/>
    <x v="0"/>
    <s v="Std. Cirrus"/>
    <s v="TI"/>
    <s v="Junior v roce 2026"/>
    <m/>
  </r>
  <r>
    <x v="766"/>
    <x v="8"/>
    <x v="0"/>
    <x v="0"/>
    <x v="0"/>
    <s v="Rakovnická Dlaždice 2024 - Kombi"/>
    <s v="CZ"/>
    <n v="2024"/>
    <n v="5"/>
    <n v="2990"/>
    <n v="0.755"/>
    <n v="8824"/>
    <n v="6662"/>
    <x v="0"/>
    <x v="0"/>
    <s v="Std. Cirrus"/>
    <s v="ST"/>
    <s v=""/>
    <m/>
  </r>
  <r>
    <x v="767"/>
    <x v="2"/>
    <x v="0"/>
    <x v="16"/>
    <x v="0"/>
    <s v="Rakovnická Dlaždice 2024 - Kombi"/>
    <s v="CZ"/>
    <n v="2024"/>
    <n v="6"/>
    <n v="2983"/>
    <n v="0.755"/>
    <n v="8651"/>
    <n v="6532"/>
    <x v="1"/>
    <x v="0"/>
    <s v="Discus b"/>
    <n v="79"/>
    <s v=""/>
    <m/>
  </r>
  <r>
    <x v="148"/>
    <x v="48"/>
    <x v="0"/>
    <x v="46"/>
    <x v="0"/>
    <s v="Rakovnická Dlaždice 2024 - Kombi"/>
    <s v="CZ"/>
    <n v="2024"/>
    <n v="7"/>
    <n v="2927"/>
    <n v="0.755"/>
    <n v="8372"/>
    <n v="6321"/>
    <x v="0"/>
    <x v="0"/>
    <s v="ASW 20"/>
    <s v="KL"/>
    <s v=""/>
    <m/>
  </r>
  <r>
    <x v="664"/>
    <x v="58"/>
    <x v="0"/>
    <x v="16"/>
    <x v="0"/>
    <s v="Rakovnická Dlaždice 2024 - Kombi"/>
    <s v="CZ"/>
    <n v="2024"/>
    <n v="8"/>
    <n v="2852"/>
    <n v="0.755"/>
    <n v="8053"/>
    <n v="6080"/>
    <x v="1"/>
    <x v="0"/>
    <s v="LS 7"/>
    <s v="LZ"/>
    <s v=""/>
    <m/>
  </r>
  <r>
    <x v="161"/>
    <x v="51"/>
    <x v="2"/>
    <x v="41"/>
    <x v="0"/>
    <s v="Rakovnická Dlaždice 2024 - Kombi"/>
    <s v="CZ"/>
    <n v="2024"/>
    <n v="9"/>
    <n v="2501"/>
    <n v="0.755"/>
    <n v="7137"/>
    <n v="5388"/>
    <x v="0"/>
    <x v="0"/>
    <s v="DG 100"/>
    <s v="JL"/>
    <s v="Junior v roce 2026"/>
    <m/>
  </r>
  <r>
    <x v="768"/>
    <x v="24"/>
    <x v="0"/>
    <x v="16"/>
    <x v="0"/>
    <s v="Rakovnická Dlaždice 2024 - Kombi"/>
    <s v="CZ"/>
    <n v="2024"/>
    <n v="10"/>
    <n v="2478"/>
    <n v="0.755"/>
    <n v="6929"/>
    <n v="5231"/>
    <x v="1"/>
    <x v="0"/>
    <s v="Std. Cirrus"/>
    <s v="OG"/>
    <s v=""/>
    <m/>
  </r>
  <r>
    <x v="769"/>
    <x v="36"/>
    <x v="0"/>
    <x v="16"/>
    <x v="0"/>
    <s v="Rakovnická Dlaždice 2024 - Kombi"/>
    <s v="CZ"/>
    <n v="2024"/>
    <n v="11"/>
    <n v="2278"/>
    <n v="0.755"/>
    <n v="6340"/>
    <n v="4787"/>
    <x v="1"/>
    <x v="0"/>
    <s v="LS 7 WL"/>
    <n v="72"/>
    <s v=""/>
    <m/>
  </r>
  <r>
    <x v="165"/>
    <x v="17"/>
    <x v="0"/>
    <x v="8"/>
    <x v="2"/>
    <s v="Rakovnická Dlaždice 2024 - Kombi"/>
    <s v="CZ"/>
    <n v="2024"/>
    <n v="12"/>
    <n v="2232"/>
    <n v="0.755"/>
    <n v="6082"/>
    <n v="4592"/>
    <x v="1"/>
    <x v="0"/>
    <s v="Std. Cirrus"/>
    <s v="MP"/>
    <s v=""/>
    <m/>
  </r>
  <r>
    <x v="694"/>
    <x v="6"/>
    <x v="0"/>
    <x v="24"/>
    <x v="1"/>
    <s v="Rakovnická Dlaždice 2024 - Kombi"/>
    <s v="CZ"/>
    <n v="2024"/>
    <n v="13"/>
    <n v="2042"/>
    <n v="0.755"/>
    <n v="5514"/>
    <n v="4163"/>
    <x v="0"/>
    <x v="0"/>
    <s v="Discus bt WL"/>
    <s v="TAL"/>
    <s v=""/>
    <m/>
  </r>
  <r>
    <x v="770"/>
    <x v="28"/>
    <x v="0"/>
    <x v="42"/>
    <x v="0"/>
    <s v="Rakovnická Dlaždice 2024 - Kombi"/>
    <s v="CZ"/>
    <n v="2024"/>
    <n v="14"/>
    <n v="1954"/>
    <n v="0.755"/>
    <n v="5166"/>
    <n v="3900"/>
    <x v="0"/>
    <x v="0"/>
    <s v="Std. Cirrus"/>
    <s v="SN"/>
    <s v=""/>
    <m/>
  </r>
  <r>
    <x v="96"/>
    <x v="2"/>
    <x v="0"/>
    <x v="2"/>
    <x v="0"/>
    <s v="Rakovnická Dlaždice 2024 - Kombi"/>
    <s v="CZ"/>
    <n v="2024"/>
    <n v="15"/>
    <n v="1405"/>
    <n v="0.755"/>
    <n v="3823"/>
    <n v="2886"/>
    <x v="1"/>
    <x v="0"/>
    <s v="Std. Cirrus"/>
    <s v="YU"/>
    <s v=""/>
    <m/>
  </r>
  <r>
    <x v="771"/>
    <x v="39"/>
    <x v="0"/>
    <x v="229"/>
    <x v="0"/>
    <s v="Rakovnická Dlaždice 2024 - Kombi"/>
    <s v="CZ"/>
    <n v="2024"/>
    <n v="16"/>
    <n v="1346"/>
    <n v="0.755"/>
    <n v="3538"/>
    <n v="2671"/>
    <x v="1"/>
    <x v="0"/>
    <s v="LS 1-d"/>
    <s v="HV"/>
    <s v=""/>
    <m/>
  </r>
  <r>
    <x v="700"/>
    <x v="26"/>
    <x v="2"/>
    <x v="24"/>
    <x v="1"/>
    <s v="Rakovnická Dlaždice 2024 - Kombi"/>
    <s v="CZ"/>
    <n v="2024"/>
    <n v="17"/>
    <n v="1188"/>
    <n v="0.755"/>
    <n v="3039"/>
    <n v="2294"/>
    <x v="1"/>
    <x v="1"/>
    <s v="ASW 15"/>
    <s v="TZ"/>
    <s v=""/>
    <m/>
  </r>
  <r>
    <x v="772"/>
    <x v="25"/>
    <x v="0"/>
    <x v="16"/>
    <x v="0"/>
    <s v="Rakovnická Dlaždice 2024 - Kombi"/>
    <s v="CZ"/>
    <n v="2024"/>
    <n v="18"/>
    <n v="766"/>
    <n v="0.755"/>
    <n v="1970"/>
    <n v="1487"/>
    <x v="1"/>
    <x v="0"/>
    <s v="DG 100"/>
    <n v="75"/>
    <s v=""/>
    <m/>
  </r>
  <r>
    <x v="773"/>
    <x v="27"/>
    <x v="0"/>
    <x v="16"/>
    <x v="0"/>
    <s v="Rakovnická Dlaždice 2024 - Kombi"/>
    <s v="CZ"/>
    <n v="2024"/>
    <n v="19"/>
    <n v="418"/>
    <n v="0.755"/>
    <n v="1060"/>
    <n v="800"/>
    <x v="1"/>
    <x v="0"/>
    <s v="DG 101"/>
    <s v="JO"/>
    <s v=""/>
    <m/>
  </r>
  <r>
    <x v="774"/>
    <x v="33"/>
    <x v="0"/>
    <x v="42"/>
    <x v="0"/>
    <s v="Rakovnická Dlaždice 2024 - Kombi"/>
    <s v="CZ"/>
    <n v="2024"/>
    <n v="20"/>
    <n v="284"/>
    <n v="0.755"/>
    <n v="613"/>
    <n v="463"/>
    <x v="1"/>
    <x v="0"/>
    <s v="ASW 15"/>
    <s v="ET"/>
    <s v=""/>
    <m/>
  </r>
  <r>
    <x v="588"/>
    <x v="4"/>
    <x v="1"/>
    <x v="158"/>
    <x v="3"/>
    <s v="EGC 2024 - Klub"/>
    <s v="CZ"/>
    <n v="2024"/>
    <n v="1"/>
    <n v="9763"/>
    <n v="1.1000000000000001"/>
    <n v="10000"/>
    <n v="11000"/>
    <x v="0"/>
    <x v="0"/>
    <s v="LS 3 wl"/>
    <s v="FLS"/>
    <s v="Není v databázi"/>
    <m/>
  </r>
  <r>
    <x v="55"/>
    <x v="32"/>
    <x v="0"/>
    <x v="22"/>
    <x v="0"/>
    <s v="EGC 2024 - Klub"/>
    <s v="CZ"/>
    <n v="2024"/>
    <n v="2"/>
    <n v="9531"/>
    <n v="1.1000000000000001"/>
    <n v="9757"/>
    <n v="10733"/>
    <x v="1"/>
    <x v="0"/>
    <s v="ASW 20"/>
    <s v="CX"/>
    <s v=""/>
    <m/>
  </r>
  <r>
    <x v="457"/>
    <x v="4"/>
    <x v="1"/>
    <x v="163"/>
    <x v="3"/>
    <s v="EGC 2024 - Klub"/>
    <s v="CZ"/>
    <n v="2024"/>
    <n v="3"/>
    <n v="9458"/>
    <n v="1.1000000000000001"/>
    <n v="9627"/>
    <n v="10590"/>
    <x v="0"/>
    <x v="0"/>
    <s v="ASW 20a"/>
    <n v="5"/>
    <s v="Není v databázi"/>
    <m/>
  </r>
  <r>
    <x v="507"/>
    <x v="4"/>
    <x v="1"/>
    <x v="160"/>
    <x v="3"/>
    <s v="EGC 2024 - Klub"/>
    <s v="CZ"/>
    <n v="2024"/>
    <n v="4"/>
    <n v="9354"/>
    <n v="1.1000000000000001"/>
    <n v="9476"/>
    <n v="10424"/>
    <x v="0"/>
    <x v="0"/>
    <s v="LS 7 wl"/>
    <s v="KT"/>
    <s v="Není v databázi"/>
    <m/>
  </r>
  <r>
    <x v="775"/>
    <x v="4"/>
    <x v="1"/>
    <x v="160"/>
    <x v="3"/>
    <s v="EGC 2024 - Klub"/>
    <s v="CZ"/>
    <n v="2024"/>
    <n v="5"/>
    <n v="9331"/>
    <n v="1.1000000000000001"/>
    <n v="9383"/>
    <n v="10321"/>
    <x v="0"/>
    <x v="0"/>
    <s v="LS 7"/>
    <s v="PF"/>
    <s v="Není v databázi"/>
    <m/>
  </r>
  <r>
    <x v="595"/>
    <x v="4"/>
    <x v="1"/>
    <x v="158"/>
    <x v="3"/>
    <s v="EGC 2024 - Klub"/>
    <s v="CZ"/>
    <n v="2024"/>
    <n v="6"/>
    <n v="9241"/>
    <n v="1.1000000000000001"/>
    <n v="9241"/>
    <n v="10165"/>
    <x v="0"/>
    <x v="0"/>
    <s v="LS 3 wl"/>
    <s v="PP"/>
    <s v="Není v databázi"/>
    <m/>
  </r>
  <r>
    <x v="0"/>
    <x v="0"/>
    <x v="0"/>
    <x v="0"/>
    <x v="0"/>
    <s v="EGC 2024 - Klub"/>
    <s v="CZ"/>
    <n v="2024"/>
    <n v="7"/>
    <n v="9240"/>
    <n v="1.1000000000000001"/>
    <n v="9163"/>
    <n v="10079"/>
    <x v="1"/>
    <x v="0"/>
    <s v="ASW 20"/>
    <s v="A3"/>
    <s v=""/>
    <m/>
  </r>
  <r>
    <x v="7"/>
    <x v="6"/>
    <x v="0"/>
    <x v="7"/>
    <x v="2"/>
    <s v="EGC 2024 - Klub"/>
    <s v="CZ"/>
    <n v="2024"/>
    <n v="8"/>
    <n v="9076"/>
    <n v="1.1000000000000001"/>
    <n v="8969"/>
    <n v="9866"/>
    <x v="1"/>
    <x v="0"/>
    <s v="ASW 20L"/>
    <s v="LL"/>
    <s v=""/>
    <m/>
  </r>
  <r>
    <x v="776"/>
    <x v="4"/>
    <x v="1"/>
    <x v="163"/>
    <x v="3"/>
    <s v="EGC 2024 - Klub"/>
    <s v="CZ"/>
    <n v="2024"/>
    <n v="9"/>
    <n v="8825"/>
    <n v="1.1000000000000001"/>
    <n v="8712"/>
    <n v="9583"/>
    <x v="0"/>
    <x v="0"/>
    <s v="ASW 20"/>
    <s v="YYY"/>
    <s v="Není v databázi"/>
    <m/>
  </r>
  <r>
    <x v="592"/>
    <x v="4"/>
    <x v="1"/>
    <x v="147"/>
    <x v="3"/>
    <s v="EGC 2024 - Klub"/>
    <s v="CZ"/>
    <n v="2024"/>
    <n v="10"/>
    <n v="8763"/>
    <n v="1.1000000000000001"/>
    <n v="8591"/>
    <n v="9450"/>
    <x v="0"/>
    <x v="0"/>
    <s v="LS7 NEO"/>
    <s v="HG"/>
    <s v="Není v databázi"/>
    <m/>
  </r>
  <r>
    <x v="508"/>
    <x v="4"/>
    <x v="1"/>
    <x v="151"/>
    <x v="3"/>
    <s v="EGC 2024 - Klub"/>
    <s v="CZ"/>
    <n v="2024"/>
    <n v="11"/>
    <n v="8728"/>
    <n v="1.1000000000000001"/>
    <n v="8489"/>
    <n v="9338"/>
    <x v="0"/>
    <x v="0"/>
    <s v="ASW 20l"/>
    <n v="212"/>
    <s v="Není v databázi"/>
    <m/>
  </r>
  <r>
    <x v="777"/>
    <x v="4"/>
    <x v="1"/>
    <x v="165"/>
    <x v="3"/>
    <s v="EGC 2024 - Klub"/>
    <s v="CZ"/>
    <n v="2024"/>
    <n v="12"/>
    <n v="8704"/>
    <n v="1.1000000000000001"/>
    <n v="8395"/>
    <n v="9235"/>
    <x v="0"/>
    <x v="0"/>
    <s v="ASW 20"/>
    <s v="AD"/>
    <s v="Není v databázi"/>
    <m/>
  </r>
  <r>
    <x v="294"/>
    <x v="4"/>
    <x v="1"/>
    <x v="165"/>
    <x v="3"/>
    <s v="EGC 2024 - Klub"/>
    <s v="CZ"/>
    <n v="2024"/>
    <n v="13"/>
    <n v="8700"/>
    <n v="1.1000000000000001"/>
    <n v="8315"/>
    <n v="9147"/>
    <x v="0"/>
    <x v="0"/>
    <s v="LS 3 wl"/>
    <s v="XW"/>
    <s v="Není v databázi"/>
    <m/>
  </r>
  <r>
    <x v="778"/>
    <x v="4"/>
    <x v="1"/>
    <x v="161"/>
    <x v="3"/>
    <s v="EGC 2024 - Klub"/>
    <s v="CZ"/>
    <n v="2024"/>
    <n v="14"/>
    <n v="8646"/>
    <n v="1.1000000000000001"/>
    <n v="8199"/>
    <n v="9019"/>
    <x v="0"/>
    <x v="0"/>
    <s v="ASW 20"/>
    <s v="IKW"/>
    <s v="Není v databázi"/>
    <m/>
  </r>
  <r>
    <x v="5"/>
    <x v="4"/>
    <x v="0"/>
    <x v="5"/>
    <x v="4"/>
    <s v="EGC 2024 - Klub"/>
    <s v="CZ"/>
    <n v="2024"/>
    <n v="15"/>
    <n v="8583"/>
    <n v="1.1000000000000001"/>
    <n v="8077"/>
    <n v="8885"/>
    <x v="0"/>
    <x v="0"/>
    <s v="ASW 20 l"/>
    <n v="311"/>
    <s v="Není v databázi"/>
    <m/>
  </r>
  <r>
    <x v="779"/>
    <x v="4"/>
    <x v="1"/>
    <x v="151"/>
    <x v="3"/>
    <s v="EGC 2024 - Klub"/>
    <s v="CZ"/>
    <n v="2024"/>
    <n v="16"/>
    <n v="8466"/>
    <n v="1.1000000000000001"/>
    <n v="7916"/>
    <n v="8708"/>
    <x v="0"/>
    <x v="0"/>
    <s v="Discus CS"/>
    <n v="364"/>
    <s v="Není v databázi"/>
    <m/>
  </r>
  <r>
    <x v="780"/>
    <x v="4"/>
    <x v="1"/>
    <x v="148"/>
    <x v="3"/>
    <s v="EGC 2024 - Klub"/>
    <s v="CZ"/>
    <n v="2024"/>
    <n v="17"/>
    <n v="8457"/>
    <n v="1.1000000000000001"/>
    <n v="7833"/>
    <n v="8616"/>
    <x v="0"/>
    <x v="0"/>
    <s v="DG 300 wl"/>
    <s v="MX"/>
    <s v="Není v databázi"/>
    <m/>
  </r>
  <r>
    <x v="524"/>
    <x v="4"/>
    <x v="1"/>
    <x v="160"/>
    <x v="3"/>
    <s v="EGC 2024 - Klub"/>
    <s v="CZ"/>
    <n v="2024"/>
    <n v="18"/>
    <n v="8415"/>
    <n v="1.1000000000000001"/>
    <n v="7726"/>
    <n v="8499"/>
    <x v="0"/>
    <x v="0"/>
    <s v="LS7"/>
    <s v="GE"/>
    <s v="Není v databázi"/>
    <m/>
  </r>
  <r>
    <x v="781"/>
    <x v="4"/>
    <x v="1"/>
    <x v="148"/>
    <x v="3"/>
    <s v="EGC 2024 - Klub"/>
    <s v="CZ"/>
    <n v="2024"/>
    <n v="19"/>
    <n v="8353"/>
    <n v="1.1000000000000001"/>
    <n v="7604"/>
    <n v="8364"/>
    <x v="0"/>
    <x v="0"/>
    <s v="LS 4 wl"/>
    <s v="UWE"/>
    <s v="Není v databázi"/>
    <m/>
  </r>
  <r>
    <x v="782"/>
    <x v="4"/>
    <x v="1"/>
    <x v="149"/>
    <x v="3"/>
    <s v="EGC 2024 - Klub"/>
    <s v="CZ"/>
    <n v="2024"/>
    <n v="20"/>
    <n v="8311"/>
    <n v="1.1000000000000001"/>
    <n v="7497"/>
    <n v="8247"/>
    <x v="0"/>
    <x v="0"/>
    <s v="ASW 20"/>
    <s v="LAB"/>
    <s v="Není v databázi"/>
    <m/>
  </r>
  <r>
    <x v="590"/>
    <x v="4"/>
    <x v="1"/>
    <x v="157"/>
    <x v="3"/>
    <s v="EGC 2024 - Klub"/>
    <s v="CZ"/>
    <n v="2024"/>
    <n v="21"/>
    <n v="8295"/>
    <n v="1.1000000000000001"/>
    <n v="7409"/>
    <n v="8150"/>
    <x v="0"/>
    <x v="0"/>
    <s v="LS 7 wl"/>
    <s v="IK"/>
    <s v="Není v databázi"/>
    <m/>
  </r>
  <r>
    <x v="783"/>
    <x v="4"/>
    <x v="1"/>
    <x v="153"/>
    <x v="3"/>
    <s v="EGC 2024 - Klub"/>
    <s v="CZ"/>
    <n v="2024"/>
    <n v="22"/>
    <n v="8201"/>
    <n v="1.1000000000000001"/>
    <n v="7265"/>
    <n v="7992"/>
    <x v="0"/>
    <x v="0"/>
    <s v="LS 4a wl"/>
    <s v="LE"/>
    <s v="Není v databázi"/>
    <m/>
  </r>
  <r>
    <x v="13"/>
    <x v="4"/>
    <x v="1"/>
    <x v="11"/>
    <x v="5"/>
    <s v="EGC 2024 - Klub"/>
    <s v="CZ"/>
    <n v="2024"/>
    <n v="23"/>
    <n v="8157"/>
    <n v="1.1000000000000001"/>
    <n v="7156"/>
    <n v="7872"/>
    <x v="0"/>
    <x v="0"/>
    <s v="ASW 20"/>
    <s v="CR"/>
    <s v="Není v databázi"/>
    <m/>
  </r>
  <r>
    <x v="784"/>
    <x v="4"/>
    <x v="1"/>
    <x v="159"/>
    <x v="3"/>
    <s v="EGC 2024 - Klub"/>
    <s v="CZ"/>
    <n v="2024"/>
    <n v="24"/>
    <n v="8079"/>
    <n v="1.1000000000000001"/>
    <n v="7023"/>
    <n v="7725"/>
    <x v="0"/>
    <x v="0"/>
    <s v="LS 4a"/>
    <s v="MN"/>
    <s v="Není v databázi"/>
    <m/>
  </r>
  <r>
    <x v="785"/>
    <x v="4"/>
    <x v="1"/>
    <x v="230"/>
    <x v="3"/>
    <s v="EGC 2024 - Klub"/>
    <s v="CZ"/>
    <n v="2024"/>
    <n v="25"/>
    <n v="7816"/>
    <n v="1.1000000000000001"/>
    <n v="6758"/>
    <n v="7434"/>
    <x v="0"/>
    <x v="0"/>
    <s v="ASW 20"/>
    <s v="UF"/>
    <s v="Není v databázi"/>
    <m/>
  </r>
  <r>
    <x v="786"/>
    <x v="4"/>
    <x v="1"/>
    <x v="231"/>
    <x v="3"/>
    <s v="EGC 2024 - Klub"/>
    <s v="CZ"/>
    <n v="2024"/>
    <n v="26"/>
    <n v="7671"/>
    <n v="1.1000000000000001"/>
    <n v="6577"/>
    <n v="7235"/>
    <x v="0"/>
    <x v="0"/>
    <s v="LS 4a"/>
    <s v="Y2"/>
    <s v="Není v databázi"/>
    <m/>
  </r>
  <r>
    <x v="787"/>
    <x v="4"/>
    <x v="1"/>
    <x v="149"/>
    <x v="3"/>
    <s v="EGC 2024 - Klub"/>
    <s v="CZ"/>
    <n v="2024"/>
    <n v="27"/>
    <n v="7657"/>
    <n v="1.1000000000000001"/>
    <n v="6490"/>
    <n v="7139"/>
    <x v="0"/>
    <x v="0"/>
    <s v="Discus B"/>
    <s v="IX"/>
    <s v="Není v databázi"/>
    <m/>
  </r>
  <r>
    <x v="788"/>
    <x v="4"/>
    <x v="1"/>
    <x v="159"/>
    <x v="3"/>
    <s v="EGC 2024 - Klub"/>
    <s v="CZ"/>
    <n v="2024"/>
    <n v="28"/>
    <n v="7581"/>
    <n v="1.1000000000000001"/>
    <n v="6359"/>
    <n v="6995"/>
    <x v="0"/>
    <x v="0"/>
    <s v="ASW 24 wl"/>
    <s v="CRN"/>
    <s v="Není v databázi"/>
    <m/>
  </r>
  <r>
    <x v="789"/>
    <x v="4"/>
    <x v="1"/>
    <x v="147"/>
    <x v="3"/>
    <s v="EGC 2024 - Klub"/>
    <s v="CZ"/>
    <n v="2024"/>
    <n v="29"/>
    <n v="7559"/>
    <n v="1.1000000000000001"/>
    <n v="6266"/>
    <n v="6893"/>
    <x v="0"/>
    <x v="0"/>
    <s v="LS7 NEO"/>
    <s v="AG"/>
    <s v="Není v databázi"/>
    <m/>
  </r>
  <r>
    <x v="530"/>
    <x v="4"/>
    <x v="1"/>
    <x v="162"/>
    <x v="3"/>
    <s v="EGC 2024 - Klub"/>
    <s v="CZ"/>
    <n v="2024"/>
    <n v="30"/>
    <n v="7524"/>
    <n v="1.1000000000000001"/>
    <n v="6164"/>
    <n v="6780"/>
    <x v="0"/>
    <x v="0"/>
    <s v="LS 3"/>
    <s v="CP"/>
    <s v="Není v databázi"/>
    <m/>
  </r>
  <r>
    <x v="790"/>
    <x v="4"/>
    <x v="1"/>
    <x v="166"/>
    <x v="3"/>
    <s v="EGC 2024 - Klub"/>
    <s v="CZ"/>
    <n v="2024"/>
    <n v="31"/>
    <n v="7166"/>
    <n v="1.1000000000000001"/>
    <n v="5830"/>
    <n v="6413"/>
    <x v="0"/>
    <x v="0"/>
    <s v="ASW 20 B"/>
    <s v="FY"/>
    <s v="Není v databázi"/>
    <m/>
  </r>
  <r>
    <x v="791"/>
    <x v="4"/>
    <x v="1"/>
    <x v="231"/>
    <x v="3"/>
    <s v="EGC 2024 - Klub"/>
    <s v="CZ"/>
    <n v="2024"/>
    <n v="32"/>
    <n v="7080"/>
    <n v="1.1000000000000001"/>
    <n v="5692"/>
    <n v="6261"/>
    <x v="0"/>
    <x v="0"/>
    <s v="LS 4a"/>
    <s v="Y3"/>
    <s v="Není v databázi"/>
    <m/>
  </r>
  <r>
    <x v="792"/>
    <x v="4"/>
    <x v="1"/>
    <x v="153"/>
    <x v="3"/>
    <s v="EGC 2024 - Klub"/>
    <s v="CZ"/>
    <n v="2024"/>
    <n v="33"/>
    <n v="6825"/>
    <n v="1.1000000000000001"/>
    <n v="5432"/>
    <n v="5975"/>
    <x v="0"/>
    <x v="0"/>
    <s v="ASW 20 wl"/>
    <s v="KW"/>
    <s v="Není v databázi"/>
    <m/>
  </r>
  <r>
    <x v="793"/>
    <x v="4"/>
    <x v="1"/>
    <x v="230"/>
    <x v="3"/>
    <s v="EGC 2024 - Klub"/>
    <s v="CZ"/>
    <n v="2024"/>
    <n v="34"/>
    <n v="6769"/>
    <n v="1.1000000000000001"/>
    <n v="5315"/>
    <n v="5847"/>
    <x v="0"/>
    <x v="0"/>
    <s v="ASW 20"/>
    <s v="TE"/>
    <s v="Není v databázi"/>
    <m/>
  </r>
  <r>
    <x v="794"/>
    <x v="4"/>
    <x v="1"/>
    <x v="166"/>
    <x v="3"/>
    <s v="EGC 2024 - Klub"/>
    <s v="CZ"/>
    <n v="2024"/>
    <n v="35"/>
    <n v="6729"/>
    <n v="1.1000000000000001"/>
    <n v="5209"/>
    <n v="5730"/>
    <x v="0"/>
    <x v="0"/>
    <s v="ASW 24 wl"/>
    <n v="24"/>
    <s v="Není v databázi"/>
    <m/>
  </r>
  <r>
    <x v="607"/>
    <x v="4"/>
    <x v="1"/>
    <x v="173"/>
    <x v="3"/>
    <s v="EGC 2024 - Klub"/>
    <s v="CZ"/>
    <n v="2024"/>
    <n v="36"/>
    <n v="6580"/>
    <n v="1.1000000000000001"/>
    <n v="5026"/>
    <n v="5529"/>
    <x v="0"/>
    <x v="0"/>
    <s v="ASW 24 wl"/>
    <s v="HR3"/>
    <s v="Není v databázi"/>
    <m/>
  </r>
  <r>
    <x v="608"/>
    <x v="4"/>
    <x v="1"/>
    <x v="173"/>
    <x v="3"/>
    <s v="EGC 2024 - Klub"/>
    <s v="CZ"/>
    <n v="2024"/>
    <n v="37"/>
    <n v="5999"/>
    <n v="1.1000000000000001"/>
    <n v="4532"/>
    <n v="4985"/>
    <x v="0"/>
    <x v="0"/>
    <s v="Pegase 101B"/>
    <s v="3C"/>
    <s v="Není v databázi"/>
    <m/>
  </r>
  <r>
    <x v="795"/>
    <x v="4"/>
    <x v="1"/>
    <x v="156"/>
    <x v="3"/>
    <s v="EGC 2024 - Klub"/>
    <s v="CZ"/>
    <n v="2024"/>
    <n v="38"/>
    <n v="5229"/>
    <n v="1.1000000000000001"/>
    <n v="3903"/>
    <n v="4293"/>
    <x v="0"/>
    <x v="0"/>
    <s v="ASW 24"/>
    <n v="44"/>
    <s v="Není v databázi"/>
    <m/>
  </r>
  <r>
    <x v="606"/>
    <x v="4"/>
    <x v="1"/>
    <x v="172"/>
    <x v="3"/>
    <s v="EGC 2024 - Klub"/>
    <s v="CZ"/>
    <n v="2024"/>
    <n v="39"/>
    <n v="4956"/>
    <n v="1.1000000000000001"/>
    <n v="3630"/>
    <n v="3993"/>
    <x v="0"/>
    <x v="0"/>
    <s v="LS 1f"/>
    <s v="JO"/>
    <s v="Není v databázi"/>
    <m/>
  </r>
  <r>
    <x v="796"/>
    <x v="4"/>
    <x v="1"/>
    <x v="162"/>
    <x v="3"/>
    <s v="EGC 2024 - Klub"/>
    <s v="CZ"/>
    <n v="2024"/>
    <n v="40"/>
    <n v="184"/>
    <n v="1.1000000000000001"/>
    <n v="132"/>
    <n v="145"/>
    <x v="0"/>
    <x v="0"/>
    <s v="Mosquito"/>
    <s v="TI"/>
    <s v="Není v databázi"/>
    <m/>
  </r>
  <r>
    <x v="797"/>
    <x v="4"/>
    <x v="1"/>
    <x v="148"/>
    <x v="3"/>
    <s v="EGC 2024 - Std"/>
    <s v="CZ"/>
    <n v="2024"/>
    <n v="1"/>
    <n v="8586"/>
    <n v="1.125"/>
    <n v="10000"/>
    <n v="11250"/>
    <x v="0"/>
    <x v="0"/>
    <s v="Discus 2a"/>
    <s v="RA"/>
    <s v="Není v databázi"/>
    <m/>
  </r>
  <r>
    <x v="246"/>
    <x v="31"/>
    <x v="0"/>
    <x v="3"/>
    <x v="2"/>
    <s v="EGC 2024 - Std"/>
    <s v="CZ"/>
    <n v="2024"/>
    <n v="2"/>
    <n v="8571"/>
    <n v="1.125"/>
    <n v="9894"/>
    <n v="11131"/>
    <x v="1"/>
    <x v="0"/>
    <s v="LS 8b"/>
    <s v="FX"/>
    <s v=""/>
    <m/>
  </r>
  <r>
    <x v="288"/>
    <x v="31"/>
    <x v="0"/>
    <x v="17"/>
    <x v="0"/>
    <s v="EGC 2024 - Std"/>
    <s v="CZ"/>
    <n v="2024"/>
    <n v="3"/>
    <n v="8541"/>
    <n v="1.125"/>
    <n v="9776"/>
    <n v="10998"/>
    <x v="1"/>
    <x v="0"/>
    <s v="LS 8b"/>
    <s v="JB"/>
    <s v=""/>
    <m/>
  </r>
  <r>
    <x v="3"/>
    <x v="3"/>
    <x v="0"/>
    <x v="3"/>
    <x v="2"/>
    <s v="EGC 2024 - Std"/>
    <s v="CZ"/>
    <n v="2024"/>
    <n v="4"/>
    <n v="8533"/>
    <n v="1.125"/>
    <n v="9676"/>
    <n v="10886"/>
    <x v="1"/>
    <x v="0"/>
    <s v="LS 8a"/>
    <s v="AU"/>
    <s v="Junior v roce 2026"/>
    <m/>
  </r>
  <r>
    <x v="798"/>
    <x v="4"/>
    <x v="1"/>
    <x v="151"/>
    <x v="3"/>
    <s v="EGC 2024 - Std"/>
    <s v="CZ"/>
    <n v="2024"/>
    <n v="5"/>
    <n v="8486"/>
    <n v="1.125"/>
    <n v="9543"/>
    <n v="10736"/>
    <x v="0"/>
    <x v="0"/>
    <s v="LS 8"/>
    <n v="95"/>
    <s v="Není v databázi"/>
    <m/>
  </r>
  <r>
    <x v="799"/>
    <x v="4"/>
    <x v="1"/>
    <x v="148"/>
    <x v="3"/>
    <s v="EGC 2024 - Std"/>
    <s v="CZ"/>
    <n v="2024"/>
    <n v="6"/>
    <n v="8458"/>
    <n v="1.125"/>
    <n v="9427"/>
    <n v="10605"/>
    <x v="0"/>
    <x v="0"/>
    <s v="Discus 2a"/>
    <s v="SB"/>
    <s v="Není v databázi"/>
    <m/>
  </r>
  <r>
    <x v="538"/>
    <x v="4"/>
    <x v="1"/>
    <x v="153"/>
    <x v="3"/>
    <s v="EGC 2024 - Std"/>
    <s v="CZ"/>
    <n v="2024"/>
    <n v="7"/>
    <n v="8399"/>
    <n v="1.125"/>
    <n v="9285"/>
    <n v="10446"/>
    <x v="0"/>
    <x v="0"/>
    <s v="LS 8a"/>
    <s v="EC"/>
    <s v="Není v databázi"/>
    <m/>
  </r>
  <r>
    <x v="316"/>
    <x v="4"/>
    <x v="1"/>
    <x v="147"/>
    <x v="3"/>
    <s v="EGC 2024 - Std"/>
    <s v="CZ"/>
    <n v="2024"/>
    <n v="8"/>
    <n v="8165"/>
    <n v="1.125"/>
    <n v="9001"/>
    <n v="10126"/>
    <x v="0"/>
    <x v="0"/>
    <s v="Discus 2a"/>
    <s v="JPA"/>
    <s v="Není v databázi"/>
    <m/>
  </r>
  <r>
    <x v="327"/>
    <x v="4"/>
    <x v="1"/>
    <x v="231"/>
    <x v="3"/>
    <s v="EGC 2024 - Std"/>
    <s v="CZ"/>
    <n v="2024"/>
    <n v="9"/>
    <n v="8156"/>
    <n v="1.125"/>
    <n v="8899"/>
    <n v="10011"/>
    <x v="0"/>
    <x v="0"/>
    <s v="Discus 2a"/>
    <s v="YB"/>
    <s v="Není v databázi"/>
    <m/>
  </r>
  <r>
    <x v="800"/>
    <x v="4"/>
    <x v="1"/>
    <x v="157"/>
    <x v="3"/>
    <s v="EGC 2024 - Std"/>
    <s v="CZ"/>
    <n v="2024"/>
    <n v="10"/>
    <n v="8072"/>
    <n v="1.125"/>
    <n v="8737"/>
    <n v="9829"/>
    <x v="0"/>
    <x v="0"/>
    <s v="LS 8"/>
    <s v="VNE"/>
    <s v="Není v databázi"/>
    <m/>
  </r>
  <r>
    <x v="322"/>
    <x v="4"/>
    <x v="1"/>
    <x v="158"/>
    <x v="3"/>
    <s v="EGC 2024 - Std"/>
    <s v="CZ"/>
    <n v="2024"/>
    <n v="11"/>
    <n v="8069"/>
    <n v="1.125"/>
    <n v="8641"/>
    <n v="9721"/>
    <x v="0"/>
    <x v="0"/>
    <s v="Discus 2a"/>
    <s v="I"/>
    <s v="Není v databázi"/>
    <m/>
  </r>
  <r>
    <x v="801"/>
    <x v="4"/>
    <x v="1"/>
    <x v="166"/>
    <x v="3"/>
    <s v="EGC 2024 - Std"/>
    <s v="CZ"/>
    <n v="2024"/>
    <n v="12"/>
    <n v="8004"/>
    <n v="1.125"/>
    <n v="8494"/>
    <n v="9556"/>
    <x v="0"/>
    <x v="0"/>
    <s v="Discus 2t"/>
    <s v="YU"/>
    <s v="Není v databázi"/>
    <m/>
  </r>
  <r>
    <x v="802"/>
    <x v="4"/>
    <x v="1"/>
    <x v="162"/>
    <x v="3"/>
    <s v="EGC 2024 - Std"/>
    <s v="CZ"/>
    <n v="2024"/>
    <n v="13"/>
    <n v="7963"/>
    <n v="1.125"/>
    <n v="8367"/>
    <n v="9413"/>
    <x v="0"/>
    <x v="0"/>
    <s v="Discus 2t"/>
    <s v="TA"/>
    <s v="Není v databázi"/>
    <m/>
  </r>
  <r>
    <x v="620"/>
    <x v="4"/>
    <x v="1"/>
    <x v="163"/>
    <x v="3"/>
    <s v="EGC 2024 - Std"/>
    <s v="CZ"/>
    <n v="2024"/>
    <n v="14"/>
    <n v="7810"/>
    <n v="1.125"/>
    <n v="8149"/>
    <n v="9168"/>
    <x v="0"/>
    <x v="0"/>
    <s v="LS 8a"/>
    <s v="MG"/>
    <s v="Není v databázi"/>
    <m/>
  </r>
  <r>
    <x v="514"/>
    <x v="4"/>
    <x v="1"/>
    <x v="158"/>
    <x v="3"/>
    <s v="EGC 2024 - Std"/>
    <s v="CZ"/>
    <n v="2024"/>
    <n v="15"/>
    <n v="7777"/>
    <n v="1.125"/>
    <n v="8028"/>
    <n v="9032"/>
    <x v="0"/>
    <x v="0"/>
    <s v="Discus 2a"/>
    <s v="Y"/>
    <s v="Není v databázi"/>
    <m/>
  </r>
  <r>
    <x v="520"/>
    <x v="4"/>
    <x v="1"/>
    <x v="162"/>
    <x v="3"/>
    <s v="EGC 2024 - Std"/>
    <s v="CZ"/>
    <n v="2024"/>
    <n v="16"/>
    <n v="7643"/>
    <n v="1.125"/>
    <n v="7825"/>
    <n v="8803"/>
    <x v="0"/>
    <x v="0"/>
    <s v="LS 8"/>
    <n v="1"/>
    <s v="Není v databázi"/>
    <m/>
  </r>
  <r>
    <x v="616"/>
    <x v="4"/>
    <x v="1"/>
    <x v="151"/>
    <x v="3"/>
    <s v="EGC 2024 - Std"/>
    <s v="CZ"/>
    <n v="2024"/>
    <n v="17"/>
    <n v="7641"/>
    <n v="1.125"/>
    <n v="7730"/>
    <n v="8696"/>
    <x v="0"/>
    <x v="0"/>
    <s v="LS 8"/>
    <s v="L4"/>
    <s v="Není v databázi"/>
    <m/>
  </r>
  <r>
    <x v="320"/>
    <x v="4"/>
    <x v="1"/>
    <x v="161"/>
    <x v="3"/>
    <s v="EGC 2024 - Std"/>
    <s v="CZ"/>
    <n v="2024"/>
    <n v="18"/>
    <n v="7619"/>
    <n v="1.125"/>
    <n v="7618"/>
    <n v="8570"/>
    <x v="0"/>
    <x v="0"/>
    <s v="LS 8"/>
    <s v="D"/>
    <s v="Není v databázi"/>
    <m/>
  </r>
  <r>
    <x v="482"/>
    <x v="4"/>
    <x v="1"/>
    <x v="160"/>
    <x v="3"/>
    <s v="EGC 2024 - Std"/>
    <s v="CZ"/>
    <n v="2024"/>
    <n v="19"/>
    <n v="7373"/>
    <n v="1.125"/>
    <n v="7324"/>
    <n v="8240"/>
    <x v="0"/>
    <x v="0"/>
    <s v="LS 8 T"/>
    <s v="LK"/>
    <s v="Není v databázi"/>
    <m/>
  </r>
  <r>
    <x v="803"/>
    <x v="4"/>
    <x v="1"/>
    <x v="157"/>
    <x v="3"/>
    <s v="EGC 2024 - Std"/>
    <s v="CZ"/>
    <n v="2024"/>
    <n v="20"/>
    <n v="7350"/>
    <n v="1.125"/>
    <n v="7211"/>
    <n v="8112"/>
    <x v="0"/>
    <x v="0"/>
    <s v="LS 8"/>
    <s v="E5"/>
    <s v="Není v databázi"/>
    <m/>
  </r>
  <r>
    <x v="328"/>
    <x v="4"/>
    <x v="1"/>
    <x v="231"/>
    <x v="3"/>
    <s v="EGC 2024 - Std"/>
    <s v="CZ"/>
    <n v="2024"/>
    <n v="21"/>
    <n v="7225"/>
    <n v="1.125"/>
    <n v="7015"/>
    <n v="7892"/>
    <x v="0"/>
    <x v="0"/>
    <s v="Discus 2a"/>
    <s v="YA"/>
    <s v="Není v databázi"/>
    <m/>
  </r>
  <r>
    <x v="804"/>
    <x v="4"/>
    <x v="1"/>
    <x v="160"/>
    <x v="3"/>
    <s v="EGC 2024 - Std"/>
    <s v="CZ"/>
    <n v="2024"/>
    <n v="22"/>
    <n v="7160"/>
    <n v="1.125"/>
    <n v="6869"/>
    <n v="7728"/>
    <x v="0"/>
    <x v="0"/>
    <s v="Discus 2b"/>
    <s v="JS"/>
    <s v="Není v databázi"/>
    <m/>
  </r>
  <r>
    <x v="421"/>
    <x v="4"/>
    <x v="1"/>
    <x v="147"/>
    <x v="3"/>
    <s v="EGC 2024 - Std"/>
    <s v="CZ"/>
    <n v="2024"/>
    <n v="23"/>
    <n v="7024"/>
    <n v="1.125"/>
    <n v="6664"/>
    <n v="7497"/>
    <x v="0"/>
    <x v="0"/>
    <s v="Discus 2a"/>
    <s v="ET"/>
    <s v="Není v databázi"/>
    <m/>
  </r>
  <r>
    <x v="805"/>
    <x v="4"/>
    <x v="1"/>
    <x v="159"/>
    <x v="3"/>
    <s v="EGC 2024 - Std"/>
    <s v="CZ"/>
    <n v="2024"/>
    <n v="24"/>
    <n v="7018"/>
    <n v="1.125"/>
    <n v="6565"/>
    <n v="7386"/>
    <x v="0"/>
    <x v="0"/>
    <s v="Discus 2b"/>
    <s v="TS"/>
    <s v="Není v databázi"/>
    <m/>
  </r>
  <r>
    <x v="806"/>
    <x v="4"/>
    <x v="1"/>
    <x v="165"/>
    <x v="3"/>
    <s v="EGC 2024 - Std"/>
    <s v="CZ"/>
    <n v="2024"/>
    <n v="25"/>
    <n v="7010"/>
    <n v="1.125"/>
    <n v="6465"/>
    <n v="7273"/>
    <x v="0"/>
    <x v="0"/>
    <s v="Discus 2a"/>
    <s v="ALB"/>
    <s v="Není v databázi"/>
    <m/>
  </r>
  <r>
    <x v="600"/>
    <x v="4"/>
    <x v="1"/>
    <x v="165"/>
    <x v="3"/>
    <s v="EGC 2024 - Std"/>
    <s v="CZ"/>
    <n v="2024"/>
    <n v="26"/>
    <n v="6721"/>
    <n v="1.125"/>
    <n v="6136"/>
    <n v="6903"/>
    <x v="0"/>
    <x v="0"/>
    <s v="Discus 2a"/>
    <s v="HUN"/>
    <s v="Není v databázi"/>
    <m/>
  </r>
  <r>
    <x v="807"/>
    <x v="4"/>
    <x v="1"/>
    <x v="166"/>
    <x v="3"/>
    <s v="EGC 2024 - Std"/>
    <s v="CZ"/>
    <n v="2024"/>
    <n v="27"/>
    <n v="6619"/>
    <n v="1.125"/>
    <n v="5959"/>
    <n v="6704"/>
    <x v="0"/>
    <x v="0"/>
    <s v="LS 8"/>
    <s v="LT"/>
    <s v="Není v databázi"/>
    <m/>
  </r>
  <r>
    <x v="282"/>
    <x v="4"/>
    <x v="1"/>
    <x v="161"/>
    <x v="3"/>
    <s v="EGC 2024 - Std"/>
    <s v="CZ"/>
    <n v="2024"/>
    <n v="28"/>
    <n v="6117"/>
    <n v="1.125"/>
    <n v="5456"/>
    <n v="6138"/>
    <x v="0"/>
    <x v="0"/>
    <s v="Discus 2b"/>
    <s v="DI"/>
    <s v="Není v databázi"/>
    <m/>
  </r>
  <r>
    <x v="604"/>
    <x v="4"/>
    <x v="1"/>
    <x v="149"/>
    <x v="3"/>
    <s v="EGC 2024 - Std"/>
    <s v="CZ"/>
    <n v="2024"/>
    <n v="29"/>
    <n v="6036"/>
    <n v="1.125"/>
    <n v="5296"/>
    <n v="5958"/>
    <x v="0"/>
    <x v="0"/>
    <s v="Discus 2a"/>
    <s v="LR"/>
    <s v="Není v databázi"/>
    <m/>
  </r>
  <r>
    <x v="621"/>
    <x v="4"/>
    <x v="1"/>
    <x v="163"/>
    <x v="3"/>
    <s v="EGC 2024 - Std"/>
    <s v="CZ"/>
    <n v="2024"/>
    <n v="30"/>
    <n v="5885"/>
    <n v="1.125"/>
    <n v="5079"/>
    <n v="5714"/>
    <x v="0"/>
    <x v="0"/>
    <s v="LS 8"/>
    <s v="H8"/>
    <s v="Není v databázi"/>
    <m/>
  </r>
  <r>
    <x v="808"/>
    <x v="4"/>
    <x v="1"/>
    <x v="153"/>
    <x v="3"/>
    <s v="EGC 2024 - Std"/>
    <s v="CZ"/>
    <n v="2024"/>
    <n v="31"/>
    <n v="5756"/>
    <n v="1.125"/>
    <n v="4880"/>
    <n v="5490"/>
    <x v="0"/>
    <x v="0"/>
    <s v="Discus 2t"/>
    <s v="AA"/>
    <s v="Není v databázi"/>
    <m/>
  </r>
  <r>
    <x v="809"/>
    <x v="4"/>
    <x v="1"/>
    <x v="173"/>
    <x v="3"/>
    <s v="EGC 2024 - Std"/>
    <s v="CZ"/>
    <n v="2024"/>
    <n v="32"/>
    <n v="2817"/>
    <n v="1.125"/>
    <n v="2390"/>
    <n v="2689"/>
    <x v="0"/>
    <x v="0"/>
    <s v="DG-300"/>
    <s v="GM"/>
    <s v="Není v databázi"/>
    <m/>
  </r>
  <r>
    <x v="810"/>
    <x v="4"/>
    <x v="1"/>
    <x v="149"/>
    <x v="3"/>
    <s v="EGC 2024 - Std"/>
    <s v="CZ"/>
    <n v="2024"/>
    <n v="33"/>
    <n v="2155"/>
    <n v="1.125"/>
    <n v="1757"/>
    <n v="1977"/>
    <x v="0"/>
    <x v="0"/>
    <s v="LAK 19"/>
    <s v="B9"/>
    <s v="Není v databázi"/>
    <m/>
  </r>
  <r>
    <x v="447"/>
    <x v="4"/>
    <x v="1"/>
    <x v="158"/>
    <x v="3"/>
    <s v="EGC 2024 - 15m"/>
    <s v="CZ"/>
    <n v="2024"/>
    <n v="1"/>
    <n v="8.7279999999999998"/>
    <n v="1.0900000000000001"/>
    <n v="10000"/>
    <n v="10900"/>
    <x v="0"/>
    <x v="0"/>
    <s v="Diana 2"/>
    <s v="RP"/>
    <s v="Není v databázi"/>
    <m/>
  </r>
  <r>
    <x v="811"/>
    <x v="4"/>
    <x v="1"/>
    <x v="158"/>
    <x v="3"/>
    <s v="EGC 2024 - 15m"/>
    <s v="CZ"/>
    <n v="2024"/>
    <n v="2"/>
    <n v="8.5259999999999998"/>
    <n v="1.0900000000000001"/>
    <n v="9723"/>
    <n v="10598"/>
    <x v="0"/>
    <x v="0"/>
    <s v="Diana 2 fes"/>
    <s v="ZJ"/>
    <s v="Není v databázi"/>
    <m/>
  </r>
  <r>
    <x v="38"/>
    <x v="26"/>
    <x v="0"/>
    <x v="21"/>
    <x v="0"/>
    <s v="EGC 2024 - 15m"/>
    <s v="CZ"/>
    <n v="2024"/>
    <n v="3"/>
    <n v="8.5079999999999991"/>
    <n v="1.0900000000000001"/>
    <n v="9593"/>
    <n v="10456"/>
    <x v="1"/>
    <x v="0"/>
    <s v="Ventus 2ax"/>
    <s v="AX"/>
    <s v=""/>
    <m/>
  </r>
  <r>
    <x v="586"/>
    <x v="4"/>
    <x v="1"/>
    <x v="148"/>
    <x v="3"/>
    <s v="EGC 2024 - 15m"/>
    <s v="CZ"/>
    <n v="2024"/>
    <n v="4"/>
    <n v="8.4809999999999999"/>
    <n v="1.0900000000000001"/>
    <n v="9456"/>
    <n v="10307"/>
    <x v="0"/>
    <x v="0"/>
    <s v="Ventus 3T 15m"/>
    <s v="3V"/>
    <s v="Není v databázi"/>
    <m/>
  </r>
  <r>
    <x v="812"/>
    <x v="4"/>
    <x v="1"/>
    <x v="163"/>
    <x v="3"/>
    <s v="EGC 2024 - 15m"/>
    <s v="CZ"/>
    <n v="2024"/>
    <n v="4"/>
    <n v="8.4809999999999999"/>
    <n v="1.0900000000000001"/>
    <n v="9456"/>
    <n v="10307"/>
    <x v="0"/>
    <x v="0"/>
    <s v="SZD-56-2 Diana 2"/>
    <s v="BB"/>
    <s v="Není v databázi"/>
    <m/>
  </r>
  <r>
    <x v="813"/>
    <x v="4"/>
    <x v="1"/>
    <x v="157"/>
    <x v="3"/>
    <s v="EGC 2024 - 15m"/>
    <s v="CZ"/>
    <n v="2024"/>
    <n v="6"/>
    <n v="8.282"/>
    <n v="1.0900000000000001"/>
    <n v="9065"/>
    <n v="9881"/>
    <x v="0"/>
    <x v="0"/>
    <s v="Ventus 2a"/>
    <s v="EY"/>
    <s v="Není v databázi"/>
    <m/>
  </r>
  <r>
    <x v="321"/>
    <x v="4"/>
    <x v="1"/>
    <x v="147"/>
    <x v="3"/>
    <s v="EGC 2024 - 15m"/>
    <s v="CZ"/>
    <n v="2024"/>
    <n v="7"/>
    <n v="8.0809999999999995"/>
    <n v="1.0900000000000001"/>
    <n v="8789"/>
    <n v="9580"/>
    <x v="0"/>
    <x v="0"/>
    <s v="Ventus 2a"/>
    <s v="IR"/>
    <s v="Není v databázi"/>
    <m/>
  </r>
  <r>
    <x v="814"/>
    <x v="4"/>
    <x v="1"/>
    <x v="153"/>
    <x v="3"/>
    <s v="EGC 2024 - 15m"/>
    <s v="CZ"/>
    <n v="2024"/>
    <n v="8"/>
    <n v="8.0429999999999993"/>
    <n v="1.0900000000000001"/>
    <n v="8643"/>
    <n v="9421"/>
    <x v="0"/>
    <x v="0"/>
    <s v="AS33es"/>
    <n v="12"/>
    <s v="Není v databázi"/>
    <m/>
  </r>
  <r>
    <x v="815"/>
    <x v="4"/>
    <x v="1"/>
    <x v="148"/>
    <x v="3"/>
    <s v="EGC 2024 - 15m"/>
    <s v="CZ"/>
    <n v="2024"/>
    <n v="9"/>
    <n v="7.9950000000000001"/>
    <n v="1.0900000000000001"/>
    <n v="8489"/>
    <n v="9253"/>
    <x v="0"/>
    <x v="0"/>
    <s v="Ventus 2b"/>
    <s v="GI"/>
    <s v="Není v databázi"/>
    <m/>
  </r>
  <r>
    <x v="816"/>
    <x v="4"/>
    <x v="1"/>
    <x v="151"/>
    <x v="3"/>
    <s v="EGC 2024 - 15m"/>
    <s v="CZ"/>
    <n v="2024"/>
    <n v="10"/>
    <n v="7.891"/>
    <n v="1.0900000000000001"/>
    <n v="8290"/>
    <n v="9036"/>
    <x v="0"/>
    <x v="0"/>
    <s v="Ventus 2a"/>
    <n v="77"/>
    <s v="Není v databázi"/>
    <m/>
  </r>
  <r>
    <x v="575"/>
    <x v="4"/>
    <x v="1"/>
    <x v="149"/>
    <x v="3"/>
    <s v="EGC 2024 - 15m"/>
    <s v="CZ"/>
    <n v="2024"/>
    <n v="11"/>
    <n v="7.8049999999999997"/>
    <n v="1.0900000000000001"/>
    <n v="8106"/>
    <n v="8836"/>
    <x v="0"/>
    <x v="0"/>
    <s v="JS3 Jet"/>
    <s v="LEO"/>
    <s v="Není v databázi"/>
    <m/>
  </r>
  <r>
    <x v="817"/>
    <x v="4"/>
    <x v="1"/>
    <x v="166"/>
    <x v="3"/>
    <s v="EGC 2024 - 15m"/>
    <s v="CZ"/>
    <n v="2024"/>
    <n v="12"/>
    <n v="7.79"/>
    <n v="1.0900000000000001"/>
    <n v="7978"/>
    <n v="8696"/>
    <x v="0"/>
    <x v="0"/>
    <s v="Ventus 2cxa 15m"/>
    <s v="LX"/>
    <s v="Není v databázi"/>
    <m/>
  </r>
  <r>
    <x v="818"/>
    <x v="4"/>
    <x v="1"/>
    <x v="153"/>
    <x v="3"/>
    <s v="EGC 2024 - 15m"/>
    <s v="CZ"/>
    <n v="2024"/>
    <n v="13"/>
    <n v="7.6790000000000003"/>
    <n v="1.0900000000000001"/>
    <n v="7774"/>
    <n v="8474"/>
    <x v="0"/>
    <x v="0"/>
    <s v="JS3 RES 15m"/>
    <s v="RX"/>
    <s v="Není v databázi"/>
    <m/>
  </r>
  <r>
    <x v="819"/>
    <x v="4"/>
    <x v="1"/>
    <x v="157"/>
    <x v="3"/>
    <s v="EGC 2024 - 15m"/>
    <s v="CZ"/>
    <n v="2024"/>
    <n v="14"/>
    <n v="7.6609999999999996"/>
    <n v="1.0900000000000001"/>
    <n v="7644"/>
    <n v="8332"/>
    <x v="0"/>
    <x v="0"/>
    <s v="ASG 29 es 15m"/>
    <n v="29"/>
    <s v="Není v databázi"/>
    <m/>
  </r>
  <r>
    <x v="820"/>
    <x v="4"/>
    <x v="1"/>
    <x v="165"/>
    <x v="3"/>
    <s v="EGC 2024 - 15m"/>
    <s v="CZ"/>
    <n v="2024"/>
    <n v="15"/>
    <n v="7.44"/>
    <n v="1.0900000000000001"/>
    <n v="7352"/>
    <n v="8014"/>
    <x v="0"/>
    <x v="0"/>
    <s v="Ventus 2a"/>
    <s v="V8"/>
    <s v="Není v databázi"/>
    <m/>
  </r>
  <r>
    <x v="31"/>
    <x v="4"/>
    <x v="1"/>
    <x v="161"/>
    <x v="3"/>
    <s v="EGC 2024 - 15m"/>
    <s v="CZ"/>
    <n v="2024"/>
    <n v="16"/>
    <n v="7.3890000000000002"/>
    <n v="1.0900000000000001"/>
    <n v="7195"/>
    <n v="7843"/>
    <x v="0"/>
    <x v="0"/>
    <s v="JS3 Jet 15m"/>
    <n v="3"/>
    <s v="Není v databázi"/>
    <m/>
  </r>
  <r>
    <x v="821"/>
    <x v="4"/>
    <x v="1"/>
    <x v="149"/>
    <x v="3"/>
    <s v="EGC 2024 - 15m"/>
    <s v="CZ"/>
    <n v="2024"/>
    <n v="17"/>
    <n v="7.3280000000000003"/>
    <n v="1.0900000000000001"/>
    <n v="7031"/>
    <n v="7664"/>
    <x v="0"/>
    <x v="0"/>
    <s v="Ventus 2ax"/>
    <s v="LD"/>
    <s v="Není v databázi"/>
    <m/>
  </r>
  <r>
    <x v="822"/>
    <x v="4"/>
    <x v="1"/>
    <x v="163"/>
    <x v="3"/>
    <s v="EGC 2024 - 15m"/>
    <s v="CZ"/>
    <n v="2024"/>
    <n v="18"/>
    <n v="7.0919999999999996"/>
    <n v="1.0900000000000001"/>
    <n v="6726"/>
    <n v="7331"/>
    <x v="0"/>
    <x v="0"/>
    <s v="ASG 29 15m"/>
    <s v="M7"/>
    <s v="Není v databázi"/>
    <m/>
  </r>
  <r>
    <x v="689"/>
    <x v="4"/>
    <x v="1"/>
    <x v="151"/>
    <x v="3"/>
    <s v="EGC 2024 - 15m"/>
    <s v="CZ"/>
    <n v="2024"/>
    <n v="19"/>
    <n v="7.0129999999999999"/>
    <n v="1.0900000000000001"/>
    <n v="6548"/>
    <n v="7137"/>
    <x v="0"/>
    <x v="0"/>
    <s v="Ventus 2ax"/>
    <n v="85"/>
    <s v="Není v databázi"/>
    <m/>
  </r>
  <r>
    <x v="823"/>
    <x v="4"/>
    <x v="1"/>
    <x v="147"/>
    <x v="3"/>
    <s v="EGC 2024 - 15m"/>
    <s v="CZ"/>
    <n v="2024"/>
    <n v="20"/>
    <n v="6.8209999999999997"/>
    <n v="1.0900000000000001"/>
    <n v="6278"/>
    <n v="6843"/>
    <x v="0"/>
    <x v="0"/>
    <s v="ASG 29 es 15m"/>
    <s v="VG"/>
    <s v="Není v databázi"/>
    <m/>
  </r>
  <r>
    <x v="824"/>
    <x v="4"/>
    <x v="1"/>
    <x v="166"/>
    <x v="3"/>
    <s v="EGC 2024 - 15m"/>
    <s v="CZ"/>
    <n v="2024"/>
    <n v="21"/>
    <n v="6.734"/>
    <n v="1.0900000000000001"/>
    <n v="6093"/>
    <n v="6641"/>
    <x v="0"/>
    <x v="0"/>
    <s v="Ventus 2a"/>
    <s v="FS"/>
    <s v="Není v databázi"/>
    <m/>
  </r>
  <r>
    <x v="825"/>
    <x v="4"/>
    <x v="1"/>
    <x v="165"/>
    <x v="3"/>
    <s v="EGC 2024 - 15m"/>
    <s v="CZ"/>
    <n v="2024"/>
    <n v="22"/>
    <n v="6.6260000000000003"/>
    <n v="1.0900000000000001"/>
    <n v="5891"/>
    <n v="6421"/>
    <x v="0"/>
    <x v="0"/>
    <s v="Ventus 2a"/>
    <s v="C"/>
    <s v="Není v databázi"/>
    <m/>
  </r>
  <r>
    <x v="826"/>
    <x v="4"/>
    <x v="1"/>
    <x v="164"/>
    <x v="3"/>
    <s v="EGC 2024 - 15m"/>
    <s v="CZ"/>
    <n v="2024"/>
    <n v="23"/>
    <n v="5.742"/>
    <n v="1.0900000000000001"/>
    <n v="5067"/>
    <n v="5523"/>
    <x v="0"/>
    <x v="0"/>
    <s v="ASW 27"/>
    <s v="ES"/>
    <s v="Není v databázi"/>
    <m/>
  </r>
  <r>
    <x v="827"/>
    <x v="4"/>
    <x v="1"/>
    <x v="159"/>
    <x v="3"/>
    <s v="EGC 2024 - 15m"/>
    <s v="CZ"/>
    <n v="2024"/>
    <n v="24"/>
    <n v="5.65"/>
    <n v="1.0900000000000001"/>
    <n v="4878"/>
    <n v="5317"/>
    <x v="0"/>
    <x v="0"/>
    <s v="JS3 RES 15m"/>
    <s v="MK"/>
    <s v="Není v databázi"/>
    <m/>
  </r>
  <r>
    <x v="287"/>
    <x v="52"/>
    <x v="0"/>
    <x v="12"/>
    <x v="1"/>
    <s v="EGC 2024 - 15m"/>
    <s v="CZ"/>
    <n v="2024"/>
    <n v="25"/>
    <n v="5.6079999999999997"/>
    <n v="1.0900000000000001"/>
    <n v="4728"/>
    <n v="5154"/>
    <x v="0"/>
    <x v="0"/>
    <s v="JS3 Jet 15m"/>
    <s v="XM"/>
    <s v=""/>
    <m/>
  </r>
  <r>
    <x v="828"/>
    <x v="4"/>
    <x v="1"/>
    <x v="162"/>
    <x v="3"/>
    <s v="EGC 2024 - 15m"/>
    <s v="CZ"/>
    <n v="2024"/>
    <n v="26"/>
    <n v="5.4530000000000003"/>
    <n v="1.0900000000000001"/>
    <n v="4489"/>
    <n v="4893"/>
    <x v="0"/>
    <x v="0"/>
    <s v="JS3 Res 15m"/>
    <s v="VZ"/>
    <s v="Není v databázi"/>
    <m/>
  </r>
  <r>
    <x v="472"/>
    <x v="4"/>
    <x v="1"/>
    <x v="172"/>
    <x v="3"/>
    <s v="EGC 2024 - 15m"/>
    <s v="CZ"/>
    <n v="2024"/>
    <n v="27"/>
    <n v="2.7389999999999999"/>
    <n v="1.0900000000000001"/>
    <n v="2197"/>
    <n v="2395"/>
    <x v="0"/>
    <x v="0"/>
    <s v="JS3 Jet 15m"/>
    <s v="MM"/>
    <s v="Není v databázi"/>
    <m/>
  </r>
  <r>
    <x v="152"/>
    <x v="34"/>
    <x v="0"/>
    <x v="14"/>
    <x v="0"/>
    <s v="GGP MB 2024 - Klub GP"/>
    <s v="CZ"/>
    <n v="2024"/>
    <n v="1"/>
    <n v="30"/>
    <n v="0.88"/>
    <n v="10000"/>
    <n v="8800"/>
    <x v="1"/>
    <x v="0"/>
    <s v="DG-300"/>
    <s v="DG"/>
    <s v="Junior v roce 2026"/>
    <m/>
  </r>
  <r>
    <x v="237"/>
    <x v="24"/>
    <x v="2"/>
    <x v="42"/>
    <x v="0"/>
    <s v="GGP MB 2024 - Klub GP"/>
    <s v="CZ"/>
    <n v="2024"/>
    <n v="2"/>
    <n v="20"/>
    <n v="0.88"/>
    <n v="9091"/>
    <n v="8000"/>
    <x v="1"/>
    <x v="1"/>
    <s v="Std. Cirrus"/>
    <s v="KAC"/>
    <s v=""/>
    <m/>
  </r>
  <r>
    <x v="161"/>
    <x v="51"/>
    <x v="2"/>
    <x v="41"/>
    <x v="0"/>
    <s v="GGP MB 2024 - Klub GP"/>
    <s v="CZ"/>
    <n v="2024"/>
    <n v="3"/>
    <n v="16"/>
    <n v="0.88"/>
    <n v="8182"/>
    <n v="7200"/>
    <x v="1"/>
    <x v="1"/>
    <s v="DG-101 G"/>
    <s v="JL"/>
    <s v="Junior v roce 2026"/>
    <m/>
  </r>
  <r>
    <x v="252"/>
    <x v="27"/>
    <x v="0"/>
    <x v="13"/>
    <x v="1"/>
    <s v="GGP MB 2024 - Klub GP"/>
    <s v="CZ"/>
    <n v="2024"/>
    <n v="4"/>
    <n v="14"/>
    <n v="0.88"/>
    <n v="7273"/>
    <n v="6400"/>
    <x v="0"/>
    <x v="0"/>
    <s v="Std. Cirrus"/>
    <s v="IF"/>
    <s v=""/>
    <m/>
  </r>
  <r>
    <x v="406"/>
    <x v="48"/>
    <x v="2"/>
    <x v="48"/>
    <x v="1"/>
    <s v="GGP MB 2024 - Klub GP"/>
    <s v="CZ"/>
    <n v="2024"/>
    <n v="4"/>
    <n v="14"/>
    <n v="0.88"/>
    <n v="7273"/>
    <n v="6400"/>
    <x v="0"/>
    <x v="0"/>
    <s v="Std.Cirrus"/>
    <s v="WY"/>
    <s v=""/>
    <m/>
  </r>
  <r>
    <x v="174"/>
    <x v="23"/>
    <x v="0"/>
    <x v="9"/>
    <x v="1"/>
    <s v="GGP MB 2024 - Klub GP"/>
    <s v="CZ"/>
    <n v="2024"/>
    <n v="6"/>
    <n v="13"/>
    <n v="0.88"/>
    <n v="5455"/>
    <n v="4800"/>
    <x v="0"/>
    <x v="0"/>
    <s v="Cirrus VTC"/>
    <s v="OT"/>
    <s v=""/>
    <m/>
  </r>
  <r>
    <x v="235"/>
    <x v="21"/>
    <x v="0"/>
    <x v="42"/>
    <x v="0"/>
    <s v="GGP MB 2024 - Klub GP"/>
    <s v="CZ"/>
    <n v="2024"/>
    <n v="7"/>
    <n v="11"/>
    <n v="0.88"/>
    <n v="4545"/>
    <n v="4000"/>
    <x v="0"/>
    <x v="0"/>
    <s v="Std. Cirrus"/>
    <s v="IT"/>
    <s v=""/>
    <m/>
  </r>
  <r>
    <x v="242"/>
    <x v="30"/>
    <x v="0"/>
    <x v="42"/>
    <x v="0"/>
    <s v="GGP MB 2024 - Klub GP"/>
    <s v="CZ"/>
    <n v="2024"/>
    <n v="8"/>
    <n v="7"/>
    <n v="0.88"/>
    <n v="3636"/>
    <n v="3200"/>
    <x v="1"/>
    <x v="0"/>
    <s v="Std. Cirrus"/>
    <s v="CON"/>
    <s v=""/>
    <m/>
  </r>
  <r>
    <x v="829"/>
    <x v="5"/>
    <x v="0"/>
    <x v="12"/>
    <x v="1"/>
    <s v="GGP MB 2024 - Klub GP"/>
    <s v="CZ"/>
    <n v="2024"/>
    <n v="8"/>
    <n v="7"/>
    <n v="0.88"/>
    <n v="3636"/>
    <n v="3200"/>
    <x v="1"/>
    <x v="0"/>
    <s v="Std. Cirrus"/>
    <n v="96"/>
    <s v=""/>
    <m/>
  </r>
  <r>
    <x v="830"/>
    <x v="51"/>
    <x v="0"/>
    <x v="10"/>
    <x v="0"/>
    <s v="GGP MB 2024 - Klub GP"/>
    <s v="CZ"/>
    <n v="2024"/>
    <n v="10"/>
    <n v="3"/>
    <n v="0.88"/>
    <n v="1818"/>
    <n v="1600"/>
    <x v="1"/>
    <x v="0"/>
    <s v="DG-300"/>
    <s v="BK"/>
    <s v="Junior v roce 2026"/>
    <m/>
  </r>
  <r>
    <x v="831"/>
    <x v="8"/>
    <x v="0"/>
    <x v="21"/>
    <x v="0"/>
    <s v="GGP MB 2024 - Klub GP"/>
    <s v="CZ"/>
    <n v="2024"/>
    <n v="10"/>
    <n v="3"/>
    <n v="0.88"/>
    <n v="0"/>
    <n v="0"/>
    <x v="0"/>
    <x v="0"/>
    <s v="Std. Cirrus"/>
    <s v="BW"/>
    <s v=""/>
    <m/>
  </r>
  <r>
    <x v="709"/>
    <x v="44"/>
    <x v="0"/>
    <x v="12"/>
    <x v="1"/>
    <s v="GGP MB 2024 - Klub GP"/>
    <s v="CZ"/>
    <n v="2024"/>
    <n v="12"/>
    <n v="0"/>
    <n v="0.88"/>
    <n v="0"/>
    <n v="0"/>
    <x v="0"/>
    <x v="0"/>
    <s v="Std. Cirrus"/>
    <s v="2C"/>
    <s v="Junior v roce 2026"/>
    <m/>
  </r>
  <r>
    <x v="155"/>
    <x v="49"/>
    <x v="0"/>
    <x v="25"/>
    <x v="1"/>
    <s v="GGP MB 2024 - Klub GP"/>
    <s v="CZ"/>
    <n v="2024"/>
    <n v="12"/>
    <n v="0"/>
    <n v="0.88"/>
    <n v="0"/>
    <n v="0"/>
    <x v="0"/>
    <x v="0"/>
    <s v="ASW-19b"/>
    <s v="XP"/>
    <s v=""/>
    <m/>
  </r>
  <r>
    <x v="832"/>
    <x v="28"/>
    <x v="0"/>
    <x v="21"/>
    <x v="0"/>
    <s v="GGP MB 2024 - Klub GP"/>
    <s v="CZ"/>
    <n v="2024"/>
    <n v="12"/>
    <n v="0"/>
    <n v="0.88"/>
    <n v="0"/>
    <n v="0"/>
    <x v="0"/>
    <x v="0"/>
    <s v="ASW-15"/>
    <s v="MB"/>
    <s v=""/>
    <m/>
  </r>
  <r>
    <x v="187"/>
    <x v="55"/>
    <x v="0"/>
    <x v="9"/>
    <x v="1"/>
    <s v="GGP MB 2024 - Klub GP"/>
    <s v="CZ"/>
    <n v="2024"/>
    <n v="12"/>
    <n v="0"/>
    <n v="0.88"/>
    <m/>
    <n v="0"/>
    <x v="0"/>
    <x v="0"/>
    <s v="Cirrus VTC"/>
    <s v="VTC"/>
    <s v=""/>
    <m/>
  </r>
  <r>
    <x v="10"/>
    <x v="8"/>
    <x v="0"/>
    <x v="10"/>
    <x v="0"/>
    <s v="GGP MB 2024 - Pohár MV - Kombi"/>
    <s v="CZ"/>
    <n v="2024"/>
    <n v="1"/>
    <n v="1298"/>
    <n v="0.745"/>
    <n v="10000"/>
    <n v="7450"/>
    <x v="1"/>
    <x v="0"/>
    <s v="ASW 27b WL"/>
    <s v="MF"/>
    <s v=""/>
    <m/>
  </r>
  <r>
    <x v="42"/>
    <x v="19"/>
    <x v="2"/>
    <x v="24"/>
    <x v="1"/>
    <s v="GGP MB 2024 - Pohár MV - Kombi"/>
    <s v="CZ"/>
    <n v="2024"/>
    <n v="2"/>
    <n v="1222"/>
    <n v="0.745"/>
    <n v="9340"/>
    <n v="6958"/>
    <x v="0"/>
    <x v="0"/>
    <s v="JS3 18m"/>
    <s v="XM"/>
    <s v=""/>
    <m/>
  </r>
  <r>
    <x v="682"/>
    <x v="24"/>
    <x v="0"/>
    <x v="25"/>
    <x v="1"/>
    <s v="GGP MB 2024 - Pohár MV - Kombi"/>
    <s v="CZ"/>
    <n v="2024"/>
    <n v="3"/>
    <n v="1191"/>
    <n v="0.745"/>
    <n v="8923"/>
    <n v="6648"/>
    <x v="1"/>
    <x v="0"/>
    <s v="ASG 29e 18m"/>
    <s v="XZ"/>
    <s v=""/>
    <m/>
  </r>
  <r>
    <x v="38"/>
    <x v="26"/>
    <x v="0"/>
    <x v="21"/>
    <x v="0"/>
    <s v="GGP MB 2024 - Pohár MV - Kombi"/>
    <s v="CZ"/>
    <n v="2024"/>
    <n v="4"/>
    <n v="1099"/>
    <n v="0.745"/>
    <n v="8177"/>
    <n v="6092"/>
    <x v="0"/>
    <x v="0"/>
    <s v="Ventus 2a 15m"/>
    <s v="AX"/>
    <s v=""/>
    <m/>
  </r>
  <r>
    <x v="239"/>
    <x v="9"/>
    <x v="0"/>
    <x v="13"/>
    <x v="1"/>
    <s v="GGP MB 2024 - Pohár MV - Kombi"/>
    <s v="CZ"/>
    <n v="2024"/>
    <n v="5"/>
    <n v="1072"/>
    <n v="0.745"/>
    <n v="7781"/>
    <n v="5797"/>
    <x v="1"/>
    <x v="0"/>
    <s v="Ventus C 17.6m"/>
    <s v="WP"/>
    <s v=""/>
    <m/>
  </r>
  <r>
    <x v="9"/>
    <x v="7"/>
    <x v="0"/>
    <x v="9"/>
    <x v="1"/>
    <s v="GGP MB 2024 - Pohár MV - Kombi"/>
    <s v="CZ"/>
    <n v="2024"/>
    <n v="6"/>
    <n v="763"/>
    <n v="0.745"/>
    <n v="5865"/>
    <n v="4369"/>
    <x v="0"/>
    <x v="0"/>
    <s v="LS 8 15m"/>
    <s v="EU"/>
    <s v="Junior v roce 2026"/>
    <m/>
  </r>
  <r>
    <x v="833"/>
    <x v="10"/>
    <x v="0"/>
    <x v="60"/>
    <x v="2"/>
    <s v="GGP MB 2024 - Pohár MV - Kombi"/>
    <s v="CZ"/>
    <n v="2024"/>
    <n v="7"/>
    <n v="660"/>
    <n v="0.745"/>
    <n v="5059"/>
    <n v="3769"/>
    <x v="1"/>
    <x v="0"/>
    <s v="ASG-29e 18m"/>
    <s v="2L"/>
    <s v=""/>
    <m/>
  </r>
  <r>
    <x v="834"/>
    <x v="0"/>
    <x v="0"/>
    <x v="21"/>
    <x v="0"/>
    <s v="GGP MB 2024 - Pohár MV - Kombi"/>
    <s v="CZ"/>
    <n v="2024"/>
    <n v="8"/>
    <n v="567"/>
    <n v="0.745"/>
    <n v="4308"/>
    <n v="3209"/>
    <x v="1"/>
    <x v="0"/>
    <s v="DG 200 17m WL"/>
    <s v="MS"/>
    <s v=""/>
    <m/>
  </r>
  <r>
    <x v="46"/>
    <x v="31"/>
    <x v="0"/>
    <x v="0"/>
    <x v="0"/>
    <s v="GGP MB 2024 - Pohár MV - Kombi"/>
    <s v="CZ"/>
    <n v="2024"/>
    <n v="9"/>
    <n v="546"/>
    <n v="0.745"/>
    <n v="3945"/>
    <n v="2939"/>
    <x v="1"/>
    <x v="0"/>
    <s v="Ventus a 15m WL -500kg"/>
    <s v="FW"/>
    <s v=""/>
    <m/>
  </r>
  <r>
    <x v="835"/>
    <x v="36"/>
    <x v="0"/>
    <x v="32"/>
    <x v="2"/>
    <s v="GGP MB 2024 - Pohár MV - Kombi"/>
    <s v="CZ"/>
    <n v="2024"/>
    <n v="10"/>
    <n v="448"/>
    <n v="0.745"/>
    <n v="3166"/>
    <n v="2359"/>
    <x v="1"/>
    <x v="0"/>
    <s v="HPH 304TS -850kg"/>
    <s v="KEG"/>
    <s v=""/>
    <m/>
  </r>
  <r>
    <x v="684"/>
    <x v="19"/>
    <x v="2"/>
    <x v="8"/>
    <x v="2"/>
    <s v="GGP MB 2024 - Pohár MV - Kombi"/>
    <s v="CZ"/>
    <n v="2024"/>
    <n v="11"/>
    <n v="241"/>
    <n v="0.745"/>
    <n v="1800"/>
    <n v="1341"/>
    <x v="0"/>
    <x v="0"/>
    <s v="LAK-17A 18m WL"/>
    <s v="PB"/>
    <s v=""/>
    <m/>
  </r>
  <r>
    <x v="168"/>
    <x v="52"/>
    <x v="0"/>
    <x v="9"/>
    <x v="1"/>
    <s v="GGP MB 2024 - Pohár MV - Kombi"/>
    <s v="CZ"/>
    <n v="2024"/>
    <n v="12"/>
    <n v="200"/>
    <n v="0.745"/>
    <n v="1329"/>
    <n v="990"/>
    <x v="0"/>
    <x v="0"/>
    <s v="Janus C FG"/>
    <s v="KS"/>
    <s v=""/>
    <m/>
  </r>
  <r>
    <x v="205"/>
    <x v="43"/>
    <x v="0"/>
    <x v="17"/>
    <x v="0"/>
    <s v="GGP MB 2024 - Pohár MV - Kombi"/>
    <s v="CZ"/>
    <n v="2024"/>
    <n v="13"/>
    <n v="0"/>
    <n v="0.745"/>
    <n v="0"/>
    <n v="0"/>
    <x v="0"/>
    <x v="0"/>
    <s v="LS-8 neo 18m"/>
    <s v="EJ"/>
    <s v=""/>
    <m/>
  </r>
  <r>
    <x v="836"/>
    <x v="4"/>
    <x v="1"/>
    <x v="55"/>
    <x v="3"/>
    <s v="JWGC 2024 - Klub"/>
    <s v="PL"/>
    <n v="2024"/>
    <n v="1"/>
    <n v="8863"/>
    <n v="1.07"/>
    <n v="10000"/>
    <n v="10700"/>
    <x v="0"/>
    <x v="0"/>
    <s v="LS3 (376,4kg)"/>
    <s v="PM"/>
    <s v="Není v databázi"/>
    <m/>
  </r>
  <r>
    <x v="507"/>
    <x v="4"/>
    <x v="1"/>
    <x v="55"/>
    <x v="3"/>
    <s v="JWGC 2024 - Klub"/>
    <s v="PL"/>
    <n v="2024"/>
    <n v="2"/>
    <n v="8772"/>
    <n v="1.07"/>
    <n v="9858"/>
    <n v="10548"/>
    <x v="0"/>
    <x v="0"/>
    <s v="LS7 neo WL (339,6kg)"/>
    <s v="KT"/>
    <s v="Není v databázi"/>
    <m/>
  </r>
  <r>
    <x v="147"/>
    <x v="4"/>
    <x v="1"/>
    <x v="55"/>
    <x v="3"/>
    <s v="JWGC 2024 - Klub"/>
    <s v="PL"/>
    <n v="2024"/>
    <n v="3"/>
    <n v="8601"/>
    <n v="1.07"/>
    <n v="9654"/>
    <n v="10330"/>
    <x v="0"/>
    <x v="0"/>
    <s v="ASW 20 (351,2kg)"/>
    <s v="WE"/>
    <s v="Není v databázi"/>
    <m/>
  </r>
  <r>
    <x v="685"/>
    <x v="4"/>
    <x v="1"/>
    <x v="55"/>
    <x v="3"/>
    <s v="JWGC 2024 - Klub"/>
    <s v="PL"/>
    <n v="2024"/>
    <n v="4"/>
    <n v="8517"/>
    <n v="1.07"/>
    <n v="9517"/>
    <n v="10183"/>
    <x v="0"/>
    <x v="0"/>
    <s v="ASW 20CL (351,0kg)"/>
    <s v="VL"/>
    <s v="Není v databázi"/>
    <m/>
  </r>
  <r>
    <x v="526"/>
    <x v="4"/>
    <x v="1"/>
    <x v="55"/>
    <x v="3"/>
    <s v="JWGC 2024 - Klub"/>
    <s v="PL"/>
    <n v="2024"/>
    <n v="5"/>
    <n v="8449"/>
    <n v="1.07"/>
    <n v="9394"/>
    <n v="10052"/>
    <x v="0"/>
    <x v="0"/>
    <s v="ASW 20F (371,9kg)"/>
    <s v="TO"/>
    <s v="Není v databázi"/>
    <m/>
  </r>
  <r>
    <x v="8"/>
    <x v="3"/>
    <x v="0"/>
    <x v="8"/>
    <x v="2"/>
    <s v="JWGC 2024 - Klub"/>
    <s v="PL"/>
    <n v="2024"/>
    <n v="6"/>
    <n v="8371"/>
    <n v="1.07"/>
    <n v="9263"/>
    <n v="9911"/>
    <x v="1"/>
    <x v="0"/>
    <s v="ASW 20L (352,8kg)"/>
    <s v="CX"/>
    <s v="Junior v roce 2026"/>
    <m/>
  </r>
  <r>
    <x v="9"/>
    <x v="7"/>
    <x v="0"/>
    <x v="9"/>
    <x v="1"/>
    <s v="JWGC 2024 - Klub"/>
    <s v="PL"/>
    <n v="2024"/>
    <n v="7"/>
    <n v="8271"/>
    <n v="1.07"/>
    <n v="9114"/>
    <n v="9752"/>
    <x v="1"/>
    <x v="0"/>
    <s v="ASW 20CL (348,2kg)"/>
    <s v="VW"/>
    <s v="Junior v roce 2026"/>
    <m/>
  </r>
  <r>
    <x v="517"/>
    <x v="4"/>
    <x v="1"/>
    <x v="55"/>
    <x v="3"/>
    <s v="JWGC 2024 - Klub"/>
    <s v="PL"/>
    <n v="2024"/>
    <n v="8"/>
    <n v="8216"/>
    <n v="1.07"/>
    <n v="9001"/>
    <n v="9631"/>
    <x v="0"/>
    <x v="0"/>
    <s v="Mosquito (384,0kg)"/>
    <s v="N8"/>
    <s v="Není v databázi"/>
    <m/>
  </r>
  <r>
    <x v="511"/>
    <x v="4"/>
    <x v="1"/>
    <x v="55"/>
    <x v="3"/>
    <s v="JWGC 2024 - Klub"/>
    <s v="PL"/>
    <n v="2024"/>
    <n v="9"/>
    <n v="8151"/>
    <n v="1.07"/>
    <n v="8880"/>
    <n v="9502"/>
    <x v="0"/>
    <x v="0"/>
    <s v="ASW 24 WL (355,0kg)"/>
    <s v="CK"/>
    <s v="Není v databázi"/>
    <m/>
  </r>
  <r>
    <x v="510"/>
    <x v="4"/>
    <x v="1"/>
    <x v="55"/>
    <x v="3"/>
    <s v="JWGC 2024 - Klub"/>
    <s v="PL"/>
    <n v="2024"/>
    <n v="10"/>
    <n v="8142"/>
    <n v="1.07"/>
    <n v="8803"/>
    <n v="9419"/>
    <x v="0"/>
    <x v="0"/>
    <s v="LS4 neo WL (359,8kg)"/>
    <s v="S4"/>
    <s v="Není v databázi"/>
    <m/>
  </r>
  <r>
    <x v="551"/>
    <x v="4"/>
    <x v="1"/>
    <x v="55"/>
    <x v="3"/>
    <s v="JWGC 2024 - Klub"/>
    <s v="PL"/>
    <n v="2024"/>
    <n v="11"/>
    <n v="8049"/>
    <n v="1.07"/>
    <n v="8659"/>
    <n v="9265"/>
    <x v="0"/>
    <x v="0"/>
    <s v="LS3a (377,0kg)"/>
    <s v="BO"/>
    <s v="Není v databázi"/>
    <m/>
  </r>
  <r>
    <x v="520"/>
    <x v="4"/>
    <x v="1"/>
    <x v="55"/>
    <x v="3"/>
    <s v="JWGC 2024 - Klub"/>
    <s v="PL"/>
    <n v="2024"/>
    <n v="12"/>
    <n v="8020"/>
    <n v="1.07"/>
    <n v="8567"/>
    <n v="9167"/>
    <x v="0"/>
    <x v="0"/>
    <s v="Genesis 2 (358,2kg)"/>
    <s v="S"/>
    <s v="Není v databázi"/>
    <m/>
  </r>
  <r>
    <x v="837"/>
    <x v="4"/>
    <x v="1"/>
    <x v="55"/>
    <x v="3"/>
    <s v="JWGC 2024 - Klub"/>
    <s v="PL"/>
    <n v="2024"/>
    <n v="13"/>
    <n v="7974"/>
    <n v="1.07"/>
    <n v="8461"/>
    <n v="9053"/>
    <x v="0"/>
    <x v="0"/>
    <s v="Discus b (364,8kg)"/>
    <s v="Ac3"/>
    <s v="Není v databázi"/>
    <m/>
  </r>
  <r>
    <x v="519"/>
    <x v="4"/>
    <x v="1"/>
    <x v="55"/>
    <x v="3"/>
    <s v="JWGC 2024 - Klub"/>
    <s v="PL"/>
    <n v="2024"/>
    <n v="14"/>
    <n v="7916"/>
    <n v="1.07"/>
    <n v="8345"/>
    <n v="8929"/>
    <x v="0"/>
    <x v="0"/>
    <s v="Discus b (363,6kg)"/>
    <s v="5I"/>
    <s v="Není v databázi"/>
    <m/>
  </r>
  <r>
    <x v="521"/>
    <x v="4"/>
    <x v="1"/>
    <x v="55"/>
    <x v="3"/>
    <s v="JWGC 2024 - Klub"/>
    <s v="PL"/>
    <n v="2024"/>
    <n v="15"/>
    <n v="7828"/>
    <n v="1.07"/>
    <n v="8206"/>
    <n v="8780"/>
    <x v="0"/>
    <x v="0"/>
    <s v="LS4a (355,2kg)"/>
    <s v="Au"/>
    <s v="Není v databázi"/>
    <m/>
  </r>
  <r>
    <x v="838"/>
    <x v="4"/>
    <x v="1"/>
    <x v="55"/>
    <x v="3"/>
    <s v="JWGC 2024 - Klub"/>
    <s v="PL"/>
    <n v="2024"/>
    <n v="16"/>
    <n v="7786"/>
    <n v="1.07"/>
    <n v="8103"/>
    <n v="8670"/>
    <x v="0"/>
    <x v="0"/>
    <s v="Jantar Std. (369,6kg)"/>
    <s v="JM"/>
    <s v="Není v databázi"/>
    <m/>
  </r>
  <r>
    <x v="839"/>
    <x v="4"/>
    <x v="1"/>
    <x v="55"/>
    <x v="3"/>
    <s v="JWGC 2024 - Klub"/>
    <s v="PL"/>
    <n v="2024"/>
    <n v="17"/>
    <n v="7741"/>
    <n v="1.07"/>
    <n v="7998"/>
    <n v="8558"/>
    <x v="0"/>
    <x v="0"/>
    <s v="ASW 24 WL (340,6kg)"/>
    <s v="RB"/>
    <s v="Není v databázi"/>
    <m/>
  </r>
  <r>
    <x v="529"/>
    <x v="4"/>
    <x v="1"/>
    <x v="55"/>
    <x v="3"/>
    <s v="JWGC 2024 - Klub"/>
    <s v="PL"/>
    <n v="2024"/>
    <n v="18"/>
    <n v="7726"/>
    <n v="1.07"/>
    <n v="7916"/>
    <n v="8470"/>
    <x v="0"/>
    <x v="0"/>
    <s v="ASW 20L (360,4kg)"/>
    <s v="ENW"/>
    <s v="Není v databázi"/>
    <m/>
  </r>
  <r>
    <x v="530"/>
    <x v="4"/>
    <x v="1"/>
    <x v="55"/>
    <x v="3"/>
    <s v="JWGC 2024 - Klub"/>
    <s v="PL"/>
    <n v="2024"/>
    <n v="19"/>
    <n v="7675"/>
    <n v="1.07"/>
    <n v="7806"/>
    <n v="8352"/>
    <x v="0"/>
    <x v="0"/>
    <s v="LS3 (391,0kg)"/>
    <s v="CP"/>
    <s v="Není v databázi"/>
    <m/>
  </r>
  <r>
    <x v="840"/>
    <x v="4"/>
    <x v="1"/>
    <x v="55"/>
    <x v="3"/>
    <s v="JWGC 2024 - Klub"/>
    <s v="PL"/>
    <n v="2024"/>
    <n v="20"/>
    <n v="7584"/>
    <n v="1.07"/>
    <n v="7664"/>
    <n v="8200"/>
    <x v="0"/>
    <x v="0"/>
    <s v="ASW 20FL (377,6kg)"/>
    <s v="LX"/>
    <s v="Není v databázi"/>
    <m/>
  </r>
  <r>
    <x v="537"/>
    <x v="4"/>
    <x v="1"/>
    <x v="55"/>
    <x v="3"/>
    <s v="JWGC 2024 - Klub"/>
    <s v="PL"/>
    <n v="2024"/>
    <n v="21"/>
    <n v="7393"/>
    <n v="1.07"/>
    <n v="7444"/>
    <n v="7965"/>
    <x v="0"/>
    <x v="0"/>
    <s v="LS4 (340,4kg)"/>
    <s v="MD"/>
    <s v="Není v databázi"/>
    <m/>
  </r>
  <r>
    <x v="841"/>
    <x v="4"/>
    <x v="1"/>
    <x v="55"/>
    <x v="3"/>
    <s v="JWGC 2024 - Klub"/>
    <s v="PL"/>
    <n v="2024"/>
    <n v="22"/>
    <n v="7239"/>
    <n v="1.07"/>
    <n v="7252"/>
    <n v="7760"/>
    <x v="0"/>
    <x v="0"/>
    <s v="LS7 WL (331,6kg)"/>
    <s v="RX"/>
    <s v="Není v databázi"/>
    <m/>
  </r>
  <r>
    <x v="842"/>
    <x v="4"/>
    <x v="1"/>
    <x v="55"/>
    <x v="3"/>
    <s v="JWGC 2024 - Klub"/>
    <s v="PL"/>
    <n v="2024"/>
    <n v="23"/>
    <n v="7112"/>
    <n v="1.07"/>
    <n v="7082"/>
    <n v="7578"/>
    <x v="0"/>
    <x v="0"/>
    <s v="Discus b WL (362,4kg)"/>
    <s v="OM"/>
    <s v="Není v databázi"/>
    <m/>
  </r>
  <r>
    <x v="843"/>
    <x v="4"/>
    <x v="1"/>
    <x v="55"/>
    <x v="3"/>
    <s v="JWGC 2024 - Klub"/>
    <s v="PL"/>
    <n v="2024"/>
    <n v="24"/>
    <n v="7088"/>
    <n v="1.07"/>
    <n v="6993"/>
    <n v="7483"/>
    <x v="0"/>
    <x v="0"/>
    <s v="ASW 24 WL (354,2kg)"/>
    <s v="LL"/>
    <s v="Není v databázi"/>
    <m/>
  </r>
  <r>
    <x v="844"/>
    <x v="4"/>
    <x v="1"/>
    <x v="55"/>
    <x v="3"/>
    <s v="JWGC 2024 - Klub"/>
    <s v="PL"/>
    <n v="2024"/>
    <n v="25"/>
    <n v="7006"/>
    <n v="1.07"/>
    <n v="6859"/>
    <n v="7339"/>
    <x v="0"/>
    <x v="0"/>
    <s v="ASW 20FL WL (372,0kg)"/>
    <s v="MT"/>
    <s v="Není v databázi"/>
    <m/>
  </r>
  <r>
    <x v="523"/>
    <x v="4"/>
    <x v="1"/>
    <x v="55"/>
    <x v="3"/>
    <s v="JWGC 2024 - Klub"/>
    <s v="PL"/>
    <n v="2024"/>
    <n v="26"/>
    <n v="6814"/>
    <n v="1.07"/>
    <n v="6638"/>
    <n v="7103"/>
    <x v="0"/>
    <x v="0"/>
    <s v="LS4a (330,8kg)"/>
    <s v="AG"/>
    <s v="Není v databázi"/>
    <m/>
  </r>
  <r>
    <x v="535"/>
    <x v="4"/>
    <x v="1"/>
    <x v="55"/>
    <x v="3"/>
    <s v="JWGC 2024 - Klub"/>
    <s v="PL"/>
    <n v="2024"/>
    <n v="27"/>
    <n v="6787"/>
    <n v="1.07"/>
    <n v="6546"/>
    <n v="7004"/>
    <x v="0"/>
    <x v="0"/>
    <s v="Discus b WL (326,0kg)"/>
    <s v="PX"/>
    <s v="Není v databázi"/>
    <m/>
  </r>
  <r>
    <x v="845"/>
    <x v="4"/>
    <x v="1"/>
    <x v="55"/>
    <x v="3"/>
    <s v="JWGC 2024 - Klub"/>
    <s v="PL"/>
    <n v="2024"/>
    <n v="28"/>
    <n v="6628"/>
    <n v="1.07"/>
    <n v="6351"/>
    <n v="6796"/>
    <x v="0"/>
    <x v="0"/>
    <s v="LS4b (362,2kg)"/>
    <s v="VS3"/>
    <s v="Není v databázi"/>
    <m/>
  </r>
  <r>
    <x v="846"/>
    <x v="4"/>
    <x v="1"/>
    <x v="55"/>
    <x v="3"/>
    <s v="JWGC 2024 - Klub"/>
    <s v="PL"/>
    <n v="2024"/>
    <n v="29"/>
    <n v="6586"/>
    <n v="1.07"/>
    <n v="6248"/>
    <n v="6685"/>
    <x v="0"/>
    <x v="0"/>
    <s v="LS4b (352,6kg)"/>
    <s v="6L"/>
    <s v="Není v databázi"/>
    <m/>
  </r>
  <r>
    <x v="847"/>
    <x v="4"/>
    <x v="1"/>
    <x v="55"/>
    <x v="3"/>
    <s v="JWGC 2024 - Klub"/>
    <s v="PL"/>
    <n v="2024"/>
    <n v="30"/>
    <n v="6492"/>
    <n v="1.07"/>
    <n v="6104"/>
    <n v="6531"/>
    <x v="0"/>
    <x v="0"/>
    <s v="ASW 20FL (371,5kg)"/>
    <s v="X11"/>
    <s v="Není v databázi"/>
    <m/>
  </r>
  <r>
    <x v="354"/>
    <x v="4"/>
    <x v="1"/>
    <x v="55"/>
    <x v="3"/>
    <s v="JWGC 2024 - Klub"/>
    <s v="PL"/>
    <n v="2024"/>
    <n v="31"/>
    <n v="6439"/>
    <n v="1.07"/>
    <n v="5993"/>
    <n v="6413"/>
    <x v="0"/>
    <x v="0"/>
    <s v="ASW 19b (382,8kg)"/>
    <s v="DB"/>
    <s v="Není v databázi"/>
    <m/>
  </r>
  <r>
    <x v="848"/>
    <x v="4"/>
    <x v="1"/>
    <x v="55"/>
    <x v="3"/>
    <s v="JWGC 2024 - Klub"/>
    <s v="PL"/>
    <n v="2024"/>
    <n v="32"/>
    <n v="6118"/>
    <n v="1.07"/>
    <n v="5669"/>
    <n v="6066"/>
    <x v="0"/>
    <x v="0"/>
    <s v="ASW 20 (364,4kg)"/>
    <s v="TE"/>
    <s v="Není v databázi"/>
    <m/>
  </r>
  <r>
    <x v="849"/>
    <x v="4"/>
    <x v="1"/>
    <x v="55"/>
    <x v="3"/>
    <s v="JWGC 2024 - Klub"/>
    <s v="PL"/>
    <n v="2024"/>
    <n v="33"/>
    <n v="5929"/>
    <n v="1.07"/>
    <n v="5450"/>
    <n v="5832"/>
    <x v="0"/>
    <x v="0"/>
    <s v="ASW 20L (375,4kg)"/>
    <s v="RD"/>
    <s v="Není v databázi"/>
    <m/>
  </r>
  <r>
    <x v="850"/>
    <x v="4"/>
    <x v="1"/>
    <x v="55"/>
    <x v="3"/>
    <s v="JWGC 2024 - Klub"/>
    <s v="PL"/>
    <n v="2024"/>
    <n v="34"/>
    <n v="5872"/>
    <n v="1.07"/>
    <n v="5335"/>
    <n v="5708"/>
    <x v="0"/>
    <x v="0"/>
    <s v="LS4a (333,6kg)"/>
    <s v="FO"/>
    <s v="Není v databázi"/>
    <m/>
  </r>
  <r>
    <x v="851"/>
    <x v="4"/>
    <x v="1"/>
    <x v="55"/>
    <x v="3"/>
    <s v="JWGC 2024 - Klub"/>
    <s v="PL"/>
    <n v="2024"/>
    <n v="35"/>
    <n v="5756"/>
    <n v="1.07"/>
    <n v="5174"/>
    <n v="5536"/>
    <x v="0"/>
    <x v="0"/>
    <s v="ASW 24b WL (333,2kg)"/>
    <s v="AC"/>
    <s v="Není v databázi"/>
    <m/>
  </r>
  <r>
    <x v="852"/>
    <x v="4"/>
    <x v="1"/>
    <x v="55"/>
    <x v="3"/>
    <s v="JWGC 2024 - Klub"/>
    <s v="PL"/>
    <n v="2024"/>
    <n v="36"/>
    <n v="5719"/>
    <n v="1.07"/>
    <n v="5075"/>
    <n v="5430"/>
    <x v="0"/>
    <x v="0"/>
    <s v="ASW 20F (384,6kg)"/>
    <s v="S3"/>
    <s v="Není v databázi"/>
    <m/>
  </r>
  <r>
    <x v="853"/>
    <x v="4"/>
    <x v="1"/>
    <x v="55"/>
    <x v="3"/>
    <s v="JWGC 2024 - Klub"/>
    <s v="PL"/>
    <n v="2024"/>
    <n v="37"/>
    <n v="5562"/>
    <n v="1.07"/>
    <n v="4881"/>
    <n v="5223"/>
    <x v="0"/>
    <x v="0"/>
    <s v="Discus T WL (347,6kg)"/>
    <s v="DW"/>
    <s v="Není v databázi"/>
    <m/>
  </r>
  <r>
    <x v="553"/>
    <x v="4"/>
    <x v="1"/>
    <x v="55"/>
    <x v="3"/>
    <s v="JWGC 2024 - Klub"/>
    <s v="PL"/>
    <n v="2024"/>
    <n v="38"/>
    <n v="5325"/>
    <n v="1.07"/>
    <n v="4624"/>
    <n v="4948"/>
    <x v="0"/>
    <x v="0"/>
    <s v="LS4b neo WL (363,8kg)"/>
    <s v="C5"/>
    <s v="Není v databázi"/>
    <m/>
  </r>
  <r>
    <x v="854"/>
    <x v="4"/>
    <x v="1"/>
    <x v="55"/>
    <x v="3"/>
    <s v="JWGC 2024 - Klub"/>
    <s v="PL"/>
    <n v="2024"/>
    <n v="39"/>
    <n v="5263"/>
    <n v="1.07"/>
    <n v="4506"/>
    <n v="4821"/>
    <x v="0"/>
    <x v="0"/>
    <s v="LS3 (373,2kg)"/>
    <s v="IL"/>
    <s v="Není v databázi"/>
    <m/>
  </r>
  <r>
    <x v="855"/>
    <x v="4"/>
    <x v="1"/>
    <x v="55"/>
    <x v="3"/>
    <s v="JWGC 2024 - Klub"/>
    <s v="PL"/>
    <n v="2024"/>
    <n v="40"/>
    <n v="5118"/>
    <n v="1.07"/>
    <n v="4321"/>
    <n v="4623"/>
    <x v="0"/>
    <x v="0"/>
    <s v="LS3a (338,2kg)"/>
    <s v="QT"/>
    <s v="Není v databázi"/>
    <m/>
  </r>
  <r>
    <x v="856"/>
    <x v="4"/>
    <x v="1"/>
    <x v="55"/>
    <x v="3"/>
    <s v="JWGC 2024 - Klub"/>
    <s v="PL"/>
    <n v="2024"/>
    <n v="41"/>
    <n v="3469"/>
    <n v="1.07"/>
    <n v="2949"/>
    <n v="3155"/>
    <x v="0"/>
    <x v="0"/>
    <s v="LS4 (315,2kg)"/>
    <s v="LG"/>
    <s v="Není v databázi"/>
    <m/>
  </r>
  <r>
    <x v="857"/>
    <x v="4"/>
    <x v="1"/>
    <x v="55"/>
    <x v="3"/>
    <s v="JWGC 2024 - Klub"/>
    <s v="PL"/>
    <n v="2024"/>
    <n v="42"/>
    <n v="2163"/>
    <n v="1.07"/>
    <n v="1848"/>
    <n v="1977"/>
    <x v="0"/>
    <x v="0"/>
    <s v="LS1f neo WL (341,2kg)"/>
    <s v="7W"/>
    <s v="Není v databázi"/>
    <m/>
  </r>
  <r>
    <x v="25"/>
    <x v="17"/>
    <x v="0"/>
    <x v="17"/>
    <x v="0"/>
    <s v="JWGC 2024 - Klub"/>
    <s v="PL"/>
    <n v="2024"/>
    <n v="43"/>
    <n v="1480"/>
    <n v="1.07"/>
    <n v="1239"/>
    <n v="1326"/>
    <x v="1"/>
    <x v="0"/>
    <s v="ASW 20 (363,7kg)"/>
    <s v="A3"/>
    <s v=""/>
    <m/>
  </r>
  <r>
    <x v="686"/>
    <x v="4"/>
    <x v="1"/>
    <x v="55"/>
    <x v="3"/>
    <s v="JWGC 2024 - Klub"/>
    <s v="PL"/>
    <n v="2024"/>
    <n v="44"/>
    <n v="639"/>
    <n v="1.07"/>
    <n v="505"/>
    <n v="540"/>
    <x v="0"/>
    <x v="0"/>
    <s v="ASW 20L (361,9kg)"/>
    <s v="LD"/>
    <s v="Není v databázi"/>
    <m/>
  </r>
  <r>
    <x v="858"/>
    <x v="4"/>
    <x v="1"/>
    <x v="55"/>
    <x v="3"/>
    <s v="JWGC 2024 - Std"/>
    <s v="PL"/>
    <n v="2024"/>
    <n v="1"/>
    <n v="8175"/>
    <n v="1.0900000000000001"/>
    <n v="10000"/>
    <n v="10900"/>
    <x v="0"/>
    <x v="0"/>
    <s v="LS8"/>
    <s v="AR"/>
    <s v="Není v databázi"/>
    <m/>
  </r>
  <r>
    <x v="859"/>
    <x v="4"/>
    <x v="1"/>
    <x v="55"/>
    <x v="3"/>
    <s v="JWGC 2024 - Std"/>
    <s v="PL"/>
    <n v="2024"/>
    <n v="2"/>
    <n v="8114"/>
    <n v="1.0900000000000001"/>
    <n v="9811"/>
    <n v="10694"/>
    <x v="0"/>
    <x v="0"/>
    <s v="Discus 2a"/>
    <s v="GX"/>
    <s v="Není v databázi"/>
    <m/>
  </r>
  <r>
    <x v="860"/>
    <x v="4"/>
    <x v="1"/>
    <x v="55"/>
    <x v="3"/>
    <s v="JWGC 2024 - Std"/>
    <s v="PL"/>
    <n v="2024"/>
    <n v="3"/>
    <n v="8007"/>
    <n v="1.0900000000000001"/>
    <n v="9583"/>
    <n v="10445"/>
    <x v="0"/>
    <x v="0"/>
    <s v="LS8"/>
    <s v="PI"/>
    <s v="Není v databázi"/>
    <m/>
  </r>
  <r>
    <x v="613"/>
    <x v="4"/>
    <x v="1"/>
    <x v="55"/>
    <x v="3"/>
    <s v="JWGC 2024 - Std"/>
    <s v="PL"/>
    <n v="2024"/>
    <n v="4"/>
    <n v="7947"/>
    <n v="1.0900000000000001"/>
    <n v="9396"/>
    <n v="10242"/>
    <x v="0"/>
    <x v="0"/>
    <s v="LS8"/>
    <s v="BY"/>
    <s v="Není v databázi"/>
    <m/>
  </r>
  <r>
    <x v="513"/>
    <x v="4"/>
    <x v="1"/>
    <x v="55"/>
    <x v="3"/>
    <s v="JWGC 2024 - Std"/>
    <s v="PL"/>
    <n v="2024"/>
    <n v="5"/>
    <n v="7920"/>
    <n v="1.0900000000000001"/>
    <n v="9236"/>
    <n v="10067"/>
    <x v="0"/>
    <x v="0"/>
    <s v="LS8"/>
    <s v="LOT"/>
    <s v="Není v databázi"/>
    <m/>
  </r>
  <r>
    <x v="149"/>
    <x v="4"/>
    <x v="1"/>
    <x v="55"/>
    <x v="3"/>
    <s v="JWGC 2024 - Std"/>
    <s v="PL"/>
    <n v="2024"/>
    <n v="6"/>
    <n v="7897"/>
    <n v="1.0900000000000001"/>
    <n v="9080"/>
    <n v="9897"/>
    <x v="0"/>
    <x v="0"/>
    <s v="LS8"/>
    <s v="ZZ"/>
    <s v="Není v databázi"/>
    <m/>
  </r>
  <r>
    <x v="798"/>
    <x v="4"/>
    <x v="1"/>
    <x v="55"/>
    <x v="3"/>
    <s v="JWGC 2024 - Std"/>
    <s v="PL"/>
    <n v="2024"/>
    <n v="6"/>
    <n v="7897"/>
    <n v="1.0900000000000001"/>
    <n v="9080"/>
    <n v="9897"/>
    <x v="0"/>
    <x v="0"/>
    <s v="LS8"/>
    <n v="95"/>
    <s v="Není v databázi"/>
    <m/>
  </r>
  <r>
    <x v="861"/>
    <x v="4"/>
    <x v="1"/>
    <x v="55"/>
    <x v="3"/>
    <s v="JWGC 2024 - Std"/>
    <s v="PL"/>
    <n v="2024"/>
    <n v="8"/>
    <n v="7880"/>
    <n v="1.0900000000000001"/>
    <n v="8793"/>
    <n v="9584"/>
    <x v="0"/>
    <x v="0"/>
    <s v="LS8"/>
    <s v="KS"/>
    <s v="Není v databázi"/>
    <m/>
  </r>
  <r>
    <x v="137"/>
    <x v="48"/>
    <x v="0"/>
    <x v="15"/>
    <x v="1"/>
    <s v="JWGC 2024 - Std"/>
    <s v="PL"/>
    <n v="2024"/>
    <n v="9"/>
    <n v="7798"/>
    <n v="1.0900000000000001"/>
    <n v="8586"/>
    <n v="9359"/>
    <x v="1"/>
    <x v="0"/>
    <s v="LS8"/>
    <s v="EU"/>
    <s v=""/>
    <m/>
  </r>
  <r>
    <x v="3"/>
    <x v="3"/>
    <x v="0"/>
    <x v="3"/>
    <x v="2"/>
    <s v="JWGC 2024 - Std"/>
    <s v="PL"/>
    <n v="2024"/>
    <n v="10"/>
    <n v="7761"/>
    <n v="1.0900000000000001"/>
    <n v="8418"/>
    <n v="9176"/>
    <x v="0"/>
    <x v="0"/>
    <s v="LS8"/>
    <s v="AU1"/>
    <s v="Junior v roce 2026"/>
    <m/>
  </r>
  <r>
    <x v="538"/>
    <x v="4"/>
    <x v="1"/>
    <x v="55"/>
    <x v="3"/>
    <s v="JWGC 2024 - Std"/>
    <s v="PL"/>
    <n v="2024"/>
    <n v="11"/>
    <n v="7711"/>
    <n v="1.0900000000000001"/>
    <n v="8239"/>
    <n v="8981"/>
    <x v="0"/>
    <x v="0"/>
    <s v="LS8"/>
    <s v="EC"/>
    <s v="Není v databázi"/>
    <m/>
  </r>
  <r>
    <x v="862"/>
    <x v="4"/>
    <x v="1"/>
    <x v="55"/>
    <x v="3"/>
    <s v="JWGC 2024 - Std"/>
    <s v="PL"/>
    <n v="2024"/>
    <n v="12"/>
    <n v="7677"/>
    <n v="1.0900000000000001"/>
    <n v="8074"/>
    <n v="8801"/>
    <x v="0"/>
    <x v="0"/>
    <s v="LS8e neo"/>
    <n v="71"/>
    <s v="Není v databázi"/>
    <m/>
  </r>
  <r>
    <x v="514"/>
    <x v="4"/>
    <x v="1"/>
    <x v="55"/>
    <x v="3"/>
    <s v="JWGC 2024 - Std"/>
    <s v="PL"/>
    <n v="2024"/>
    <n v="13"/>
    <n v="7550"/>
    <n v="1.0900000000000001"/>
    <n v="7828"/>
    <n v="8533"/>
    <x v="0"/>
    <x v="0"/>
    <s v="Discus 2a"/>
    <s v="Y"/>
    <s v="Není v databázi"/>
    <m/>
  </r>
  <r>
    <x v="540"/>
    <x v="4"/>
    <x v="1"/>
    <x v="55"/>
    <x v="3"/>
    <s v="JWGC 2024 - Std"/>
    <s v="PL"/>
    <n v="2024"/>
    <n v="14"/>
    <n v="7478"/>
    <n v="1.0900000000000001"/>
    <n v="7630"/>
    <n v="8317"/>
    <x v="0"/>
    <x v="0"/>
    <s v="LS8 neo"/>
    <s v="VNE"/>
    <s v="Není v databázi"/>
    <m/>
  </r>
  <r>
    <x v="53"/>
    <x v="34"/>
    <x v="2"/>
    <x v="2"/>
    <x v="0"/>
    <s v="JWGC 2024 - Std"/>
    <s v="PL"/>
    <n v="2024"/>
    <n v="15"/>
    <n v="7421"/>
    <n v="1.0900000000000001"/>
    <n v="7445"/>
    <n v="8115"/>
    <x v="1"/>
    <x v="0"/>
    <s v="LS8"/>
    <s v="W8"/>
    <s v="Junior v roce 2026"/>
    <m/>
  </r>
  <r>
    <x v="863"/>
    <x v="4"/>
    <x v="1"/>
    <x v="55"/>
    <x v="3"/>
    <s v="JWGC 2024 - Std"/>
    <s v="PL"/>
    <n v="2024"/>
    <n v="16"/>
    <n v="7341"/>
    <n v="1.0900000000000001"/>
    <n v="7240"/>
    <n v="7892"/>
    <x v="0"/>
    <x v="0"/>
    <s v="Discus 2a"/>
    <s v="VN1"/>
    <s v="Není v databázi"/>
    <m/>
  </r>
  <r>
    <x v="864"/>
    <x v="4"/>
    <x v="1"/>
    <x v="55"/>
    <x v="3"/>
    <s v="JWGC 2024 - Std"/>
    <s v="PL"/>
    <n v="2024"/>
    <n v="17"/>
    <n v="7273"/>
    <n v="1.0900000000000001"/>
    <n v="7046"/>
    <n v="7680"/>
    <x v="0"/>
    <x v="0"/>
    <s v="LS8"/>
    <s v="FX"/>
    <s v="Není v databázi"/>
    <m/>
  </r>
  <r>
    <x v="539"/>
    <x v="4"/>
    <x v="1"/>
    <x v="55"/>
    <x v="3"/>
    <s v="JWGC 2024 - Std"/>
    <s v="PL"/>
    <n v="2024"/>
    <n v="18"/>
    <n v="7258"/>
    <n v="1.0900000000000001"/>
    <n v="6897"/>
    <n v="7518"/>
    <x v="0"/>
    <x v="0"/>
    <s v="Discus 2a"/>
    <s v="MK"/>
    <s v="Není v databázi"/>
    <m/>
  </r>
  <r>
    <x v="154"/>
    <x v="4"/>
    <x v="1"/>
    <x v="55"/>
    <x v="3"/>
    <s v="JWGC 2024 - Std"/>
    <s v="PL"/>
    <n v="2024"/>
    <n v="19"/>
    <n v="7043"/>
    <n v="1.0900000000000001"/>
    <n v="6576"/>
    <n v="7168"/>
    <x v="0"/>
    <x v="0"/>
    <s v="Discus-2a"/>
    <s v="AX"/>
    <s v="Není v databázi"/>
    <m/>
  </r>
  <r>
    <x v="865"/>
    <x v="4"/>
    <x v="1"/>
    <x v="55"/>
    <x v="3"/>
    <s v="JWGC 2024 - Std"/>
    <s v="PL"/>
    <n v="2024"/>
    <n v="20"/>
    <n v="7015"/>
    <n v="1.0900000000000001"/>
    <n v="6416"/>
    <n v="6993"/>
    <x v="0"/>
    <x v="0"/>
    <s v="LS8 neo 15m"/>
    <s v="VK"/>
    <s v="Není v databázi"/>
    <m/>
  </r>
  <r>
    <x v="525"/>
    <x v="4"/>
    <x v="1"/>
    <x v="55"/>
    <x v="3"/>
    <s v="JWGC 2024 - Std"/>
    <s v="PL"/>
    <n v="2024"/>
    <n v="21"/>
    <n v="6720"/>
    <n v="1.0900000000000001"/>
    <n v="6027"/>
    <n v="6569"/>
    <x v="0"/>
    <x v="0"/>
    <s v="LS8"/>
    <s v="MG"/>
    <s v="Není v databázi"/>
    <m/>
  </r>
  <r>
    <x v="866"/>
    <x v="4"/>
    <x v="1"/>
    <x v="55"/>
    <x v="3"/>
    <s v="JWGC 2024 - Std"/>
    <s v="PL"/>
    <n v="2024"/>
    <n v="22"/>
    <n v="6641"/>
    <n v="1.0900000000000001"/>
    <n v="5823"/>
    <n v="6347"/>
    <x v="0"/>
    <x v="0"/>
    <s v="LS8"/>
    <s v="B"/>
    <s v="Není v databázi"/>
    <m/>
  </r>
  <r>
    <x v="867"/>
    <x v="4"/>
    <x v="1"/>
    <x v="55"/>
    <x v="3"/>
    <s v="JWGC 2024 - Std"/>
    <s v="PL"/>
    <n v="2024"/>
    <n v="23"/>
    <n v="6556"/>
    <n v="1.0900000000000001"/>
    <n v="5614"/>
    <n v="6119"/>
    <x v="0"/>
    <x v="0"/>
    <s v="Discus 2a"/>
    <s v="I"/>
    <s v="Není v databázi"/>
    <m/>
  </r>
  <r>
    <x v="845"/>
    <x v="4"/>
    <x v="1"/>
    <x v="55"/>
    <x v="3"/>
    <s v="Pribina Cup 2024 - Klub"/>
    <s v="SK"/>
    <n v="2024"/>
    <n v="1"/>
    <n v="3359"/>
    <n v="0.91500000000000004"/>
    <n v="10000"/>
    <n v="9150"/>
    <x v="0"/>
    <x v="0"/>
    <s v="LS 4"/>
    <s v="VS3"/>
    <s v="Není v databázi"/>
    <m/>
  </r>
  <r>
    <x v="868"/>
    <x v="4"/>
    <x v="1"/>
    <x v="55"/>
    <x v="3"/>
    <s v="Pribina Cup 2024 - Klub"/>
    <s v="SK"/>
    <n v="2024"/>
    <n v="2"/>
    <n v="3349"/>
    <n v="0.91500000000000004"/>
    <n v="9679"/>
    <n v="8856"/>
    <x v="0"/>
    <x v="0"/>
    <s v="LS 4"/>
    <s v="M2"/>
    <s v="Není v databázi"/>
    <m/>
  </r>
  <r>
    <x v="850"/>
    <x v="4"/>
    <x v="1"/>
    <x v="232"/>
    <x v="3"/>
    <s v="Pribina Cup 2024 - Klub"/>
    <s v="SK"/>
    <n v="2024"/>
    <n v="3"/>
    <n v="3200"/>
    <n v="0.91500000000000004"/>
    <n v="9069"/>
    <n v="8298"/>
    <x v="0"/>
    <x v="0"/>
    <s v="LS 4"/>
    <s v="FO"/>
    <s v="Není v databázi"/>
    <m/>
  </r>
  <r>
    <x v="7"/>
    <x v="6"/>
    <x v="0"/>
    <x v="7"/>
    <x v="2"/>
    <s v="Pribina Cup 2024 - Klub"/>
    <s v="SK"/>
    <n v="2024"/>
    <n v="4"/>
    <n v="2913"/>
    <n v="0.91500000000000004"/>
    <n v="8171"/>
    <n v="7476"/>
    <x v="0"/>
    <x v="0"/>
    <s v="ASW 20"/>
    <s v="LL"/>
    <s v=""/>
    <m/>
  </r>
  <r>
    <x v="869"/>
    <x v="4"/>
    <x v="1"/>
    <x v="55"/>
    <x v="3"/>
    <s v="Pribina Cup 2024 - Klub"/>
    <s v="SK"/>
    <n v="2024"/>
    <n v="5"/>
    <n v="2671"/>
    <n v="0.91500000000000004"/>
    <n v="7366"/>
    <n v="6740"/>
    <x v="0"/>
    <x v="0"/>
    <s v="Std. Libelle"/>
    <n v="109"/>
    <s v="Není v databázi"/>
    <m/>
  </r>
  <r>
    <x v="870"/>
    <x v="4"/>
    <x v="1"/>
    <x v="55"/>
    <x v="3"/>
    <s v="Pribina Cup 2024 - Klub"/>
    <s v="SK"/>
    <n v="2024"/>
    <n v="6"/>
    <n v="2467"/>
    <n v="0.91500000000000004"/>
    <n v="6641"/>
    <n v="6077"/>
    <x v="0"/>
    <x v="0"/>
    <s v="DG 400 17m"/>
    <n v="400"/>
    <s v="Není v databázi"/>
    <m/>
  </r>
  <r>
    <x v="871"/>
    <x v="4"/>
    <x v="1"/>
    <x v="55"/>
    <x v="3"/>
    <s v="Pribina Cup 2024 - Klub"/>
    <s v="SK"/>
    <n v="2024"/>
    <n v="7"/>
    <n v="2267"/>
    <n v="0.91500000000000004"/>
    <n v="5924"/>
    <n v="5420"/>
    <x v="0"/>
    <x v="0"/>
    <s v="Pegase C-101A"/>
    <s v="J7"/>
    <s v="Není v databázi"/>
    <m/>
  </r>
  <r>
    <x v="872"/>
    <x v="4"/>
    <x v="1"/>
    <x v="233"/>
    <x v="3"/>
    <s v="Pribina Cup 2024 - Klub"/>
    <s v="SK"/>
    <n v="2024"/>
    <n v="8"/>
    <n v="1400"/>
    <n v="0.91500000000000004"/>
    <n v="3818"/>
    <n v="3493"/>
    <x v="0"/>
    <x v="0"/>
    <s v="Std. Cirrus"/>
    <s v="NM"/>
    <s v="Není v databázi"/>
    <m/>
  </r>
  <r>
    <x v="143"/>
    <x v="4"/>
    <x v="1"/>
    <x v="55"/>
    <x v="3"/>
    <s v="Pribina Cup 2024 - Klub"/>
    <s v="SK"/>
    <n v="2024"/>
    <n v="9"/>
    <n v="1222"/>
    <n v="0.91500000000000004"/>
    <n v="3147"/>
    <n v="2880"/>
    <x v="0"/>
    <x v="0"/>
    <s v="Pegase C-101A"/>
    <s v="EB"/>
    <s v="Není v databázi"/>
    <m/>
  </r>
  <r>
    <x v="873"/>
    <x v="4"/>
    <x v="1"/>
    <x v="43"/>
    <x v="3"/>
    <s v="Pribina Cup 2024 - Klub"/>
    <s v="SK"/>
    <n v="2024"/>
    <n v="10"/>
    <n v="810"/>
    <n v="0.91500000000000004"/>
    <n v="1988"/>
    <n v="1819"/>
    <x v="0"/>
    <x v="0"/>
    <s v="Pegase C-101A"/>
    <s v="J2"/>
    <s v="Není v databázi"/>
    <m/>
  </r>
  <r>
    <x v="874"/>
    <x v="4"/>
    <x v="1"/>
    <x v="43"/>
    <x v="3"/>
    <s v="Pribina Cup 2024 - Klub"/>
    <s v="SK"/>
    <n v="2024"/>
    <n v="11"/>
    <n v="434"/>
    <n v="0.91500000000000004"/>
    <n v="904"/>
    <n v="827"/>
    <x v="0"/>
    <x v="0"/>
    <s v="LS 6"/>
    <s v="N6"/>
    <s v="Není v databázi"/>
    <m/>
  </r>
  <r>
    <x v="28"/>
    <x v="20"/>
    <x v="0"/>
    <x v="18"/>
    <x v="2"/>
    <s v="Pribina Cup 2024 - Kombi Open"/>
    <s v="SK"/>
    <n v="2024"/>
    <n v="1"/>
    <n v="1943"/>
    <n v="0.95000000000000007"/>
    <n v="10000"/>
    <n v="9500"/>
    <x v="1"/>
    <x v="0"/>
    <s v="AS 33 Es 18m"/>
    <n v="12"/>
    <s v=""/>
    <m/>
  </r>
  <r>
    <x v="343"/>
    <x v="4"/>
    <x v="1"/>
    <x v="55"/>
    <x v="3"/>
    <s v="Pribina Cup 2024 - Kombi Open"/>
    <s v="SK"/>
    <n v="2024"/>
    <n v="2"/>
    <n v="1900"/>
    <n v="0.95000000000000007"/>
    <n v="9695"/>
    <n v="9210"/>
    <x v="0"/>
    <x v="0"/>
    <s v="JS3 T 18m"/>
    <s v="ZB"/>
    <s v="Není v databázi"/>
    <m/>
  </r>
  <r>
    <x v="58"/>
    <x v="21"/>
    <x v="0"/>
    <x v="0"/>
    <x v="0"/>
    <s v="Pribina Cup 2024 - Kombi Open"/>
    <s v="SK"/>
    <n v="2024"/>
    <n v="3"/>
    <n v="1816"/>
    <n v="0.95000000000000007"/>
    <n v="9242"/>
    <n v="8780"/>
    <x v="0"/>
    <x v="0"/>
    <s v="Arcus"/>
    <s v="EY"/>
    <s v=""/>
    <m/>
  </r>
  <r>
    <x v="875"/>
    <x v="25"/>
    <x v="0"/>
    <x v="33"/>
    <x v="2"/>
    <s v="Pribina Cup 2024 - Kombi Open"/>
    <s v="SK"/>
    <n v="2024"/>
    <n v="4"/>
    <n v="1813"/>
    <n v="0.95000000000000007"/>
    <n v="9082"/>
    <n v="8628"/>
    <x v="1"/>
    <x v="0"/>
    <s v="JS3 18m"/>
    <s v="Q1"/>
    <s v=""/>
    <m/>
  </r>
  <r>
    <x v="876"/>
    <x v="4"/>
    <x v="1"/>
    <x v="234"/>
    <x v="3"/>
    <s v="Pribina Cup 2024 - Kombi Open"/>
    <s v="SK"/>
    <n v="2024"/>
    <n v="5"/>
    <n v="1705"/>
    <n v="0.95000000000000007"/>
    <n v="8543"/>
    <n v="8116"/>
    <x v="0"/>
    <x v="0"/>
    <s v="JS3 18m"/>
    <s v="NL"/>
    <s v="Není v databázi"/>
    <m/>
  </r>
  <r>
    <x v="31"/>
    <x v="4"/>
    <x v="1"/>
    <x v="235"/>
    <x v="3"/>
    <s v="Pribina Cup 2024 - Kombi Open"/>
    <s v="SK"/>
    <n v="2024"/>
    <n v="6"/>
    <n v="1688"/>
    <n v="0.95000000000000007"/>
    <n v="8331"/>
    <n v="7914"/>
    <x v="0"/>
    <x v="0"/>
    <s v="JS3 18m"/>
    <n v="3"/>
    <s v="Není v databázi"/>
    <m/>
  </r>
  <r>
    <x v="246"/>
    <x v="31"/>
    <x v="0"/>
    <x v="3"/>
    <x v="2"/>
    <s v="Pribina Cup 2024 - Kombi Open"/>
    <s v="SK"/>
    <n v="2024"/>
    <n v="7"/>
    <n v="1629"/>
    <n v="0.95000000000000007"/>
    <n v="7969"/>
    <n v="7571"/>
    <x v="0"/>
    <x v="0"/>
    <s v="LS 8 18m"/>
    <s v="JW"/>
    <s v=""/>
    <m/>
  </r>
  <r>
    <x v="877"/>
    <x v="4"/>
    <x v="1"/>
    <x v="55"/>
    <x v="3"/>
    <s v="Pribina Cup 2024 - Kombi Open"/>
    <s v="SK"/>
    <n v="2024"/>
    <n v="8"/>
    <n v="1569"/>
    <n v="0.95000000000000007"/>
    <n v="7603"/>
    <n v="7223"/>
    <x v="0"/>
    <x v="0"/>
    <s v="ASG 29 18m"/>
    <s v="29L"/>
    <s v="Není v databázi"/>
    <m/>
  </r>
  <r>
    <x v="38"/>
    <x v="26"/>
    <x v="0"/>
    <x v="21"/>
    <x v="0"/>
    <s v="Pribina Cup 2024 - Kombi Open"/>
    <s v="SK"/>
    <n v="2024"/>
    <n v="9"/>
    <n v="1502"/>
    <n v="0.95000000000000007"/>
    <n v="7211"/>
    <n v="6850"/>
    <x v="0"/>
    <x v="0"/>
    <s v="Ventus 2a"/>
    <s v="AX"/>
    <s v=""/>
    <m/>
  </r>
  <r>
    <x v="42"/>
    <x v="19"/>
    <x v="2"/>
    <x v="24"/>
    <x v="1"/>
    <s v="Pribina Cup 2024 - Kombi Open"/>
    <s v="SK"/>
    <n v="2024"/>
    <n v="10"/>
    <n v="1389"/>
    <n v="0.95000000000000007"/>
    <n v="6654"/>
    <n v="6321"/>
    <x v="0"/>
    <x v="0"/>
    <s v="JS3 18m"/>
    <s v="XM"/>
    <s v=""/>
    <m/>
  </r>
  <r>
    <x v="51"/>
    <x v="16"/>
    <x v="2"/>
    <x v="24"/>
    <x v="1"/>
    <s v="Pribina Cup 2024 - Kombi Open"/>
    <s v="SK"/>
    <n v="2024"/>
    <n v="11"/>
    <n v="1350"/>
    <n v="0.95000000000000007"/>
    <n v="6364"/>
    <n v="6046"/>
    <x v="0"/>
    <x v="0"/>
    <s v="LS 8 18m"/>
    <s v="W8"/>
    <s v=""/>
    <m/>
  </r>
  <r>
    <x v="351"/>
    <x v="4"/>
    <x v="1"/>
    <x v="55"/>
    <x v="3"/>
    <s v="Pribina Cup 2024 - Kombi Open"/>
    <s v="SK"/>
    <n v="2024"/>
    <n v="12"/>
    <n v="1347"/>
    <n v="0.95000000000000007"/>
    <n v="6203"/>
    <n v="5893"/>
    <x v="0"/>
    <x v="0"/>
    <s v="AS 33 Es 18m"/>
    <s v="GPS"/>
    <s v="Není v databázi"/>
    <m/>
  </r>
  <r>
    <x v="565"/>
    <x v="4"/>
    <x v="1"/>
    <x v="236"/>
    <x v="3"/>
    <s v="Pribina Cup 2024 - Kombi Open"/>
    <s v="SK"/>
    <n v="2024"/>
    <n v="13"/>
    <n v="1321"/>
    <n v="0.95000000000000007"/>
    <n v="5959"/>
    <n v="5661"/>
    <x v="0"/>
    <x v="0"/>
    <s v="Duo Discus"/>
    <s v="LF"/>
    <s v="Není v databázi"/>
    <m/>
  </r>
  <r>
    <x v="657"/>
    <x v="4"/>
    <x v="1"/>
    <x v="237"/>
    <x v="3"/>
    <s v="Pribina Cup 2024 - Kombi Open"/>
    <s v="SK"/>
    <n v="2024"/>
    <n v="14"/>
    <n v="1279"/>
    <n v="0.95000000000000007"/>
    <n v="5658"/>
    <n v="5375"/>
    <x v="0"/>
    <x v="0"/>
    <s v="JS1C 21m"/>
    <s v="LI"/>
    <s v="Není v databázi"/>
    <m/>
  </r>
  <r>
    <x v="356"/>
    <x v="4"/>
    <x v="1"/>
    <x v="55"/>
    <x v="3"/>
    <s v="Pribina Cup 2024 - Kombi Open"/>
    <s v="SK"/>
    <n v="2024"/>
    <n v="15"/>
    <n v="1230"/>
    <n v="0.95000000000000007"/>
    <n v="5331"/>
    <n v="5064"/>
    <x v="0"/>
    <x v="0"/>
    <s v="ASW 22 BLE"/>
    <s v="BY"/>
    <s v="Není v databázi"/>
    <m/>
  </r>
  <r>
    <x v="32"/>
    <x v="14"/>
    <x v="0"/>
    <x v="21"/>
    <x v="0"/>
    <s v="Pribina Cup 2024 - Kombi Open"/>
    <s v="SK"/>
    <n v="2024"/>
    <n v="16"/>
    <n v="1226"/>
    <n v="0.95000000000000007"/>
    <n v="5167"/>
    <n v="4909"/>
    <x v="0"/>
    <x v="0"/>
    <s v="ASG 29/18m"/>
    <s v="QZ"/>
    <s v=""/>
    <m/>
  </r>
  <r>
    <x v="878"/>
    <x v="4"/>
    <x v="1"/>
    <x v="55"/>
    <x v="3"/>
    <s v="Pribina Cup 2024 - Kombi Open"/>
    <s v="SK"/>
    <n v="2024"/>
    <n v="17"/>
    <n v="1122"/>
    <n v="0.95000000000000007"/>
    <n v="4642"/>
    <n v="4410"/>
    <x v="0"/>
    <x v="0"/>
    <s v="DG 1000T 20m"/>
    <s v="NIT"/>
    <s v="Není v databázi"/>
    <m/>
  </r>
  <r>
    <x v="775"/>
    <x v="4"/>
    <x v="1"/>
    <x v="55"/>
    <x v="3"/>
    <s v="Pribina Cup 2024 - Kombi Open"/>
    <s v="SK"/>
    <n v="2024"/>
    <n v="18"/>
    <n v="1073"/>
    <n v="0.95000000000000007"/>
    <n v="4316"/>
    <n v="4100"/>
    <x v="0"/>
    <x v="0"/>
    <s v="Ventus 3F 18m"/>
    <s v="3F"/>
    <s v="Není v databázi"/>
    <m/>
  </r>
  <r>
    <x v="879"/>
    <x v="4"/>
    <x v="1"/>
    <x v="55"/>
    <x v="3"/>
    <s v="Pribina Cup 2024 - Kombi Open"/>
    <s v="SK"/>
    <n v="2024"/>
    <n v="19"/>
    <n v="674"/>
    <n v="0.95000000000000007"/>
    <n v="2728"/>
    <n v="2592"/>
    <x v="0"/>
    <x v="0"/>
    <s v="Antares 18T"/>
    <s v="BT"/>
    <s v="Není v databázi"/>
    <m/>
  </r>
  <r>
    <x v="880"/>
    <x v="4"/>
    <x v="1"/>
    <x v="238"/>
    <x v="3"/>
    <s v="Pribina Cup 2024 - Kombi Open"/>
    <s v="SK"/>
    <n v="2024"/>
    <n v="20"/>
    <n v="399"/>
    <n v="0.95000000000000007"/>
    <n v="1587"/>
    <n v="1508"/>
    <x v="0"/>
    <x v="0"/>
    <s v="HpH 304 TS Twin Shark"/>
    <s v="HPX"/>
    <s v="Není v databázi"/>
    <m/>
  </r>
  <r>
    <x v="367"/>
    <x v="4"/>
    <x v="1"/>
    <x v="239"/>
    <x v="3"/>
    <s v="Pribina Cup 2024 - Kombi Open"/>
    <s v="SK"/>
    <n v="2024"/>
    <n v="21"/>
    <n v="0"/>
    <n v="0.95000000000000007"/>
    <n v="0"/>
    <n v="0"/>
    <x v="0"/>
    <x v="0"/>
    <s v="ASG 29/18m"/>
    <s v="BB"/>
    <s v="Není v databázi"/>
    <m/>
  </r>
  <r>
    <x v="526"/>
    <x v="4"/>
    <x v="1"/>
    <x v="55"/>
    <x v="3"/>
    <s v="Fatraglide 2024 - Klub"/>
    <s v="SK"/>
    <n v="2024"/>
    <n v="1"/>
    <n v="4689"/>
    <n v="0.76500000000000001"/>
    <n v="10000"/>
    <n v="7650"/>
    <x v="0"/>
    <x v="0"/>
    <s v="SZD-55"/>
    <s v="JB"/>
    <s v="Není v databázi"/>
    <m/>
  </r>
  <r>
    <x v="881"/>
    <x v="4"/>
    <x v="1"/>
    <x v="55"/>
    <x v="3"/>
    <s v="Fatraglide 2024 - Klub"/>
    <s v="SK"/>
    <n v="2024"/>
    <n v="2"/>
    <n v="4527"/>
    <n v="0.76500000000000001"/>
    <n v="9651"/>
    <n v="7383"/>
    <x v="0"/>
    <x v="0"/>
    <s v="ASW 20"/>
    <s v="S"/>
    <s v="Není v databázi"/>
    <m/>
  </r>
  <r>
    <x v="511"/>
    <x v="4"/>
    <x v="1"/>
    <x v="55"/>
    <x v="3"/>
    <s v="Fatraglide 2024 - Klub"/>
    <s v="SK"/>
    <n v="2024"/>
    <n v="3"/>
    <n v="4486"/>
    <n v="0.76500000000000001"/>
    <n v="9483"/>
    <n v="7254"/>
    <x v="0"/>
    <x v="0"/>
    <s v="ASW 24 WL"/>
    <s v="CK"/>
    <s v="Není v databázi"/>
    <m/>
  </r>
  <r>
    <x v="882"/>
    <x v="4"/>
    <x v="1"/>
    <x v="55"/>
    <x v="3"/>
    <s v="Fatraglide 2024 - Klub"/>
    <s v="SK"/>
    <n v="2024"/>
    <n v="4"/>
    <n v="4451"/>
    <n v="0.76500000000000001"/>
    <n v="9323"/>
    <n v="7132"/>
    <x v="0"/>
    <x v="0"/>
    <s v="ASW-20"/>
    <s v="MP"/>
    <s v="Není v databázi"/>
    <m/>
  </r>
  <r>
    <x v="671"/>
    <x v="4"/>
    <x v="1"/>
    <x v="55"/>
    <x v="3"/>
    <s v="Fatraglide 2024 - Klub"/>
    <s v="SK"/>
    <n v="2024"/>
    <n v="5"/>
    <n v="4416"/>
    <n v="0.76500000000000001"/>
    <n v="9164"/>
    <n v="7010"/>
    <x v="0"/>
    <x v="0"/>
    <s v="ASW 20"/>
    <s v="IKW"/>
    <s v="Není v databázi"/>
    <m/>
  </r>
  <r>
    <x v="883"/>
    <x v="4"/>
    <x v="1"/>
    <x v="55"/>
    <x v="3"/>
    <s v="Fatraglide 2024 - Klub"/>
    <s v="SK"/>
    <n v="2024"/>
    <n v="6"/>
    <n v="4326"/>
    <n v="0.76500000000000001"/>
    <n v="8922"/>
    <n v="6825"/>
    <x v="0"/>
    <x v="0"/>
    <s v="LS 1-f"/>
    <s v="MF"/>
    <s v="Není v databázi"/>
    <m/>
  </r>
  <r>
    <x v="884"/>
    <x v="4"/>
    <x v="1"/>
    <x v="55"/>
    <x v="3"/>
    <s v="Fatraglide 2024 - Klub"/>
    <s v="SK"/>
    <n v="2024"/>
    <n v="7"/>
    <n v="4244"/>
    <n v="0.76500000000000001"/>
    <n v="8693"/>
    <n v="6650"/>
    <x v="0"/>
    <x v="0"/>
    <s v="Jantar STD 2"/>
    <s v="LZ"/>
    <s v="Není v databázi"/>
    <m/>
  </r>
  <r>
    <x v="372"/>
    <x v="5"/>
    <x v="0"/>
    <x v="0"/>
    <x v="0"/>
    <s v="Fatraglide 2024 - Klub"/>
    <s v="SK"/>
    <n v="2024"/>
    <n v="8"/>
    <n v="4106"/>
    <n v="0.76500000000000001"/>
    <n v="8380"/>
    <n v="6411"/>
    <x v="1"/>
    <x v="0"/>
    <s v="ASW 20A WL"/>
    <s v="WX"/>
    <s v=""/>
    <m/>
  </r>
  <r>
    <x v="374"/>
    <x v="4"/>
    <x v="1"/>
    <x v="55"/>
    <x v="3"/>
    <s v="Fatraglide 2024 - Klub"/>
    <s v="SK"/>
    <n v="2024"/>
    <n v="9"/>
    <n v="3949"/>
    <n v="0.76500000000000001"/>
    <n v="8038"/>
    <n v="6149"/>
    <x v="0"/>
    <x v="0"/>
    <s v="ASW 20 C"/>
    <s v="VG"/>
    <s v="Není v databázi"/>
    <m/>
  </r>
  <r>
    <x v="885"/>
    <x v="4"/>
    <x v="1"/>
    <x v="55"/>
    <x v="3"/>
    <s v="Fatraglide 2024 - Klub"/>
    <s v="SK"/>
    <n v="2024"/>
    <n v="10"/>
    <n v="3773"/>
    <n v="0.76500000000000001"/>
    <n v="7668"/>
    <n v="5866"/>
    <x v="0"/>
    <x v="0"/>
    <s v="Jantar STD 2"/>
    <s v="FL"/>
    <s v="Není v databázi"/>
    <m/>
  </r>
  <r>
    <x v="886"/>
    <x v="4"/>
    <x v="1"/>
    <x v="55"/>
    <x v="3"/>
    <s v="Fatraglide 2024 - Klub"/>
    <s v="SK"/>
    <n v="2024"/>
    <n v="11"/>
    <n v="3674"/>
    <n v="0.76500000000000001"/>
    <n v="7413"/>
    <n v="5671"/>
    <x v="0"/>
    <x v="0"/>
    <s v="Jantar STD 3"/>
    <s v="HI"/>
    <s v="Není v databázi"/>
    <m/>
  </r>
  <r>
    <x v="887"/>
    <x v="4"/>
    <x v="1"/>
    <x v="55"/>
    <x v="3"/>
    <s v="Fatraglide 2024 - Klub"/>
    <s v="SK"/>
    <n v="2024"/>
    <n v="12"/>
    <n v="3640"/>
    <n v="0.76500000000000001"/>
    <n v="7255"/>
    <n v="5550"/>
    <x v="0"/>
    <x v="0"/>
    <s v="SZD-48-3M Brawo"/>
    <s v="BI"/>
    <s v="Není v databázi"/>
    <m/>
  </r>
  <r>
    <x v="888"/>
    <x v="4"/>
    <x v="1"/>
    <x v="55"/>
    <x v="3"/>
    <s v="Fatraglide 2024 - Klub"/>
    <s v="SK"/>
    <n v="2024"/>
    <n v="13"/>
    <n v="3358"/>
    <n v="0.76500000000000001"/>
    <n v="6727"/>
    <n v="5146"/>
    <x v="0"/>
    <x v="0"/>
    <s v="ASW 20 WL"/>
    <s v="MT"/>
    <s v="Není v databázi"/>
    <m/>
  </r>
  <r>
    <x v="377"/>
    <x v="4"/>
    <x v="1"/>
    <x v="55"/>
    <x v="3"/>
    <s v="Fatraglide 2024 - Klub"/>
    <s v="SK"/>
    <n v="2024"/>
    <n v="14"/>
    <n v="3099"/>
    <n v="0.76500000000000001"/>
    <n v="6234"/>
    <n v="4769"/>
    <x v="0"/>
    <x v="0"/>
    <s v="C101D Pegase"/>
    <s v="HS"/>
    <s v="Není v databázi"/>
    <m/>
  </r>
  <r>
    <x v="889"/>
    <x v="4"/>
    <x v="1"/>
    <x v="55"/>
    <x v="3"/>
    <s v="Fatraglide 2024 - Klub"/>
    <s v="SK"/>
    <n v="2024"/>
    <n v="15"/>
    <n v="2953"/>
    <n v="0.76500000000000001"/>
    <n v="5908"/>
    <n v="4520"/>
    <x v="0"/>
    <x v="0"/>
    <s v="ASW 20"/>
    <s v="TE"/>
    <s v="Není v databázi"/>
    <m/>
  </r>
  <r>
    <x v="890"/>
    <x v="4"/>
    <x v="1"/>
    <x v="55"/>
    <x v="3"/>
    <s v="Fatraglide 2024 - Klub"/>
    <s v="SK"/>
    <n v="2024"/>
    <n v="16"/>
    <n v="2683"/>
    <n v="0.76500000000000001"/>
    <n v="5398"/>
    <n v="4129"/>
    <x v="0"/>
    <x v="0"/>
    <s v="Jantar STD 3"/>
    <s v="B"/>
    <s v="Není v databázi"/>
    <m/>
  </r>
  <r>
    <x v="383"/>
    <x v="4"/>
    <x v="1"/>
    <x v="55"/>
    <x v="3"/>
    <s v="Fatraglide 2024 - Klub"/>
    <s v="SK"/>
    <n v="2024"/>
    <n v="17"/>
    <n v="2498"/>
    <n v="0.76500000000000001"/>
    <n v="5015"/>
    <n v="3836"/>
    <x v="0"/>
    <x v="0"/>
    <s v="LS 1-f"/>
    <s v="HL"/>
    <s v="Není v databázi"/>
    <m/>
  </r>
  <r>
    <x v="891"/>
    <x v="4"/>
    <x v="1"/>
    <x v="55"/>
    <x v="3"/>
    <s v="Fatraglide 2024 - Klub"/>
    <s v="SK"/>
    <n v="2024"/>
    <n v="18"/>
    <n v="2322"/>
    <n v="0.76500000000000001"/>
    <n v="4645"/>
    <n v="3553"/>
    <x v="0"/>
    <x v="0"/>
    <s v="ASW 15"/>
    <s v="NK"/>
    <s v="Není v databázi"/>
    <m/>
  </r>
  <r>
    <x v="892"/>
    <x v="4"/>
    <x v="1"/>
    <x v="55"/>
    <x v="3"/>
    <s v="Fatraglide 2024 - Klub"/>
    <s v="SK"/>
    <n v="2024"/>
    <n v="19"/>
    <n v="2165"/>
    <n v="0.76500000000000001"/>
    <n v="4303"/>
    <n v="3292"/>
    <x v="0"/>
    <x v="0"/>
    <s v="LS 3"/>
    <s v="AK"/>
    <s v="Není v databázi"/>
    <m/>
  </r>
  <r>
    <x v="376"/>
    <x v="4"/>
    <x v="1"/>
    <x v="55"/>
    <x v="3"/>
    <s v="Fatraglide 2024 - Klub"/>
    <s v="SK"/>
    <n v="2024"/>
    <n v="20"/>
    <n v="1951"/>
    <n v="0.76500000000000001"/>
    <n v="3877"/>
    <n v="2966"/>
    <x v="0"/>
    <x v="0"/>
    <s v="Std. Cirrus"/>
    <s v="CV"/>
    <s v="Není v databázi"/>
    <m/>
  </r>
  <r>
    <x v="380"/>
    <x v="9"/>
    <x v="0"/>
    <x v="8"/>
    <x v="2"/>
    <s v="Fatraglide 2024 - Klub"/>
    <s v="SK"/>
    <n v="2024"/>
    <n v="21"/>
    <n v="1928"/>
    <n v="0.76500000000000001"/>
    <n v="3735"/>
    <n v="2857"/>
    <x v="1"/>
    <x v="0"/>
    <s v="Std. Cirrus"/>
    <s v="A7"/>
    <s v=""/>
    <m/>
  </r>
  <r>
    <x v="382"/>
    <x v="4"/>
    <x v="1"/>
    <x v="55"/>
    <x v="3"/>
    <s v="Fatraglide 2024 - Klub"/>
    <s v="SK"/>
    <n v="2024"/>
    <n v="22"/>
    <n v="1865"/>
    <n v="0.76500000000000001"/>
    <n v="3534"/>
    <n v="2704"/>
    <x v="0"/>
    <x v="0"/>
    <s v="Astir CS Top"/>
    <s v="PC"/>
    <s v="Není v databázi"/>
    <m/>
  </r>
  <r>
    <x v="379"/>
    <x v="4"/>
    <x v="1"/>
    <x v="55"/>
    <x v="3"/>
    <s v="Fatraglide 2024 - Klub"/>
    <s v="SK"/>
    <n v="2024"/>
    <n v="23"/>
    <n v="1833"/>
    <n v="0.76500000000000001"/>
    <n v="3379"/>
    <n v="2585"/>
    <x v="0"/>
    <x v="0"/>
    <s v="Mini nimbus"/>
    <s v="SU"/>
    <s v="Není v databázi"/>
    <m/>
  </r>
  <r>
    <x v="378"/>
    <x v="4"/>
    <x v="1"/>
    <x v="55"/>
    <x v="3"/>
    <s v="Fatraglide 2024 - Klub"/>
    <s v="SK"/>
    <n v="2024"/>
    <n v="24"/>
    <n v="1777"/>
    <n v="0.76500000000000001"/>
    <n v="3189"/>
    <n v="2440"/>
    <x v="0"/>
    <x v="0"/>
    <s v="ASW 19 B"/>
    <s v="A4"/>
    <s v="Není v databázi"/>
    <m/>
  </r>
  <r>
    <x v="893"/>
    <x v="4"/>
    <x v="1"/>
    <x v="55"/>
    <x v="3"/>
    <s v="Fatraglide 2024 - Klub"/>
    <s v="SK"/>
    <n v="2024"/>
    <n v="25"/>
    <n v="1598"/>
    <n v="0.76500000000000001"/>
    <n v="2814"/>
    <n v="2153"/>
    <x v="0"/>
    <x v="0"/>
    <s v="VSO-10"/>
    <s v="M6"/>
    <s v="Není v databázi"/>
    <m/>
  </r>
  <r>
    <x v="894"/>
    <x v="4"/>
    <x v="1"/>
    <x v="55"/>
    <x v="3"/>
    <s v="Fatraglide 2024 - Klub"/>
    <s v="SK"/>
    <n v="2024"/>
    <n v="26"/>
    <n v="1475"/>
    <n v="0.76500000000000001"/>
    <n v="2523"/>
    <n v="1930"/>
    <x v="0"/>
    <x v="0"/>
    <s v="VSO-10"/>
    <s v="M3"/>
    <s v="Není v databázi"/>
    <m/>
  </r>
  <r>
    <x v="384"/>
    <x v="4"/>
    <x v="1"/>
    <x v="55"/>
    <x v="3"/>
    <s v="Fatraglide 2024 - Klub"/>
    <s v="SK"/>
    <n v="2024"/>
    <n v="27"/>
    <n v="1135"/>
    <n v="0.76500000000000001"/>
    <n v="1909"/>
    <n v="1460"/>
    <x v="0"/>
    <x v="0"/>
    <s v="ASW 19 B"/>
    <s v="A1"/>
    <s v="Není v databázi"/>
    <m/>
  </r>
  <r>
    <x v="381"/>
    <x v="4"/>
    <x v="1"/>
    <x v="55"/>
    <x v="3"/>
    <s v="Fatraglide 2024 - Klub"/>
    <s v="SK"/>
    <n v="2024"/>
    <n v="28"/>
    <n v="461"/>
    <n v="0.76500000000000001"/>
    <n v="795"/>
    <n v="608"/>
    <x v="0"/>
    <x v="0"/>
    <s v="LS 4"/>
    <s v="MA"/>
    <s v="Není v databázi"/>
    <m/>
  </r>
  <r>
    <x v="895"/>
    <x v="4"/>
    <x v="1"/>
    <x v="55"/>
    <x v="3"/>
    <s v="Fatraglide 2024 - Klub"/>
    <s v="SK"/>
    <n v="2024"/>
    <n v="29"/>
    <n v="87"/>
    <n v="0.76500000000000001"/>
    <n v="130"/>
    <n v="99"/>
    <x v="0"/>
    <x v="0"/>
    <s v="Std. Cirrus"/>
    <s v="MJ"/>
    <s v="Není v databázi"/>
    <m/>
  </r>
  <r>
    <x v="896"/>
    <x v="4"/>
    <x v="1"/>
    <x v="55"/>
    <x v="3"/>
    <s v="Fatraglide 2024 - Kombi"/>
    <s v="SK"/>
    <n v="2024"/>
    <n v="1"/>
    <n v="4173"/>
    <n v="0.76500000000000001"/>
    <n v="10000"/>
    <n v="7650"/>
    <x v="0"/>
    <x v="0"/>
    <s v="HpH 304MS Shark 18m 600 kg"/>
    <s v="EP"/>
    <s v="Není v databázi"/>
    <m/>
  </r>
  <r>
    <x v="875"/>
    <x v="25"/>
    <x v="0"/>
    <x v="33"/>
    <x v="2"/>
    <s v="Fatraglide 2024 - Kombi"/>
    <s v="SK"/>
    <n v="2024"/>
    <n v="2"/>
    <n v="4070"/>
    <n v="0.76500000000000001"/>
    <n v="9716"/>
    <n v="7433"/>
    <x v="1"/>
    <x v="0"/>
    <s v="JS3 RES 18m"/>
    <s v="Q1"/>
    <s v=""/>
    <m/>
  </r>
  <r>
    <x v="391"/>
    <x v="4"/>
    <x v="1"/>
    <x v="55"/>
    <x v="3"/>
    <s v="Fatraglide 2024 - Kombi"/>
    <s v="SK"/>
    <n v="2024"/>
    <n v="3"/>
    <n v="3711"/>
    <n v="0.76500000000000001"/>
    <n v="9003"/>
    <n v="6887"/>
    <x v="0"/>
    <x v="0"/>
    <s v="JS1-C TJ 21"/>
    <s v="J"/>
    <s v="Není v databázi"/>
    <m/>
  </r>
  <r>
    <x v="357"/>
    <x v="4"/>
    <x v="1"/>
    <x v="55"/>
    <x v="3"/>
    <s v="Fatraglide 2024 - Kombi"/>
    <s v="SK"/>
    <n v="2024"/>
    <n v="4"/>
    <n v="3316"/>
    <n v="0.76500000000000001"/>
    <n v="8229"/>
    <n v="6295"/>
    <x v="0"/>
    <x v="0"/>
    <s v="JS1-CTJ 18 EVO"/>
    <s v="RZ"/>
    <s v="Není v databázi"/>
    <m/>
  </r>
  <r>
    <x v="388"/>
    <x v="4"/>
    <x v="1"/>
    <x v="55"/>
    <x v="3"/>
    <s v="Fatraglide 2024 - Kombi"/>
    <s v="SK"/>
    <n v="2024"/>
    <n v="5"/>
    <n v="3302"/>
    <n v="0.76500000000000001"/>
    <n v="8094"/>
    <n v="6192"/>
    <x v="0"/>
    <x v="0"/>
    <s v="AS 33 Es 18m"/>
    <n v="12"/>
    <s v="Není v databázi"/>
    <m/>
  </r>
  <r>
    <x v="897"/>
    <x v="4"/>
    <x v="1"/>
    <x v="55"/>
    <x v="3"/>
    <s v="Fatraglide 2024 - Kombi"/>
    <s v="SK"/>
    <n v="2024"/>
    <n v="6"/>
    <n v="3235"/>
    <n v="0.76500000000000001"/>
    <n v="7871"/>
    <n v="6021"/>
    <x v="0"/>
    <x v="0"/>
    <s v="Arcus M"/>
    <s v="2P"/>
    <s v="Není v databázi"/>
    <m/>
  </r>
  <r>
    <x v="898"/>
    <x v="4"/>
    <x v="1"/>
    <x v="55"/>
    <x v="3"/>
    <s v="Fatraglide 2024 - Kombi"/>
    <s v="SK"/>
    <n v="2024"/>
    <n v="6"/>
    <n v="3235"/>
    <n v="0.76500000000000001"/>
    <n v="7871"/>
    <n v="6021"/>
    <x v="0"/>
    <x v="0"/>
    <s v="DG 1000T 20m"/>
    <s v="NIT"/>
    <s v="Není v databázi"/>
    <m/>
  </r>
  <r>
    <x v="899"/>
    <x v="4"/>
    <x v="1"/>
    <x v="55"/>
    <x v="3"/>
    <s v="Fatraglide 2024 - Kombi"/>
    <s v="SK"/>
    <n v="2024"/>
    <n v="8"/>
    <n v="3233"/>
    <n v="0.76500000000000001"/>
    <n v="7645"/>
    <n v="5848"/>
    <x v="0"/>
    <x v="0"/>
    <s v="Arcus M"/>
    <s v="CAR"/>
    <s v="Není v databázi"/>
    <m/>
  </r>
  <r>
    <x v="200"/>
    <x v="19"/>
    <x v="0"/>
    <x v="8"/>
    <x v="2"/>
    <s v="Fatraglide 2024 - Kombi"/>
    <s v="SK"/>
    <n v="2024"/>
    <n v="9"/>
    <n v="3173"/>
    <n v="0.76500000000000001"/>
    <n v="7434"/>
    <n v="5687"/>
    <x v="0"/>
    <x v="0"/>
    <s v="Ventus c 17.6m"/>
    <s v="PD"/>
    <s v=""/>
    <m/>
  </r>
  <r>
    <x v="282"/>
    <x v="4"/>
    <x v="1"/>
    <x v="55"/>
    <x v="3"/>
    <s v="Fatraglide 2024 - Kombi"/>
    <s v="SK"/>
    <n v="2024"/>
    <n v="10"/>
    <n v="3100"/>
    <n v="0.76500000000000001"/>
    <n v="7200"/>
    <n v="5508"/>
    <x v="0"/>
    <x v="0"/>
    <s v="Discus 2b"/>
    <s v="DI"/>
    <s v="Není v databázi"/>
    <m/>
  </r>
  <r>
    <x v="900"/>
    <x v="4"/>
    <x v="1"/>
    <x v="55"/>
    <x v="3"/>
    <s v="Fatraglide 2024 - Kombi"/>
    <s v="SK"/>
    <n v="2024"/>
    <n v="11"/>
    <n v="2987"/>
    <n v="0.76500000000000001"/>
    <n v="6899"/>
    <n v="5278"/>
    <x v="0"/>
    <x v="0"/>
    <s v="DG 800 A/B 18m"/>
    <s v="MU"/>
    <s v="Není v databázi"/>
    <m/>
  </r>
  <r>
    <x v="678"/>
    <x v="4"/>
    <x v="1"/>
    <x v="55"/>
    <x v="3"/>
    <s v="Fatraglide 2024 - Kombi"/>
    <s v="SK"/>
    <n v="2024"/>
    <n v="12"/>
    <n v="2971"/>
    <n v="0.76500000000000001"/>
    <n v="6761"/>
    <n v="5172"/>
    <x v="0"/>
    <x v="0"/>
    <s v="ASG 29 E 18m"/>
    <s v="LK"/>
    <s v="Není v databázi"/>
    <m/>
  </r>
  <r>
    <x v="389"/>
    <x v="4"/>
    <x v="1"/>
    <x v="55"/>
    <x v="3"/>
    <s v="Fatraglide 2024 - Kombi"/>
    <s v="SK"/>
    <n v="2024"/>
    <n v="13"/>
    <n v="2931"/>
    <n v="0.76500000000000001"/>
    <n v="6583"/>
    <n v="5036"/>
    <x v="0"/>
    <x v="0"/>
    <s v="Ventus 2cxT 18m 565 kg"/>
    <s v="AI"/>
    <s v="Není v databázi"/>
    <m/>
  </r>
  <r>
    <x v="387"/>
    <x v="4"/>
    <x v="1"/>
    <x v="55"/>
    <x v="3"/>
    <s v="Fatraglide 2024 - Kombi"/>
    <s v="SK"/>
    <n v="2024"/>
    <n v="14"/>
    <n v="2920"/>
    <n v="0.76500000000000001"/>
    <n v="6454"/>
    <n v="4937"/>
    <x v="0"/>
    <x v="0"/>
    <s v="JS3 RES 18m"/>
    <s v="VV"/>
    <s v="Není v databázi"/>
    <m/>
  </r>
  <r>
    <x v="356"/>
    <x v="4"/>
    <x v="1"/>
    <x v="55"/>
    <x v="3"/>
    <s v="Fatraglide 2024 - Kombi"/>
    <s v="SK"/>
    <n v="2024"/>
    <n v="15"/>
    <n v="2882"/>
    <n v="0.76500000000000001"/>
    <n v="6279"/>
    <n v="4803"/>
    <x v="0"/>
    <x v="0"/>
    <s v="ASW 22 BLE 810 kg"/>
    <s v="BY"/>
    <s v="Není v databázi"/>
    <m/>
  </r>
  <r>
    <x v="901"/>
    <x v="4"/>
    <x v="1"/>
    <x v="55"/>
    <x v="3"/>
    <s v="Fatraglide 2024 - Kombi"/>
    <s v="SK"/>
    <n v="2024"/>
    <n v="16"/>
    <n v="2847"/>
    <n v="0.76500000000000001"/>
    <n v="6109"/>
    <n v="4673"/>
    <x v="0"/>
    <x v="0"/>
    <s v="Ventus cT 17,6m"/>
    <s v="TN"/>
    <s v="Není v databázi"/>
    <m/>
  </r>
  <r>
    <x v="217"/>
    <x v="47"/>
    <x v="0"/>
    <x v="38"/>
    <x v="1"/>
    <s v="Fatraglide 2024 - Kombi"/>
    <s v="SK"/>
    <n v="2024"/>
    <n v="17"/>
    <n v="2800"/>
    <n v="0.76500000000000001"/>
    <n v="5919"/>
    <n v="4528"/>
    <x v="0"/>
    <x v="0"/>
    <s v="JS1-BTJ 18m"/>
    <s v="IGC"/>
    <s v=""/>
    <m/>
  </r>
  <r>
    <x v="390"/>
    <x v="4"/>
    <x v="1"/>
    <x v="55"/>
    <x v="3"/>
    <s v="Fatraglide 2024 - Kombi"/>
    <s v="SK"/>
    <n v="2024"/>
    <n v="18"/>
    <n v="2763"/>
    <n v="0.76500000000000001"/>
    <n v="5746"/>
    <n v="4396"/>
    <x v="0"/>
    <x v="0"/>
    <s v="Ventus 2c 18m"/>
    <s v="LN"/>
    <s v="Není v databázi"/>
    <m/>
  </r>
  <r>
    <x v="902"/>
    <x v="4"/>
    <x v="1"/>
    <x v="55"/>
    <x v="3"/>
    <s v="Fatraglide 2024 - Kombi"/>
    <s v="SK"/>
    <n v="2024"/>
    <n v="19"/>
    <n v="2370"/>
    <n v="0.76500000000000001"/>
    <n v="4976"/>
    <n v="3807"/>
    <x v="0"/>
    <x v="0"/>
    <s v="ASG 29 E 18m"/>
    <s v="9E"/>
    <s v="Není v databázi"/>
    <m/>
  </r>
  <r>
    <x v="397"/>
    <x v="4"/>
    <x v="1"/>
    <x v="55"/>
    <x v="3"/>
    <s v="Fatraglide 2024 - Kombi"/>
    <s v="SK"/>
    <n v="2024"/>
    <n v="20"/>
    <n v="2311"/>
    <n v="0.76500000000000001"/>
    <n v="4765"/>
    <n v="3645"/>
    <x v="0"/>
    <x v="0"/>
    <s v="Ventus 2cxT 18m 600"/>
    <s v="MJ1"/>
    <s v="Není v databázi"/>
    <m/>
  </r>
  <r>
    <x v="292"/>
    <x v="4"/>
    <x v="1"/>
    <x v="55"/>
    <x v="3"/>
    <s v="Fatraglide 2024 - Kombi"/>
    <s v="SK"/>
    <n v="2024"/>
    <n v="21"/>
    <n v="2256"/>
    <n v="0.76500000000000001"/>
    <n v="4562"/>
    <n v="3490"/>
    <x v="0"/>
    <x v="0"/>
    <s v="Ventus 3F 18m"/>
    <s v="LB"/>
    <s v="Není v databázi"/>
    <m/>
  </r>
  <r>
    <x v="275"/>
    <x v="0"/>
    <x v="0"/>
    <x v="29"/>
    <x v="2"/>
    <s v="Fatraglide 2024 - Kombi"/>
    <s v="SK"/>
    <n v="2024"/>
    <n v="22"/>
    <n v="2184"/>
    <n v="0.76500000000000001"/>
    <n v="4330"/>
    <n v="3312"/>
    <x v="0"/>
    <x v="0"/>
    <s v="Arcus M"/>
    <s v="FJ"/>
    <s v=""/>
    <m/>
  </r>
  <r>
    <x v="394"/>
    <x v="4"/>
    <x v="1"/>
    <x v="55"/>
    <x v="3"/>
    <s v="Fatraglide 2024 - Kombi"/>
    <s v="SK"/>
    <n v="2024"/>
    <n v="23"/>
    <n v="2104"/>
    <n v="0.76500000000000001"/>
    <n v="4085"/>
    <n v="3125"/>
    <x v="0"/>
    <x v="0"/>
    <s v="Arcus M"/>
    <s v="TA3"/>
    <s v="Není v databázi"/>
    <m/>
  </r>
  <r>
    <x v="903"/>
    <x v="4"/>
    <x v="1"/>
    <x v="55"/>
    <x v="3"/>
    <s v="Fatraglide 2024 - Kombi"/>
    <s v="SK"/>
    <n v="2024"/>
    <n v="24"/>
    <n v="2050"/>
    <n v="0.76500000000000001"/>
    <n v="3883"/>
    <n v="2970"/>
    <x v="0"/>
    <x v="0"/>
    <s v="Ventus c 17,6m"/>
    <s v="PA"/>
    <s v="Není v databázi"/>
    <m/>
  </r>
  <r>
    <x v="904"/>
    <x v="4"/>
    <x v="1"/>
    <x v="55"/>
    <x v="3"/>
    <s v="Fatraglide 2024 - Kombi"/>
    <s v="SK"/>
    <n v="2024"/>
    <n v="25"/>
    <n v="2007"/>
    <n v="0.76500000000000001"/>
    <n v="3700"/>
    <n v="2831"/>
    <x v="0"/>
    <x v="0"/>
    <s v="ASW 27 WL"/>
    <s v="TZ"/>
    <s v="Není v databázi"/>
    <m/>
  </r>
  <r>
    <x v="281"/>
    <x v="2"/>
    <x v="0"/>
    <x v="60"/>
    <x v="2"/>
    <s v="Fatraglide 2024 - Kombi"/>
    <s v="SK"/>
    <n v="2024"/>
    <n v="26"/>
    <n v="2004"/>
    <n v="0.76500000000000001"/>
    <n v="3584"/>
    <n v="2742"/>
    <x v="1"/>
    <x v="0"/>
    <s v="HpH 304MS Shark 18m 600 kg"/>
    <s v="TH"/>
    <s v=""/>
    <m/>
  </r>
  <r>
    <x v="175"/>
    <x v="6"/>
    <x v="0"/>
    <x v="53"/>
    <x v="1"/>
    <s v="Fatraglide 2024 - Kombi"/>
    <s v="SK"/>
    <n v="2024"/>
    <n v="27"/>
    <n v="1676"/>
    <n v="0.76500000000000001"/>
    <n v="2923"/>
    <n v="2236"/>
    <x v="0"/>
    <x v="0"/>
    <s v="KKB 18 FES"/>
    <s v="AC"/>
    <s v=""/>
    <m/>
  </r>
  <r>
    <x v="386"/>
    <x v="4"/>
    <x v="1"/>
    <x v="55"/>
    <x v="3"/>
    <s v="Fatraglide 2024 - Kombi"/>
    <s v="SK"/>
    <n v="2024"/>
    <n v="28"/>
    <n v="791"/>
    <n v="0.76500000000000001"/>
    <n v="1327"/>
    <n v="1015"/>
    <x v="0"/>
    <x v="0"/>
    <s v="LAK-17B FES 18m"/>
    <s v="PZ"/>
    <s v="Není v databázi"/>
    <m/>
  </r>
  <r>
    <x v="32"/>
    <x v="14"/>
    <x v="0"/>
    <x v="21"/>
    <x v="0"/>
    <s v="PMSR 2024 - Kombi"/>
    <s v="SK"/>
    <n v="2024"/>
    <n v="1"/>
    <n v="4042"/>
    <n v="0.93500000000000005"/>
    <n v="10000"/>
    <n v="9350"/>
    <x v="1"/>
    <x v="0"/>
    <s v="ASG 29 18m"/>
    <s v="QZ"/>
    <s v=""/>
    <m/>
  </r>
  <r>
    <x v="905"/>
    <x v="4"/>
    <x v="1"/>
    <x v="240"/>
    <x v="3"/>
    <s v="PMSR 2024 - Kombi"/>
    <s v="SK"/>
    <n v="2024"/>
    <n v="2"/>
    <n v="3939"/>
    <n v="0.93500000000000005"/>
    <n v="9664"/>
    <n v="9036"/>
    <x v="0"/>
    <x v="0"/>
    <s v="Duo Discus XL"/>
    <s v="SNV"/>
    <s v="Není v databázi"/>
    <m/>
  </r>
  <r>
    <x v="291"/>
    <x v="18"/>
    <x v="0"/>
    <x v="33"/>
    <x v="2"/>
    <s v="PMSR 2024 - Kombi"/>
    <s v="SK"/>
    <n v="2024"/>
    <n v="3"/>
    <n v="3844"/>
    <n v="0.93500000000000005"/>
    <n v="9341"/>
    <n v="8734"/>
    <x v="0"/>
    <x v="0"/>
    <s v="Diana 3 FES"/>
    <s v="B"/>
    <s v=""/>
    <m/>
  </r>
  <r>
    <x v="388"/>
    <x v="4"/>
    <x v="1"/>
    <x v="5"/>
    <x v="3"/>
    <s v="PMSR 2024 - Kombi"/>
    <s v="SK"/>
    <n v="2024"/>
    <n v="4"/>
    <n v="3779"/>
    <n v="0.93500000000000005"/>
    <n v="9071"/>
    <n v="8481"/>
    <x v="0"/>
    <x v="0"/>
    <s v="AS 33 Es 18m"/>
    <n v="12"/>
    <s v="Není v databázi"/>
    <m/>
  </r>
  <r>
    <x v="387"/>
    <x v="4"/>
    <x v="1"/>
    <x v="133"/>
    <x v="3"/>
    <s v="PMSR 2024 - Kombi"/>
    <s v="SK"/>
    <n v="2024"/>
    <n v="5"/>
    <n v="3715"/>
    <n v="0.93500000000000005"/>
    <n v="8802"/>
    <n v="8230"/>
    <x v="0"/>
    <x v="0"/>
    <s v="JS3 RES 18m"/>
    <s v="VV"/>
    <s v="Není v databázi"/>
    <m/>
  </r>
  <r>
    <x v="390"/>
    <x v="4"/>
    <x v="1"/>
    <x v="5"/>
    <x v="3"/>
    <s v="PMSR 2024 - Kombi"/>
    <s v="SK"/>
    <n v="2024"/>
    <n v="6"/>
    <n v="3384"/>
    <n v="0.93500000000000005"/>
    <n v="8071"/>
    <n v="7546"/>
    <x v="0"/>
    <x v="0"/>
    <s v="Ventus 2c 18m"/>
    <s v="LN"/>
    <s v="Není v databázi"/>
    <m/>
  </r>
  <r>
    <x v="54"/>
    <x v="2"/>
    <x v="2"/>
    <x v="21"/>
    <x v="0"/>
    <s v="PMSR 2024 - Kombi"/>
    <s v="SK"/>
    <n v="2024"/>
    <n v="7"/>
    <n v="3347"/>
    <n v="0.93500000000000005"/>
    <n v="7849"/>
    <n v="7339"/>
    <x v="1"/>
    <x v="1"/>
    <s v="LS 8 18m"/>
    <s v="ID"/>
    <s v=""/>
    <m/>
  </r>
  <r>
    <x v="353"/>
    <x v="4"/>
    <x v="1"/>
    <x v="241"/>
    <x v="3"/>
    <s v="PMSR 2024 - Kombi"/>
    <s v="SK"/>
    <n v="2024"/>
    <n v="8"/>
    <n v="3337"/>
    <n v="0.93500000000000005"/>
    <n v="7674"/>
    <n v="7175"/>
    <x v="0"/>
    <x v="0"/>
    <s v="Discus 2cT 18m"/>
    <s v="DJ"/>
    <s v="Není v databázi"/>
    <m/>
  </r>
  <r>
    <x v="51"/>
    <x v="16"/>
    <x v="2"/>
    <x v="24"/>
    <x v="1"/>
    <s v="PMSR 2024 - Kombi"/>
    <s v="SK"/>
    <n v="2024"/>
    <n v="9"/>
    <n v="3165"/>
    <n v="0.93500000000000005"/>
    <n v="7218"/>
    <n v="6749"/>
    <x v="0"/>
    <x v="0"/>
    <s v="LS 8 18m"/>
    <s v="JB"/>
    <s v=""/>
    <m/>
  </r>
  <r>
    <x v="282"/>
    <x v="4"/>
    <x v="1"/>
    <x v="5"/>
    <x v="3"/>
    <s v="PMSR 2024 - Kombi"/>
    <s v="SK"/>
    <n v="2024"/>
    <n v="10"/>
    <n v="2838"/>
    <n v="0.93500000000000005"/>
    <n v="6494"/>
    <n v="6072"/>
    <x v="0"/>
    <x v="0"/>
    <s v="Discus 2b"/>
    <s v="DI"/>
    <s v="Není v databázi"/>
    <m/>
  </r>
  <r>
    <x v="357"/>
    <x v="4"/>
    <x v="1"/>
    <x v="242"/>
    <x v="3"/>
    <s v="PMSR 2024 - Kombi"/>
    <s v="SK"/>
    <n v="2024"/>
    <n v="11"/>
    <n v="2730"/>
    <n v="0.93500000000000005"/>
    <n v="6149"/>
    <n v="5749"/>
    <x v="0"/>
    <x v="0"/>
    <s v="JS1 CTJ EVO 18m"/>
    <s v="RZ"/>
    <s v="Není v databázi"/>
    <m/>
  </r>
  <r>
    <x v="906"/>
    <x v="4"/>
    <x v="1"/>
    <x v="5"/>
    <x v="3"/>
    <s v="PMSR 2024 - Kombi"/>
    <s v="SK"/>
    <n v="2024"/>
    <n v="12"/>
    <n v="2678"/>
    <n v="0.93500000000000005"/>
    <n v="5901"/>
    <n v="5517"/>
    <x v="0"/>
    <x v="0"/>
    <s v="Arcus M"/>
    <s v="CAR"/>
    <s v="Není v databázi"/>
    <m/>
  </r>
  <r>
    <x v="907"/>
    <x v="4"/>
    <x v="1"/>
    <x v="129"/>
    <x v="3"/>
    <s v="PMSR 2024 - Kombi"/>
    <s v="SK"/>
    <n v="2024"/>
    <n v="13"/>
    <n v="2632"/>
    <n v="0.93500000000000005"/>
    <n v="5663"/>
    <n v="5295"/>
    <x v="0"/>
    <x v="0"/>
    <s v="Arcus M"/>
    <s v="2P"/>
    <s v="Není v databázi"/>
    <m/>
  </r>
  <r>
    <x v="908"/>
    <x v="4"/>
    <x v="1"/>
    <x v="133"/>
    <x v="3"/>
    <s v="PMSR 2024 - Kombi"/>
    <s v="SK"/>
    <n v="2024"/>
    <n v="14"/>
    <n v="2444"/>
    <n v="0.93500000000000005"/>
    <n v="5180"/>
    <n v="4843"/>
    <x v="0"/>
    <x v="0"/>
    <s v="Arcus M"/>
    <s v="TA3"/>
    <s v="Není v databázi"/>
    <m/>
  </r>
  <r>
    <x v="389"/>
    <x v="4"/>
    <x v="1"/>
    <x v="243"/>
    <x v="3"/>
    <s v="PMSR 2024 - Kombi"/>
    <s v="SK"/>
    <n v="2024"/>
    <n v="15"/>
    <n v="2197"/>
    <n v="0.93500000000000005"/>
    <n v="4594"/>
    <n v="4295"/>
    <x v="0"/>
    <x v="0"/>
    <s v="Ventus 2cxT 18m"/>
    <s v="AI"/>
    <s v="Není v databázi"/>
    <m/>
  </r>
  <r>
    <x v="363"/>
    <x v="4"/>
    <x v="1"/>
    <x v="244"/>
    <x v="3"/>
    <s v="PMSR 2024 - Kombi"/>
    <s v="SK"/>
    <n v="2024"/>
    <n v="16"/>
    <n v="1971"/>
    <n v="0.93500000000000005"/>
    <n v="4045"/>
    <n v="3782"/>
    <x v="0"/>
    <x v="0"/>
    <s v="Ventus 3M 18m"/>
    <s v="CAT"/>
    <s v="Není v databázi"/>
    <m/>
  </r>
  <r>
    <x v="401"/>
    <x v="4"/>
    <x v="1"/>
    <x v="244"/>
    <x v="3"/>
    <s v="PMSR 2024 - Kombi"/>
    <s v="SK"/>
    <n v="2024"/>
    <n v="17"/>
    <n v="1921"/>
    <n v="0.93500000000000005"/>
    <n v="3801"/>
    <n v="3554"/>
    <x v="0"/>
    <x v="0"/>
    <s v="LAK-17A T 18m"/>
    <s v="AK"/>
    <s v="Není v databázi"/>
    <m/>
  </r>
  <r>
    <x v="903"/>
    <x v="4"/>
    <x v="1"/>
    <x v="5"/>
    <x v="3"/>
    <s v="PMSR 2024 - Kombi"/>
    <s v="SK"/>
    <n v="2024"/>
    <n v="18"/>
    <n v="1760"/>
    <n v="0.93500000000000005"/>
    <n v="3364"/>
    <n v="3145"/>
    <x v="0"/>
    <x v="0"/>
    <s v="Ventus c 17.6m"/>
    <s v="PA"/>
    <s v="Není v databázi"/>
    <m/>
  </r>
  <r>
    <x v="369"/>
    <x v="4"/>
    <x v="1"/>
    <x v="244"/>
    <x v="3"/>
    <s v="PMSR 2024 - Kombi"/>
    <s v="SK"/>
    <n v="2024"/>
    <n v="19"/>
    <n v="1679"/>
    <n v="0.93500000000000005"/>
    <n v="3066"/>
    <n v="2867"/>
    <x v="0"/>
    <x v="0"/>
    <s v="Discus 2cT 18m"/>
    <s v="EF"/>
    <s v="Není v databázi"/>
    <m/>
  </r>
  <r>
    <x v="909"/>
    <x v="4"/>
    <x v="1"/>
    <x v="245"/>
    <x v="3"/>
    <s v="PMSR 2024 - Kombi"/>
    <s v="SK"/>
    <n v="2024"/>
    <n v="20"/>
    <n v="1500"/>
    <n v="0.93500000000000005"/>
    <n v="2598"/>
    <n v="2429"/>
    <x v="0"/>
    <x v="0"/>
    <s v="AS 33 Es 18m"/>
    <s v="D"/>
    <s v="Není v databázi"/>
    <m/>
  </r>
  <r>
    <x v="910"/>
    <x v="4"/>
    <x v="1"/>
    <x v="55"/>
    <x v="3"/>
    <s v="Lilienthal Glide 2024 - Duo 20m"/>
    <s v="DE"/>
    <n v="2024"/>
    <n v="1"/>
    <n v="4481"/>
    <n v="0.76"/>
    <n v="10000"/>
    <n v="7600"/>
    <x v="0"/>
    <x v="0"/>
    <s v="ASG 32Mi"/>
    <s v="LX"/>
    <s v="Není v databázi"/>
    <m/>
  </r>
  <r>
    <x v="911"/>
    <x v="4"/>
    <x v="1"/>
    <x v="55"/>
    <x v="3"/>
    <s v="Lilienthal Glide 2024 - Duo 20m"/>
    <s v="DE"/>
    <n v="2024"/>
    <n v="2"/>
    <n v="4469"/>
    <n v="0.76"/>
    <n v="9870"/>
    <n v="7501"/>
    <x v="0"/>
    <x v="0"/>
    <s v="Arcus M"/>
    <s v="1H"/>
    <s v="Není v databázi"/>
    <m/>
  </r>
  <r>
    <x v="912"/>
    <x v="4"/>
    <x v="1"/>
    <x v="55"/>
    <x v="3"/>
    <s v="Lilienthal Glide 2024 - Duo 20m"/>
    <s v="DE"/>
    <n v="2024"/>
    <n v="3"/>
    <n v="4403"/>
    <n v="0.76"/>
    <n v="9656"/>
    <n v="7339"/>
    <x v="0"/>
    <x v="0"/>
    <s v="Arcus M"/>
    <s v="DH"/>
    <s v="Není v databázi"/>
    <m/>
  </r>
  <r>
    <x v="913"/>
    <x v="4"/>
    <x v="1"/>
    <x v="55"/>
    <x v="3"/>
    <s v="Lilienthal Glide 2024 - Duo 20m"/>
    <s v="DE"/>
    <n v="2024"/>
    <n v="4"/>
    <n v="4259"/>
    <n v="0.76"/>
    <n v="9320"/>
    <n v="7083"/>
    <x v="0"/>
    <x v="0"/>
    <s v="Arcus T"/>
    <s v="WA"/>
    <s v="Není v databázi"/>
    <m/>
  </r>
  <r>
    <x v="914"/>
    <x v="4"/>
    <x v="1"/>
    <x v="55"/>
    <x v="3"/>
    <s v="Lilienthal Glide 2024 - Duo 20m"/>
    <s v="DE"/>
    <n v="2024"/>
    <n v="5"/>
    <n v="4209"/>
    <n v="0.76"/>
    <n v="9131"/>
    <n v="6940"/>
    <x v="0"/>
    <x v="0"/>
    <s v="Arcus M"/>
    <s v="WM"/>
    <s v="Není v databázi"/>
    <m/>
  </r>
  <r>
    <x v="915"/>
    <x v="4"/>
    <x v="1"/>
    <x v="55"/>
    <x v="3"/>
    <s v="Lilienthal Glide 2024 - Duo 20m"/>
    <s v="DE"/>
    <n v="2024"/>
    <n v="6"/>
    <n v="4166"/>
    <n v="0.76"/>
    <n v="8952"/>
    <n v="6804"/>
    <x v="0"/>
    <x v="0"/>
    <s v="Arcus M"/>
    <s v="WK"/>
    <s v="Není v databázi"/>
    <m/>
  </r>
  <r>
    <x v="916"/>
    <x v="4"/>
    <x v="1"/>
    <x v="55"/>
    <x v="3"/>
    <s v="Lilienthal Glide 2024 - Duo 20m"/>
    <s v="DE"/>
    <n v="2024"/>
    <n v="7"/>
    <n v="4141"/>
    <n v="0.76"/>
    <n v="8802"/>
    <n v="6690"/>
    <x v="0"/>
    <x v="0"/>
    <s v="Arcus M"/>
    <s v="7L"/>
    <s v="Není v databázi"/>
    <m/>
  </r>
  <r>
    <x v="917"/>
    <x v="4"/>
    <x v="1"/>
    <x v="55"/>
    <x v="3"/>
    <s v="Lilienthal Glide 2024 - Duo 20m"/>
    <s v="DE"/>
    <n v="2024"/>
    <n v="8"/>
    <n v="4075"/>
    <n v="0.76"/>
    <n v="8588"/>
    <n v="6527"/>
    <x v="0"/>
    <x v="0"/>
    <s v="Arcus M"/>
    <n v="12"/>
    <s v="Není v databázi"/>
    <m/>
  </r>
  <r>
    <x v="404"/>
    <x v="44"/>
    <x v="2"/>
    <x v="12"/>
    <x v="1"/>
    <s v="Lilienthal Glide 2024 - Duo 20m"/>
    <s v="DE"/>
    <n v="2024"/>
    <n v="9"/>
    <n v="4066"/>
    <n v="0.76"/>
    <n v="8463"/>
    <n v="6432"/>
    <x v="0"/>
    <x v="0"/>
    <s v="fs33"/>
    <n v="33"/>
    <s v="Junior v roce 2026"/>
    <m/>
  </r>
  <r>
    <x v="918"/>
    <x v="4"/>
    <x v="1"/>
    <x v="55"/>
    <x v="3"/>
    <s v="Lilienthal Glide 2024 - Duo 20m"/>
    <s v="DE"/>
    <n v="2024"/>
    <n v="10"/>
    <n v="3801"/>
    <n v="0.76"/>
    <n v="7938"/>
    <n v="6033"/>
    <x v="0"/>
    <x v="0"/>
    <s v="Arcus T"/>
    <s v="HLB"/>
    <s v="Není v databázi"/>
    <m/>
  </r>
  <r>
    <x v="919"/>
    <x v="4"/>
    <x v="1"/>
    <x v="55"/>
    <x v="3"/>
    <s v="Lilienthal Glide 2024 - Duo 20m"/>
    <s v="DE"/>
    <n v="2024"/>
    <n v="11"/>
    <n v="3734"/>
    <n v="0.76"/>
    <n v="7722"/>
    <n v="5869"/>
    <x v="0"/>
    <x v="0"/>
    <s v="Arcus M"/>
    <s v="ISP"/>
    <s v="Není v databázi"/>
    <m/>
  </r>
  <r>
    <x v="920"/>
    <x v="4"/>
    <x v="1"/>
    <x v="55"/>
    <x v="3"/>
    <s v="Lilienthal Glide 2024 - Duo 20m"/>
    <s v="DE"/>
    <n v="2024"/>
    <n v="12"/>
    <n v="3679"/>
    <n v="0.76"/>
    <n v="7525"/>
    <n v="5719"/>
    <x v="0"/>
    <x v="0"/>
    <s v="ASG 32Mi"/>
    <s v="SKY"/>
    <s v="Není v databázi"/>
    <m/>
  </r>
  <r>
    <x v="921"/>
    <x v="4"/>
    <x v="1"/>
    <x v="55"/>
    <x v="3"/>
    <s v="Lilienthal Glide 2024 - Duo 20m"/>
    <s v="DE"/>
    <n v="2024"/>
    <n v="13"/>
    <n v="3636"/>
    <n v="0.76"/>
    <n v="7347"/>
    <n v="5584"/>
    <x v="0"/>
    <x v="0"/>
    <s v="Arcus M"/>
    <s v="NM"/>
    <s v="Není v databázi"/>
    <m/>
  </r>
  <r>
    <x v="922"/>
    <x v="4"/>
    <x v="1"/>
    <x v="55"/>
    <x v="3"/>
    <s v="Lilienthal Glide 2024 - Duo 20m"/>
    <s v="DE"/>
    <n v="2024"/>
    <n v="14"/>
    <n v="3630"/>
    <n v="0.76"/>
    <n v="7226"/>
    <n v="5492"/>
    <x v="0"/>
    <x v="0"/>
    <s v="Duo Discus"/>
    <s v="XL"/>
    <s v="Není v databázi"/>
    <m/>
  </r>
  <r>
    <x v="923"/>
    <x v="4"/>
    <x v="1"/>
    <x v="55"/>
    <x v="3"/>
    <s v="Lilienthal Glide 2024 - Duo 20m"/>
    <s v="DE"/>
    <n v="2024"/>
    <n v="15"/>
    <n v="3598"/>
    <n v="0.76"/>
    <n v="7065"/>
    <n v="5369"/>
    <x v="0"/>
    <x v="0"/>
    <s v="Duo Discus"/>
    <s v="DU"/>
    <s v="Není v databázi"/>
    <m/>
  </r>
  <r>
    <x v="924"/>
    <x v="4"/>
    <x v="1"/>
    <x v="55"/>
    <x v="3"/>
    <s v="Lilienthal Glide 2024 - Duo 20m"/>
    <s v="DE"/>
    <n v="2024"/>
    <n v="16"/>
    <n v="3553"/>
    <n v="0.76"/>
    <n v="6884"/>
    <n v="5232"/>
    <x v="0"/>
    <x v="0"/>
    <s v="Arcus T"/>
    <s v="E7"/>
    <s v="Není v databázi"/>
    <m/>
  </r>
  <r>
    <x v="925"/>
    <x v="4"/>
    <x v="1"/>
    <x v="55"/>
    <x v="3"/>
    <s v="Lilienthal Glide 2024 - Duo 20m"/>
    <s v="DE"/>
    <n v="2024"/>
    <n v="17"/>
    <n v="3442"/>
    <n v="0.76"/>
    <n v="6599"/>
    <n v="5015"/>
    <x v="0"/>
    <x v="0"/>
    <s v="Twin Shark"/>
    <s v="TX"/>
    <s v="Není v databázi"/>
    <m/>
  </r>
  <r>
    <x v="926"/>
    <x v="4"/>
    <x v="1"/>
    <x v="55"/>
    <x v="3"/>
    <s v="Lilienthal Glide 2024 - Duo 20m"/>
    <s v="DE"/>
    <n v="2024"/>
    <n v="18"/>
    <n v="3406"/>
    <n v="0.76"/>
    <n v="6432"/>
    <n v="4888"/>
    <x v="0"/>
    <x v="0"/>
    <s v="ASG 32 Mi"/>
    <s v="TB"/>
    <s v="Není v databázi"/>
    <m/>
  </r>
  <r>
    <x v="927"/>
    <x v="4"/>
    <x v="1"/>
    <x v="55"/>
    <x v="3"/>
    <s v="Lilienthal Glide 2024 - Duo 20m"/>
    <s v="DE"/>
    <n v="2024"/>
    <n v="19"/>
    <n v="3292"/>
    <n v="0.76"/>
    <n v="6143"/>
    <n v="4669"/>
    <x v="0"/>
    <x v="0"/>
    <s v="Arcus M"/>
    <s v="BC"/>
    <s v="Není v databázi"/>
    <m/>
  </r>
  <r>
    <x v="928"/>
    <x v="4"/>
    <x v="1"/>
    <x v="55"/>
    <x v="3"/>
    <s v="Lilienthal Glide 2024 - Duo 20m"/>
    <s v="DE"/>
    <n v="2024"/>
    <n v="20"/>
    <n v="3272"/>
    <n v="0.76"/>
    <n v="6000"/>
    <n v="4560"/>
    <x v="0"/>
    <x v="0"/>
    <s v="Arcus M"/>
    <s v="EG"/>
    <s v="Není v databázi"/>
    <m/>
  </r>
  <r>
    <x v="929"/>
    <x v="4"/>
    <x v="1"/>
    <x v="55"/>
    <x v="3"/>
    <s v="Lilienthal Glide 2024 - Duo 20m"/>
    <s v="DE"/>
    <n v="2024"/>
    <n v="21"/>
    <n v="3128"/>
    <n v="0.76"/>
    <n v="5664"/>
    <n v="4305"/>
    <x v="0"/>
    <x v="0"/>
    <s v="Arcus M"/>
    <s v="BG"/>
    <s v="Není v databázi"/>
    <m/>
  </r>
  <r>
    <x v="930"/>
    <x v="4"/>
    <x v="1"/>
    <x v="55"/>
    <x v="3"/>
    <s v="Lilienthal Glide 2024 - Duo 20m"/>
    <s v="DE"/>
    <n v="2024"/>
    <n v="22"/>
    <n v="3121"/>
    <n v="0.76"/>
    <n v="5542"/>
    <n v="4212"/>
    <x v="0"/>
    <x v="0"/>
    <s v="ASG 32 Mi"/>
    <n v="32"/>
    <s v="Není v databázi"/>
    <m/>
  </r>
  <r>
    <x v="931"/>
    <x v="4"/>
    <x v="1"/>
    <x v="55"/>
    <x v="3"/>
    <s v="Lilienthal Glide 2024 - Duo 20m"/>
    <s v="DE"/>
    <n v="2024"/>
    <n v="23"/>
    <n v="2990"/>
    <n v="0.76"/>
    <n v="5226"/>
    <n v="3972"/>
    <x v="0"/>
    <x v="0"/>
    <s v="Duo Discus XLT"/>
    <s v="FM"/>
    <s v="Není v databázi"/>
    <m/>
  </r>
  <r>
    <x v="932"/>
    <x v="4"/>
    <x v="1"/>
    <x v="55"/>
    <x v="3"/>
    <s v="Lilienthal Glide 2024 - Duo 20m"/>
    <s v="DE"/>
    <n v="2024"/>
    <n v="24"/>
    <n v="2883"/>
    <n v="0.76"/>
    <n v="4948"/>
    <n v="3760"/>
    <x v="0"/>
    <x v="0"/>
    <s v="Duo Discus XL"/>
    <s v="BW4"/>
    <s v="Není v databázi"/>
    <m/>
  </r>
  <r>
    <x v="933"/>
    <x v="4"/>
    <x v="1"/>
    <x v="55"/>
    <x v="3"/>
    <s v="Lilienthal Glide 2024 - Duo 20m"/>
    <s v="DE"/>
    <n v="2024"/>
    <n v="25"/>
    <n v="2796"/>
    <n v="0.76"/>
    <n v="4701"/>
    <n v="3573"/>
    <x v="0"/>
    <x v="0"/>
    <s v="Duo Discus XLT"/>
    <s v="BR"/>
    <s v="Není v databázi"/>
    <m/>
  </r>
  <r>
    <x v="934"/>
    <x v="4"/>
    <x v="1"/>
    <x v="55"/>
    <x v="3"/>
    <s v="Lilienthal Glide 2024 - Duo 20m"/>
    <s v="DE"/>
    <n v="2024"/>
    <n v="26"/>
    <n v="2756"/>
    <n v="0.76"/>
    <n v="4528"/>
    <n v="3441"/>
    <x v="0"/>
    <x v="0"/>
    <s v="Twin Shark"/>
    <s v="DTS"/>
    <s v="Není v databázi"/>
    <m/>
  </r>
  <r>
    <x v="935"/>
    <x v="4"/>
    <x v="1"/>
    <x v="55"/>
    <x v="3"/>
    <s v="Lilienthal Glide 2024 - Duo 20m"/>
    <s v="DE"/>
    <n v="2024"/>
    <n v="27"/>
    <n v="2353"/>
    <n v="0.76"/>
    <n v="3787"/>
    <n v="2878"/>
    <x v="0"/>
    <x v="0"/>
    <s v="ASG 32 Mi"/>
    <s v="OM"/>
    <s v="Není v databázi"/>
    <m/>
  </r>
  <r>
    <x v="936"/>
    <x v="4"/>
    <x v="1"/>
    <x v="55"/>
    <x v="3"/>
    <s v="Lilienthal Glide 2024 - Duo 20m"/>
    <s v="DE"/>
    <n v="2024"/>
    <n v="28"/>
    <n v="1540"/>
    <n v="0.76"/>
    <n v="2406"/>
    <n v="1829"/>
    <x v="0"/>
    <x v="0"/>
    <s v="Arcus M"/>
    <s v="PM"/>
    <s v="Není v databázi"/>
    <m/>
  </r>
  <r>
    <x v="937"/>
    <x v="4"/>
    <x v="1"/>
    <x v="212"/>
    <x v="3"/>
    <s v="Hahnweide 2024 - Duo 20m"/>
    <s v="DE"/>
    <n v="2024"/>
    <n v="1"/>
    <n v="3628"/>
    <n v="0.93"/>
    <n v="10000"/>
    <n v="9300"/>
    <x v="0"/>
    <x v="0"/>
    <s v="Arcus M"/>
    <s v="LB"/>
    <s v="Není v databázi"/>
    <m/>
  </r>
  <r>
    <x v="938"/>
    <x v="4"/>
    <x v="1"/>
    <x v="55"/>
    <x v="3"/>
    <s v="Hahnweide 2024 - Duo 20m"/>
    <s v="DE"/>
    <n v="2024"/>
    <n v="2"/>
    <n v="3589"/>
    <n v="0.93"/>
    <n v="9767"/>
    <n v="9083"/>
    <x v="0"/>
    <x v="0"/>
    <s v="Arcus M"/>
    <s v="7L"/>
    <s v="Není v databázi"/>
    <m/>
  </r>
  <r>
    <x v="939"/>
    <x v="4"/>
    <x v="1"/>
    <x v="55"/>
    <x v="3"/>
    <s v="Hahnweide 2024 - Duo 20m"/>
    <s v="DE"/>
    <n v="2024"/>
    <n v="3"/>
    <n v="3457"/>
    <n v="0.93"/>
    <n v="9354"/>
    <n v="8699"/>
    <x v="0"/>
    <x v="0"/>
    <s v="Arcus M"/>
    <s v="XP"/>
    <s v="Není v databázi"/>
    <m/>
  </r>
  <r>
    <x v="940"/>
    <x v="4"/>
    <x v="1"/>
    <x v="55"/>
    <x v="3"/>
    <s v="Hahnweide 2024 - Duo 20m"/>
    <s v="DE"/>
    <n v="2024"/>
    <n v="4"/>
    <n v="3447"/>
    <n v="0.93"/>
    <n v="9177"/>
    <n v="8535"/>
    <x v="0"/>
    <x v="0"/>
    <s v="Arcus M"/>
    <s v="Y4"/>
    <s v="Není v databázi"/>
    <m/>
  </r>
  <r>
    <x v="941"/>
    <x v="4"/>
    <x v="1"/>
    <x v="55"/>
    <x v="3"/>
    <s v="Hahnweide 2024 - Duo 20m"/>
    <s v="DE"/>
    <n v="2024"/>
    <n v="5"/>
    <n v="3441"/>
    <n v="0.93"/>
    <n v="9008"/>
    <n v="8377"/>
    <x v="0"/>
    <x v="0"/>
    <s v="Arcus T"/>
    <s v="BE"/>
    <s v="Není v databázi"/>
    <m/>
  </r>
  <r>
    <x v="58"/>
    <x v="21"/>
    <x v="0"/>
    <x v="0"/>
    <x v="0"/>
    <s v="Hahnweide 2024 - Duo 20m"/>
    <s v="DE"/>
    <n v="2024"/>
    <n v="6"/>
    <n v="3382"/>
    <n v="0.93"/>
    <n v="8736"/>
    <n v="8124"/>
    <x v="0"/>
    <x v="0"/>
    <s v="Arcus M"/>
    <s v="EY"/>
    <s v=""/>
    <m/>
  </r>
  <r>
    <x v="942"/>
    <x v="4"/>
    <x v="1"/>
    <x v="55"/>
    <x v="3"/>
    <s v="Hahnweide 2024 - Duo 20m"/>
    <s v="DE"/>
    <n v="2024"/>
    <n v="7"/>
    <n v="3344"/>
    <n v="0.93"/>
    <n v="8505"/>
    <n v="7910"/>
    <x v="0"/>
    <x v="0"/>
    <s v="Arcus T"/>
    <s v="BN"/>
    <s v="Není v databázi"/>
    <m/>
  </r>
  <r>
    <x v="943"/>
    <x v="4"/>
    <x v="1"/>
    <x v="55"/>
    <x v="3"/>
    <s v="Hahnweide 2024 - Duo 20m"/>
    <s v="DE"/>
    <n v="2024"/>
    <n v="8"/>
    <n v="3281"/>
    <n v="0.93"/>
    <n v="8225"/>
    <n v="7649"/>
    <x v="0"/>
    <x v="0"/>
    <s v="Arcus T"/>
    <s v="2AS"/>
    <s v="Není v databázi"/>
    <m/>
  </r>
  <r>
    <x v="944"/>
    <x v="4"/>
    <x v="1"/>
    <x v="55"/>
    <x v="3"/>
    <s v="Hahnweide 2024 - Duo 20m"/>
    <s v="DE"/>
    <n v="2024"/>
    <n v="9"/>
    <n v="3186"/>
    <n v="0.93"/>
    <n v="7884"/>
    <n v="7332"/>
    <x v="0"/>
    <x v="0"/>
    <s v="Arcus M"/>
    <s v="I10"/>
    <s v="Není v databázi"/>
    <m/>
  </r>
  <r>
    <x v="945"/>
    <x v="4"/>
    <x v="1"/>
    <x v="246"/>
    <x v="3"/>
    <s v="Hahnweide 2024 - Duo 20m"/>
    <s v="DE"/>
    <n v="2024"/>
    <n v="10"/>
    <n v="3110"/>
    <n v="0.93"/>
    <n v="7579"/>
    <n v="7048"/>
    <x v="0"/>
    <x v="0"/>
    <s v="Arcus M"/>
    <n v="13"/>
    <s v="Není v databázi"/>
    <m/>
  </r>
  <r>
    <x v="946"/>
    <x v="4"/>
    <x v="1"/>
    <x v="247"/>
    <x v="3"/>
    <s v="Hahnweide 2024 - Duo 20m"/>
    <s v="DE"/>
    <n v="2024"/>
    <n v="11"/>
    <n v="3048"/>
    <n v="0.93"/>
    <n v="7302"/>
    <n v="6791"/>
    <x v="0"/>
    <x v="0"/>
    <s v="Arcus T"/>
    <s v="CR"/>
    <s v="Není v databázi"/>
    <m/>
  </r>
  <r>
    <x v="947"/>
    <x v="4"/>
    <x v="1"/>
    <x v="248"/>
    <x v="3"/>
    <s v="Hahnweide 2024 - Duo 20m"/>
    <s v="DE"/>
    <n v="2024"/>
    <n v="12"/>
    <n v="3036"/>
    <n v="0.93"/>
    <n v="7121"/>
    <n v="6623"/>
    <x v="0"/>
    <x v="0"/>
    <s v="ASG 32"/>
    <s v="EG"/>
    <s v="Není v databázi"/>
    <m/>
  </r>
  <r>
    <x v="948"/>
    <x v="4"/>
    <x v="1"/>
    <x v="249"/>
    <x v="3"/>
    <s v="Hahnweide 2024 - Duo 20m"/>
    <s v="DE"/>
    <n v="2024"/>
    <n v="13"/>
    <n v="2858"/>
    <n v="0.93"/>
    <n v="6620"/>
    <n v="6157"/>
    <x v="0"/>
    <x v="0"/>
    <s v="Arcus M"/>
    <s v="WT"/>
    <s v="Není v databázi"/>
    <m/>
  </r>
  <r>
    <x v="949"/>
    <x v="4"/>
    <x v="1"/>
    <x v="250"/>
    <x v="3"/>
    <s v="Hahnweide 2024 - Duo 20m"/>
    <s v="DE"/>
    <n v="2024"/>
    <n v="14"/>
    <n v="2808"/>
    <n v="0.93"/>
    <n v="6365"/>
    <n v="5919"/>
    <x v="0"/>
    <x v="0"/>
    <s v="Arcus T"/>
    <n v="69"/>
    <s v="Není v databázi"/>
    <m/>
  </r>
  <r>
    <x v="950"/>
    <x v="4"/>
    <x v="1"/>
    <x v="251"/>
    <x v="3"/>
    <s v="Hahnweide 2024 - Duo 20m"/>
    <s v="DE"/>
    <n v="2024"/>
    <n v="15"/>
    <n v="2709"/>
    <n v="0.93"/>
    <n v="6016"/>
    <n v="5595"/>
    <x v="0"/>
    <x v="0"/>
    <s v="Arcus T"/>
    <s v="DD"/>
    <s v="Není v databázi"/>
    <m/>
  </r>
  <r>
    <x v="951"/>
    <x v="4"/>
    <x v="1"/>
    <x v="252"/>
    <x v="3"/>
    <s v="Hahnweide 2024 - Duo 20m"/>
    <s v="DE"/>
    <n v="2024"/>
    <n v="16"/>
    <n v="2476"/>
    <n v="0.93"/>
    <n v="5409"/>
    <n v="5030"/>
    <x v="0"/>
    <x v="0"/>
    <s v="Arcus M"/>
    <s v="AC2"/>
    <s v="Není v databázi"/>
    <m/>
  </r>
  <r>
    <x v="952"/>
    <x v="4"/>
    <x v="1"/>
    <x v="55"/>
    <x v="3"/>
    <s v="Hahnweide 2024 - Duo 20m"/>
    <s v="DE"/>
    <n v="2024"/>
    <n v="17"/>
    <n v="2331"/>
    <n v="0.93"/>
    <n v="4971"/>
    <n v="4623"/>
    <x v="0"/>
    <x v="0"/>
    <s v="Arcus M"/>
    <s v="SS"/>
    <s v="Není v databázi"/>
    <m/>
  </r>
  <r>
    <x v="953"/>
    <x v="4"/>
    <x v="1"/>
    <x v="253"/>
    <x v="3"/>
    <s v="Hahnweide 2024 - Duo 20m"/>
    <s v="DE"/>
    <n v="2024"/>
    <n v="18"/>
    <n v="2275"/>
    <n v="0.93"/>
    <n v="4705"/>
    <n v="4376"/>
    <x v="0"/>
    <x v="0"/>
    <s v="Duo Discus"/>
    <s v="S4"/>
    <s v="Není v databázi"/>
    <m/>
  </r>
  <r>
    <x v="954"/>
    <x v="4"/>
    <x v="1"/>
    <x v="254"/>
    <x v="3"/>
    <s v="Hahnweide 2024 - Duo 20m"/>
    <s v="DE"/>
    <n v="2024"/>
    <n v="19"/>
    <n v="2262"/>
    <n v="0.93"/>
    <n v="4522"/>
    <n v="4205"/>
    <x v="0"/>
    <x v="0"/>
    <s v="HPH 304 M"/>
    <s v="NB"/>
    <s v="Není v databázi"/>
    <m/>
  </r>
  <r>
    <x v="549"/>
    <x v="4"/>
    <x v="1"/>
    <x v="252"/>
    <x v="3"/>
    <s v="Hahnweide 2024 - Duo 20m"/>
    <s v="DE"/>
    <n v="2024"/>
    <n v="20"/>
    <n v="2211"/>
    <n v="0.93"/>
    <n v="4266"/>
    <n v="3967"/>
    <x v="0"/>
    <x v="0"/>
    <s v="Arcus M"/>
    <s v="AA"/>
    <s v="Není v databázi"/>
    <m/>
  </r>
  <r>
    <x v="554"/>
    <x v="4"/>
    <x v="1"/>
    <x v="148"/>
    <x v="3"/>
    <s v="WGC 2024 - 18m"/>
    <s v="US"/>
    <n v="2024"/>
    <n v="1"/>
    <n v="9843"/>
    <n v="1.135"/>
    <n v="10000"/>
    <n v="11350"/>
    <x v="0"/>
    <x v="0"/>
    <s v="AS 33 Me"/>
    <s v="SF"/>
    <s v="Není v databázi"/>
    <m/>
  </r>
  <r>
    <x v="612"/>
    <x v="4"/>
    <x v="1"/>
    <x v="148"/>
    <x v="3"/>
    <s v="WGC 2024 - 18m"/>
    <s v="US"/>
    <n v="2024"/>
    <n v="2"/>
    <n v="9636"/>
    <n v="1.135"/>
    <n v="9756"/>
    <n v="11073"/>
    <x v="0"/>
    <x v="0"/>
    <s v="Ventus 3e"/>
    <s v="ELF"/>
    <s v="Není v databázi"/>
    <m/>
  </r>
  <r>
    <x v="572"/>
    <x v="4"/>
    <x v="1"/>
    <x v="147"/>
    <x v="3"/>
    <s v="WGC 2024 - 18m"/>
    <s v="US"/>
    <n v="2024"/>
    <n v="3"/>
    <n v="9592"/>
    <n v="1.135"/>
    <n v="9628"/>
    <n v="10928"/>
    <x v="0"/>
    <x v="0"/>
    <s v="JS3 TJ 18m"/>
    <s v="2L"/>
    <s v="Není v databázi"/>
    <m/>
  </r>
  <r>
    <x v="569"/>
    <x v="4"/>
    <x v="1"/>
    <x v="157"/>
    <x v="3"/>
    <s v="WGC 2024 - 18m"/>
    <s v="US"/>
    <n v="2024"/>
    <n v="4"/>
    <n v="9431"/>
    <n v="1.135"/>
    <n v="9417"/>
    <n v="10688"/>
    <x v="0"/>
    <x v="0"/>
    <s v="JS3-TJ"/>
    <s v="QT"/>
    <s v="Není v databázi"/>
    <m/>
  </r>
  <r>
    <x v="955"/>
    <x v="4"/>
    <x v="1"/>
    <x v="169"/>
    <x v="3"/>
    <s v="WGC 2024 - 18m"/>
    <s v="US"/>
    <n v="2024"/>
    <n v="5"/>
    <n v="9408"/>
    <n v="1.135"/>
    <n v="9304"/>
    <n v="10560"/>
    <x v="0"/>
    <x v="0"/>
    <s v="JS3"/>
    <s v="5M"/>
    <s v="Není v databázi"/>
    <m/>
  </r>
  <r>
    <x v="614"/>
    <x v="4"/>
    <x v="1"/>
    <x v="157"/>
    <x v="3"/>
    <s v="WGC 2024 - 18m"/>
    <s v="US"/>
    <n v="2024"/>
    <n v="6"/>
    <n v="9234"/>
    <n v="1.135"/>
    <n v="9083"/>
    <n v="10309"/>
    <x v="0"/>
    <x v="0"/>
    <s v="JS3 TJ 18m"/>
    <s v="2S"/>
    <s v="Není v databázi"/>
    <m/>
  </r>
  <r>
    <x v="956"/>
    <x v="4"/>
    <x v="1"/>
    <x v="147"/>
    <x v="3"/>
    <s v="WGC 2024 - 18m"/>
    <s v="US"/>
    <n v="2024"/>
    <n v="7"/>
    <n v="9150"/>
    <n v="1.135"/>
    <n v="8927"/>
    <n v="10132"/>
    <x v="0"/>
    <x v="0"/>
    <s v="JS3 18m"/>
    <s v="LB"/>
    <s v="Není v databázi"/>
    <m/>
  </r>
  <r>
    <x v="434"/>
    <x v="4"/>
    <x v="1"/>
    <x v="147"/>
    <x v="3"/>
    <s v="WGC 2024 - 18m"/>
    <s v="US"/>
    <n v="2024"/>
    <n v="8"/>
    <n v="9136"/>
    <n v="1.135"/>
    <n v="8820"/>
    <n v="10011"/>
    <x v="0"/>
    <x v="0"/>
    <s v="JS3 18m"/>
    <s v="KW"/>
    <s v="Není v databázi"/>
    <m/>
  </r>
  <r>
    <x v="957"/>
    <x v="4"/>
    <x v="1"/>
    <x v="153"/>
    <x v="3"/>
    <s v="WGC 2024 - 18m"/>
    <s v="US"/>
    <n v="2024"/>
    <n v="9"/>
    <n v="9061"/>
    <n v="1.135"/>
    <n v="8670"/>
    <n v="9840"/>
    <x v="0"/>
    <x v="0"/>
    <s v="JS3 TJ 18m"/>
    <s v="AB"/>
    <s v="Není v databázi"/>
    <m/>
  </r>
  <r>
    <x v="958"/>
    <x v="4"/>
    <x v="1"/>
    <x v="255"/>
    <x v="3"/>
    <s v="WGC 2024 - 18m"/>
    <s v="US"/>
    <n v="2024"/>
    <n v="10"/>
    <n v="8992"/>
    <n v="1.135"/>
    <n v="8524"/>
    <n v="9675"/>
    <x v="0"/>
    <x v="0"/>
    <s v="AS 33 Es"/>
    <s v="ZO"/>
    <s v="Není v databázi"/>
    <m/>
  </r>
  <r>
    <x v="959"/>
    <x v="4"/>
    <x v="1"/>
    <x v="167"/>
    <x v="3"/>
    <s v="WGC 2024 - 18m"/>
    <s v="US"/>
    <n v="2024"/>
    <n v="11"/>
    <n v="8981"/>
    <n v="1.135"/>
    <n v="8419"/>
    <n v="9556"/>
    <x v="0"/>
    <x v="0"/>
    <s v="JS3"/>
    <s v="DZ"/>
    <s v="Není v databázi"/>
    <m/>
  </r>
  <r>
    <x v="579"/>
    <x v="4"/>
    <x v="1"/>
    <x v="163"/>
    <x v="3"/>
    <s v="WGC 2024 - 18m"/>
    <s v="US"/>
    <n v="2024"/>
    <n v="12"/>
    <n v="8945"/>
    <n v="1.135"/>
    <n v="8297"/>
    <n v="9417"/>
    <x v="0"/>
    <x v="0"/>
    <s v="AS 33 18m"/>
    <s v="V"/>
    <s v="Není v databázi"/>
    <m/>
  </r>
  <r>
    <x v="459"/>
    <x v="4"/>
    <x v="1"/>
    <x v="164"/>
    <x v="3"/>
    <s v="WGC 2024 - 18m"/>
    <s v="US"/>
    <n v="2024"/>
    <n v="13"/>
    <n v="8885"/>
    <n v="1.135"/>
    <n v="8157"/>
    <n v="9258"/>
    <x v="0"/>
    <x v="0"/>
    <s v="AS 33 Es"/>
    <s v="WG"/>
    <s v="Není v databázi"/>
    <m/>
  </r>
  <r>
    <x v="27"/>
    <x v="19"/>
    <x v="0"/>
    <x v="18"/>
    <x v="2"/>
    <s v="WGC 2024 - 18m"/>
    <s v="US"/>
    <n v="2024"/>
    <n v="14"/>
    <n v="8880"/>
    <n v="1.135"/>
    <n v="8057"/>
    <n v="9145"/>
    <x v="0"/>
    <x v="0"/>
    <s v="JS3 TJ 18m"/>
    <s v="QX"/>
    <s v=""/>
    <m/>
  </r>
  <r>
    <x v="571"/>
    <x v="4"/>
    <x v="1"/>
    <x v="168"/>
    <x v="3"/>
    <s v="WGC 2024 - 18m"/>
    <s v="US"/>
    <n v="2024"/>
    <n v="15"/>
    <n v="8688"/>
    <n v="1.135"/>
    <n v="7824"/>
    <n v="8880"/>
    <x v="0"/>
    <x v="0"/>
    <s v="JS3 TJ 18m"/>
    <s v="AJ"/>
    <s v="Není v databázi"/>
    <m/>
  </r>
  <r>
    <x v="960"/>
    <x v="4"/>
    <x v="1"/>
    <x v="169"/>
    <x v="3"/>
    <s v="WGC 2024 - 18m"/>
    <s v="US"/>
    <n v="2024"/>
    <n v="16"/>
    <n v="8678"/>
    <n v="1.135"/>
    <n v="7720"/>
    <n v="8762"/>
    <x v="0"/>
    <x v="0"/>
    <s v="JS-3-18m"/>
    <s v="LP"/>
    <s v="Není v databázi"/>
    <m/>
  </r>
  <r>
    <x v="450"/>
    <x v="4"/>
    <x v="1"/>
    <x v="159"/>
    <x v="3"/>
    <s v="WGC 2024 - 18m"/>
    <s v="US"/>
    <n v="2024"/>
    <n v="16"/>
    <n v="8678"/>
    <n v="1.135"/>
    <n v="7720"/>
    <n v="8762"/>
    <x v="0"/>
    <x v="0"/>
    <s v="JS3 TJ 18m"/>
    <s v="JR"/>
    <s v="Není v databázi"/>
    <m/>
  </r>
  <r>
    <x v="961"/>
    <x v="4"/>
    <x v="1"/>
    <x v="166"/>
    <x v="3"/>
    <s v="WGC 2024 - 18m"/>
    <s v="US"/>
    <n v="2024"/>
    <n v="18"/>
    <n v="8577"/>
    <n v="1.135"/>
    <n v="7455"/>
    <n v="8461"/>
    <x v="0"/>
    <x v="0"/>
    <s v="JS3 18m"/>
    <s v="MM"/>
    <s v="Není v databázi"/>
    <m/>
  </r>
  <r>
    <x v="962"/>
    <x v="4"/>
    <x v="1"/>
    <x v="167"/>
    <x v="3"/>
    <s v="WGC 2024 - 18m"/>
    <s v="US"/>
    <n v="2024"/>
    <n v="19"/>
    <n v="8558"/>
    <n v="1.135"/>
    <n v="7344"/>
    <n v="8335"/>
    <x v="0"/>
    <x v="0"/>
    <s v="Ventus 3T"/>
    <s v="N1"/>
    <s v="Není v databázi"/>
    <m/>
  </r>
  <r>
    <x v="963"/>
    <x v="4"/>
    <x v="1"/>
    <x v="256"/>
    <x v="3"/>
    <s v="WGC 2024 - 18m"/>
    <s v="US"/>
    <n v="2024"/>
    <n v="20"/>
    <n v="8552"/>
    <n v="1.135"/>
    <n v="7243"/>
    <n v="8221"/>
    <x v="0"/>
    <x v="0"/>
    <s v="AS 33 Es"/>
    <s v="XG"/>
    <s v="Není v databázi"/>
    <m/>
  </r>
  <r>
    <x v="471"/>
    <x v="4"/>
    <x v="1"/>
    <x v="165"/>
    <x v="3"/>
    <s v="WGC 2024 - 18m"/>
    <s v="US"/>
    <n v="2024"/>
    <n v="21"/>
    <n v="8342"/>
    <n v="1.135"/>
    <n v="6997"/>
    <n v="7942"/>
    <x v="0"/>
    <x v="0"/>
    <s v="JS-3-15m"/>
    <s v="BK"/>
    <s v="Není v databázi"/>
    <m/>
  </r>
  <r>
    <x v="964"/>
    <x v="4"/>
    <x v="1"/>
    <x v="149"/>
    <x v="3"/>
    <s v="WGC 2024 - 18m"/>
    <s v="US"/>
    <n v="2024"/>
    <n v="22"/>
    <n v="8262"/>
    <n v="1.135"/>
    <n v="6843"/>
    <n v="7767"/>
    <x v="0"/>
    <x v="0"/>
    <s v="Ventus 3M 18m"/>
    <s v="NJ"/>
    <s v="Není v databázi"/>
    <m/>
  </r>
  <r>
    <x v="560"/>
    <x v="4"/>
    <x v="1"/>
    <x v="149"/>
    <x v="3"/>
    <s v="WGC 2024 - 18m"/>
    <s v="US"/>
    <n v="2024"/>
    <n v="23"/>
    <n v="8180"/>
    <n v="1.135"/>
    <n v="6688"/>
    <n v="7591"/>
    <x v="0"/>
    <x v="0"/>
    <s v="Ventus 3T"/>
    <s v="GT"/>
    <s v="Není v databázi"/>
    <m/>
  </r>
  <r>
    <x v="215"/>
    <x v="8"/>
    <x v="0"/>
    <x v="0"/>
    <x v="0"/>
    <s v="WGC 2024 - 18m"/>
    <s v="US"/>
    <n v="2024"/>
    <n v="24"/>
    <n v="8166"/>
    <n v="1.135"/>
    <n v="6582"/>
    <n v="7471"/>
    <x v="1"/>
    <x v="0"/>
    <s v="JS3 TJ 18m"/>
    <s v="ZE"/>
    <s v=""/>
    <m/>
  </r>
  <r>
    <x v="965"/>
    <x v="4"/>
    <x v="1"/>
    <x v="168"/>
    <x v="3"/>
    <s v="WGC 2024 - 18m"/>
    <s v="US"/>
    <n v="2024"/>
    <n v="25"/>
    <n v="7589"/>
    <n v="1.135"/>
    <n v="6074"/>
    <n v="6894"/>
    <x v="0"/>
    <x v="0"/>
    <s v="JS3 TJ 18m"/>
    <s v="IMS"/>
    <s v="Není v databázi"/>
    <m/>
  </r>
  <r>
    <x v="966"/>
    <x v="4"/>
    <x v="1"/>
    <x v="256"/>
    <x v="3"/>
    <s v="WGC 2024 - 18m"/>
    <s v="US"/>
    <n v="2024"/>
    <n v="26"/>
    <n v="7513"/>
    <n v="1.135"/>
    <n v="5924"/>
    <n v="6724"/>
    <x v="0"/>
    <x v="0"/>
    <s v="ASG29"/>
    <s v="MS"/>
    <s v="Není v databázi"/>
    <m/>
  </r>
  <r>
    <x v="967"/>
    <x v="4"/>
    <x v="1"/>
    <x v="255"/>
    <x v="3"/>
    <s v="WGC 2024 - 18m"/>
    <s v="US"/>
    <n v="2024"/>
    <n v="27"/>
    <n v="6736"/>
    <n v="1.135"/>
    <n v="5274"/>
    <n v="5986"/>
    <x v="0"/>
    <x v="0"/>
    <s v="JS3 TJ 18m"/>
    <s v="XC"/>
    <s v="Není v databázi"/>
    <m/>
  </r>
  <r>
    <x v="968"/>
    <x v="4"/>
    <x v="1"/>
    <x v="158"/>
    <x v="3"/>
    <s v="WGC 2024 - 18m"/>
    <s v="US"/>
    <n v="2024"/>
    <n v="28"/>
    <n v="6729"/>
    <n v="1.135"/>
    <n v="5173"/>
    <n v="5871"/>
    <x v="0"/>
    <x v="0"/>
    <s v="JS3 18m"/>
    <s v="FS"/>
    <s v="Není v databázi"/>
    <m/>
  </r>
  <r>
    <x v="37"/>
    <x v="25"/>
    <x v="2"/>
    <x v="0"/>
    <x v="0"/>
    <s v="WGC 2024 - 18m"/>
    <s v="US"/>
    <n v="2024"/>
    <n v="29"/>
    <n v="6256"/>
    <n v="1.135"/>
    <n v="4739"/>
    <n v="5379"/>
    <x v="0"/>
    <x v="0"/>
    <s v="JS3 RES 18m"/>
    <s v="A7"/>
    <s v=""/>
    <m/>
  </r>
  <r>
    <x v="969"/>
    <x v="4"/>
    <x v="1"/>
    <x v="162"/>
    <x v="3"/>
    <s v="WGC 2024 - 18m"/>
    <s v="US"/>
    <n v="2024"/>
    <n v="30"/>
    <n v="6252"/>
    <n v="1.135"/>
    <n v="4640"/>
    <n v="5266"/>
    <x v="0"/>
    <x v="0"/>
    <s v="JS3 RES 18m"/>
    <s v="MII"/>
    <s v="Není v databázi"/>
    <m/>
  </r>
  <r>
    <x v="970"/>
    <x v="4"/>
    <x v="1"/>
    <x v="159"/>
    <x v="3"/>
    <s v="WGC 2024 - 18m"/>
    <s v="US"/>
    <n v="2024"/>
    <n v="31"/>
    <n v="6250"/>
    <n v="1.135"/>
    <n v="4542"/>
    <n v="5155"/>
    <x v="0"/>
    <x v="0"/>
    <s v="JS1 TJ 18m"/>
    <s v="A8"/>
    <s v="Není v databázi"/>
    <m/>
  </r>
  <r>
    <x v="971"/>
    <x v="4"/>
    <x v="1"/>
    <x v="155"/>
    <x v="3"/>
    <s v="WGC 2024 - 18m"/>
    <s v="US"/>
    <n v="2024"/>
    <n v="32"/>
    <n v="6147"/>
    <n v="1.135"/>
    <n v="4372"/>
    <n v="4962"/>
    <x v="0"/>
    <x v="0"/>
    <s v="JS3-RES"/>
    <s v="ST"/>
    <s v="Není v databázi"/>
    <m/>
  </r>
  <r>
    <x v="972"/>
    <x v="4"/>
    <x v="1"/>
    <x v="255"/>
    <x v="3"/>
    <s v="WGC 2024 - Duo 20m"/>
    <s v="US"/>
    <n v="2024"/>
    <n v="1"/>
    <n v="9616"/>
    <n v="1.085"/>
    <n v="10000"/>
    <n v="10850"/>
    <x v="0"/>
    <x v="0"/>
    <s v="Arcus M"/>
    <s v="L"/>
    <s v="Není v databázi"/>
    <m/>
  </r>
  <r>
    <x v="973"/>
    <x v="4"/>
    <x v="1"/>
    <x v="158"/>
    <x v="3"/>
    <s v="WGC 2024 - Duo 20m"/>
    <s v="US"/>
    <n v="2024"/>
    <n v="2"/>
    <n v="9552"/>
    <n v="1.085"/>
    <n v="9753"/>
    <n v="10582"/>
    <x v="0"/>
    <x v="0"/>
    <s v="ASG 32 Mi"/>
    <s v="MD"/>
    <s v="Není v databázi"/>
    <m/>
  </r>
  <r>
    <x v="945"/>
    <x v="4"/>
    <x v="1"/>
    <x v="164"/>
    <x v="3"/>
    <s v="WGC 2024 - Duo 20m"/>
    <s v="US"/>
    <n v="2024"/>
    <n v="3"/>
    <n v="9499"/>
    <n v="1.085"/>
    <n v="9515"/>
    <n v="10324"/>
    <x v="0"/>
    <x v="0"/>
    <s v="Arcus M"/>
    <s v="BF"/>
    <s v="Není v databázi"/>
    <m/>
  </r>
  <r>
    <x v="974"/>
    <x v="4"/>
    <x v="1"/>
    <x v="169"/>
    <x v="3"/>
    <s v="WGC 2024 - Duo 20m"/>
    <s v="US"/>
    <n v="2024"/>
    <n v="4"/>
    <n v="9484"/>
    <n v="1.085"/>
    <n v="9304"/>
    <n v="10095"/>
    <x v="0"/>
    <x v="0"/>
    <s v="Arcus M"/>
    <s v="AXO"/>
    <s v="Není v databázi"/>
    <m/>
  </r>
  <r>
    <x v="937"/>
    <x v="4"/>
    <x v="1"/>
    <x v="147"/>
    <x v="3"/>
    <s v="WGC 2024 - Duo 20m"/>
    <s v="US"/>
    <n v="2024"/>
    <n v="5"/>
    <n v="9417"/>
    <n v="1.085"/>
    <n v="9055"/>
    <n v="9825"/>
    <x v="0"/>
    <x v="0"/>
    <s v="Arcus T"/>
    <s v="MG"/>
    <s v="Není v databázi"/>
    <m/>
  </r>
  <r>
    <x v="975"/>
    <x v="4"/>
    <x v="1"/>
    <x v="157"/>
    <x v="3"/>
    <s v="WGC 2024 - Duo 20m"/>
    <s v="US"/>
    <n v="2024"/>
    <n v="6"/>
    <n v="9212"/>
    <n v="1.085"/>
    <n v="8706"/>
    <n v="9446"/>
    <x v="0"/>
    <x v="0"/>
    <s v="Arcus M"/>
    <n v="3"/>
    <s v="Není v databázi"/>
    <m/>
  </r>
  <r>
    <x v="944"/>
    <x v="4"/>
    <x v="1"/>
    <x v="167"/>
    <x v="3"/>
    <s v="WGC 2024 - Duo 20m"/>
    <s v="US"/>
    <n v="2024"/>
    <n v="7"/>
    <n v="9021"/>
    <n v="1.085"/>
    <n v="8367"/>
    <n v="9078"/>
    <x v="0"/>
    <x v="0"/>
    <s v="Arcus M"/>
    <s v="AXC"/>
    <s v="Není v databázi"/>
    <m/>
  </r>
  <r>
    <x v="976"/>
    <x v="4"/>
    <x v="1"/>
    <x v="148"/>
    <x v="3"/>
    <s v="WGC 2024 - Duo 20m"/>
    <s v="US"/>
    <n v="2024"/>
    <n v="8"/>
    <n v="8589"/>
    <n v="1.085"/>
    <n v="7852"/>
    <n v="8519"/>
    <x v="0"/>
    <x v="0"/>
    <s v="Arcus M"/>
    <s v="WT"/>
    <s v="Není v databázi"/>
    <m/>
  </r>
  <r>
    <x v="943"/>
    <x v="4"/>
    <x v="1"/>
    <x v="166"/>
    <x v="3"/>
    <s v="WGC 2024 - Duo 20m"/>
    <s v="US"/>
    <n v="2024"/>
    <n v="9"/>
    <n v="8571"/>
    <n v="1.085"/>
    <n v="7639"/>
    <n v="8288"/>
    <x v="0"/>
    <x v="0"/>
    <s v="Arcus T"/>
    <s v="2AS"/>
    <s v="Není v databázi"/>
    <m/>
  </r>
  <r>
    <x v="977"/>
    <x v="4"/>
    <x v="1"/>
    <x v="160"/>
    <x v="3"/>
    <s v="WGC 2024 - Duo 20m"/>
    <s v="US"/>
    <n v="2024"/>
    <n v="10"/>
    <n v="8499"/>
    <n v="1.085"/>
    <n v="7387"/>
    <n v="8015"/>
    <x v="0"/>
    <x v="0"/>
    <s v="Arcus M"/>
    <s v="MH"/>
    <s v="Není v databázi"/>
    <m/>
  </r>
  <r>
    <x v="978"/>
    <x v="4"/>
    <x v="1"/>
    <x v="165"/>
    <x v="3"/>
    <s v="WGC 2024 - Duo 20m"/>
    <s v="US"/>
    <n v="2024"/>
    <n v="11"/>
    <n v="8487"/>
    <n v="1.085"/>
    <n v="7178"/>
    <n v="7788"/>
    <x v="0"/>
    <x v="0"/>
    <s v="Twin Shark`"/>
    <s v="TS"/>
    <s v="Není v databázi"/>
    <m/>
  </r>
  <r>
    <x v="979"/>
    <x v="4"/>
    <x v="1"/>
    <x v="149"/>
    <x v="3"/>
    <s v="WGC 2024 - Duo 20m"/>
    <s v="US"/>
    <n v="2024"/>
    <n v="12"/>
    <n v="7810"/>
    <n v="1.085"/>
    <n v="6485"/>
    <n v="7036"/>
    <x v="0"/>
    <x v="0"/>
    <s v="Arcus M"/>
    <s v="PP"/>
    <s v="Není v databázi"/>
    <m/>
  </r>
  <r>
    <x v="32"/>
    <x v="14"/>
    <x v="0"/>
    <x v="21"/>
    <x v="0"/>
    <s v="WGC 2024 - Duo 20m"/>
    <s v="US"/>
    <n v="2024"/>
    <n v="13"/>
    <n v="7754"/>
    <n v="1.085"/>
    <n v="6245"/>
    <n v="6776"/>
    <x v="0"/>
    <x v="0"/>
    <s v="Twin Shark"/>
    <s v="TSK"/>
    <s v=""/>
    <m/>
  </r>
  <r>
    <x v="980"/>
    <x v="4"/>
    <x v="1"/>
    <x v="168"/>
    <x v="3"/>
    <s v="WGC 2024 - Duo 20m"/>
    <s v="US"/>
    <n v="2024"/>
    <n v="14"/>
    <n v="7745"/>
    <n v="1.085"/>
    <n v="6038"/>
    <n v="6551"/>
    <x v="0"/>
    <x v="0"/>
    <s v="Arcus M"/>
    <s v="EL"/>
    <s v="Není v databázi"/>
    <m/>
  </r>
  <r>
    <x v="503"/>
    <x v="4"/>
    <x v="1"/>
    <x v="153"/>
    <x v="3"/>
    <s v="WGC 2024 - Duo 20m"/>
    <s v="US"/>
    <n v="2024"/>
    <n v="15"/>
    <n v="7601"/>
    <n v="1.085"/>
    <n v="5733"/>
    <n v="6220"/>
    <x v="0"/>
    <x v="0"/>
    <s v="Arcus T"/>
    <s v="JT"/>
    <s v="Není v databázi"/>
    <m/>
  </r>
  <r>
    <x v="981"/>
    <x v="4"/>
    <x v="1"/>
    <x v="171"/>
    <x v="3"/>
    <s v="WGC 2024 - Duo 20m"/>
    <s v="US"/>
    <n v="2024"/>
    <n v="16"/>
    <n v="6297"/>
    <n v="1.085"/>
    <n v="4584"/>
    <n v="4974"/>
    <x v="0"/>
    <x v="0"/>
    <s v="ASG 32Mi"/>
    <s v="UC"/>
    <s v="Není v databázi"/>
    <m/>
  </r>
  <r>
    <x v="982"/>
    <x v="4"/>
    <x v="1"/>
    <x v="148"/>
    <x v="3"/>
    <s v="WGC 2024 - Open"/>
    <s v="US"/>
    <n v="2024"/>
    <n v="1"/>
    <n v="10887"/>
    <n v="1.0900000000000001"/>
    <n v="10000"/>
    <n v="10900"/>
    <x v="0"/>
    <x v="0"/>
    <s v="EB 29R"/>
    <s v="FL"/>
    <s v="Není v databázi"/>
    <m/>
  </r>
  <r>
    <x v="983"/>
    <x v="4"/>
    <x v="1"/>
    <x v="148"/>
    <x v="3"/>
    <s v="WGC 2024 - Open"/>
    <s v="US"/>
    <n v="2024"/>
    <n v="2"/>
    <n v="10782"/>
    <n v="1.0900000000000001"/>
    <n v="9745"/>
    <n v="10622"/>
    <x v="0"/>
    <x v="0"/>
    <s v="EB29R"/>
    <s v="EB"/>
    <s v="Není v databázi"/>
    <m/>
  </r>
  <r>
    <x v="984"/>
    <x v="4"/>
    <x v="1"/>
    <x v="147"/>
    <x v="3"/>
    <s v="WGC 2024 - Open"/>
    <s v="US"/>
    <n v="2024"/>
    <n v="3"/>
    <n v="10485"/>
    <n v="1.0900000000000001"/>
    <n v="9367"/>
    <n v="10210"/>
    <x v="0"/>
    <x v="0"/>
    <s v="JS1C 21m"/>
    <s v="FD"/>
    <s v="Není v databázi"/>
    <m/>
  </r>
  <r>
    <x v="477"/>
    <x v="4"/>
    <x v="1"/>
    <x v="147"/>
    <x v="3"/>
    <s v="WGC 2024 - Open"/>
    <s v="US"/>
    <n v="2024"/>
    <n v="4"/>
    <n v="10402"/>
    <n v="1.0900000000000001"/>
    <n v="9126"/>
    <n v="9947"/>
    <x v="0"/>
    <x v="0"/>
    <s v="EB 29R"/>
    <n v="72"/>
    <s v="Není v databázi"/>
    <m/>
  </r>
  <r>
    <x v="985"/>
    <x v="4"/>
    <x v="1"/>
    <x v="157"/>
    <x v="3"/>
    <s v="WGC 2024 - Open"/>
    <s v="US"/>
    <n v="2024"/>
    <n v="5"/>
    <n v="10331"/>
    <n v="1.0900000000000001"/>
    <n v="8893"/>
    <n v="9693"/>
    <x v="0"/>
    <x v="0"/>
    <s v="EB29R"/>
    <s v="XR"/>
    <s v="Není v databázi"/>
    <m/>
  </r>
  <r>
    <x v="986"/>
    <x v="4"/>
    <x v="1"/>
    <x v="255"/>
    <x v="3"/>
    <s v="WGC 2024 - Open"/>
    <s v="US"/>
    <n v="2024"/>
    <n v="6"/>
    <n v="10182"/>
    <n v="1.0900000000000001"/>
    <n v="8609"/>
    <n v="9384"/>
    <x v="0"/>
    <x v="0"/>
    <s v="EB 29R"/>
    <s v="1C"/>
    <s v="Není v databázi"/>
    <m/>
  </r>
  <r>
    <x v="987"/>
    <x v="4"/>
    <x v="1"/>
    <x v="168"/>
    <x v="3"/>
    <s v="WGC 2024 - Open"/>
    <s v="US"/>
    <n v="2024"/>
    <n v="7"/>
    <n v="9806"/>
    <n v="1.0900000000000001"/>
    <n v="8180"/>
    <n v="8916"/>
    <x v="0"/>
    <x v="0"/>
    <s v="JS5"/>
    <n v="5"/>
    <s v="Není v databázi"/>
    <m/>
  </r>
  <r>
    <x v="456"/>
    <x v="4"/>
    <x v="1"/>
    <x v="167"/>
    <x v="3"/>
    <s v="WGC 2024 - Open"/>
    <s v="US"/>
    <n v="2024"/>
    <n v="8"/>
    <n v="9500"/>
    <n v="1.0900000000000001"/>
    <n v="7796"/>
    <n v="8498"/>
    <x v="0"/>
    <x v="0"/>
    <s v="JS-1-21m"/>
    <s v="E1"/>
    <s v="Není v databázi"/>
    <m/>
  </r>
  <r>
    <x v="988"/>
    <x v="4"/>
    <x v="1"/>
    <x v="257"/>
    <x v="3"/>
    <s v="WGC 2024 - Open"/>
    <s v="US"/>
    <n v="2024"/>
    <n v="9"/>
    <n v="9458"/>
    <n v="1.0900000000000001"/>
    <n v="7581"/>
    <n v="8263"/>
    <x v="0"/>
    <x v="0"/>
    <s v="JS5"/>
    <s v="ZF"/>
    <s v="Není v databázi"/>
    <m/>
  </r>
  <r>
    <x v="989"/>
    <x v="4"/>
    <x v="1"/>
    <x v="168"/>
    <x v="3"/>
    <s v="WGC 2024 - Open"/>
    <s v="US"/>
    <n v="2024"/>
    <n v="10"/>
    <n v="9386"/>
    <n v="1.0900000000000001"/>
    <n v="7347"/>
    <n v="8008"/>
    <x v="0"/>
    <x v="0"/>
    <s v="JS5"/>
    <s v="OG"/>
    <s v="Není v databázi"/>
    <m/>
  </r>
  <r>
    <x v="990"/>
    <x v="4"/>
    <x v="1"/>
    <x v="157"/>
    <x v="3"/>
    <s v="WGC 2024 - Open"/>
    <s v="US"/>
    <n v="2024"/>
    <n v="11"/>
    <n v="9304"/>
    <n v="1.0900000000000001"/>
    <n v="7107"/>
    <n v="7747"/>
    <x v="0"/>
    <x v="0"/>
    <s v="JS1C TJ 21m"/>
    <s v="BJ"/>
    <s v="Není v databázi"/>
    <m/>
  </r>
  <r>
    <x v="991"/>
    <x v="4"/>
    <x v="1"/>
    <x v="255"/>
    <x v="3"/>
    <s v="WGC 2024 - Open"/>
    <s v="US"/>
    <n v="2024"/>
    <n v="12"/>
    <n v="9297"/>
    <n v="1.0900000000000001"/>
    <n v="6915"/>
    <n v="7537"/>
    <x v="0"/>
    <x v="0"/>
    <s v="JS1C TJ 21m"/>
    <s v="AG"/>
    <s v="Není v databázi"/>
    <m/>
  </r>
  <r>
    <x v="452"/>
    <x v="4"/>
    <x v="1"/>
    <x v="165"/>
    <x v="3"/>
    <s v="WGC 2024 - Open"/>
    <s v="US"/>
    <n v="2024"/>
    <n v="13"/>
    <n v="9197"/>
    <n v="1.0900000000000001"/>
    <n v="6663"/>
    <n v="7263"/>
    <x v="0"/>
    <x v="0"/>
    <s v="JS5"/>
    <s v="BX"/>
    <s v="Není v databázi"/>
    <m/>
  </r>
  <r>
    <x v="481"/>
    <x v="4"/>
    <x v="1"/>
    <x v="167"/>
    <x v="3"/>
    <s v="WGC 2024 - Open"/>
    <s v="US"/>
    <n v="2024"/>
    <n v="14"/>
    <n v="9105"/>
    <n v="1.0900000000000001"/>
    <n v="6417"/>
    <n v="6995"/>
    <x v="0"/>
    <x v="0"/>
    <s v="JS1C TJ 21m"/>
    <s v="TJ"/>
    <s v="Není v databázi"/>
    <m/>
  </r>
  <r>
    <x v="29"/>
    <x v="21"/>
    <x v="0"/>
    <x v="19"/>
    <x v="1"/>
    <s v="WGC 2024 - Open"/>
    <s v="US"/>
    <n v="2024"/>
    <n v="15"/>
    <n v="8266"/>
    <n v="1.0900000000000001"/>
    <n v="5690"/>
    <n v="6202"/>
    <x v="0"/>
    <x v="0"/>
    <s v="JS1C TJ 21m"/>
    <s v="ZP"/>
    <s v=""/>
    <m/>
  </r>
  <r>
    <x v="992"/>
    <x v="4"/>
    <x v="1"/>
    <x v="169"/>
    <x v="3"/>
    <s v="WGC 2024 - Open"/>
    <s v="US"/>
    <n v="2024"/>
    <n v="16"/>
    <n v="7176"/>
    <n v="1.0900000000000001"/>
    <n v="4801"/>
    <n v="5233"/>
    <x v="0"/>
    <x v="0"/>
    <s v="JS1C TJ 21m"/>
    <s v="CG"/>
    <s v="Není v databázi"/>
    <m/>
  </r>
  <r>
    <x v="993"/>
    <x v="4"/>
    <x v="1"/>
    <x v="155"/>
    <x v="3"/>
    <s v="WGC 2024 - Open"/>
    <s v="US"/>
    <n v="2024"/>
    <n v="17"/>
    <n v="7050"/>
    <n v="1.0900000000000001"/>
    <n v="4533"/>
    <n v="4941"/>
    <x v="0"/>
    <x v="0"/>
    <s v="Nixus"/>
    <s v="SA"/>
    <s v="Není v databázi"/>
    <m/>
  </r>
  <r>
    <x v="586"/>
    <x v="4"/>
    <x v="1"/>
    <x v="258"/>
    <x v="3"/>
    <s v="AZ Cup 2025 - Klub"/>
    <s v="CZ"/>
    <n v="2025"/>
    <n v="1"/>
    <n v="2674"/>
    <n v="0.93"/>
    <n v="10000"/>
    <n v="9300"/>
    <x v="0"/>
    <x v="0"/>
    <s v="LS 3 WL"/>
    <s v="SN"/>
    <s v="Není v databázi"/>
    <m/>
  </r>
  <r>
    <x v="0"/>
    <x v="0"/>
    <x v="0"/>
    <x v="0"/>
    <x v="0"/>
    <s v="AZ Cup 2025 - Klub"/>
    <s v="CZ"/>
    <n v="2025"/>
    <n v="2"/>
    <n v="2646"/>
    <n v="0.93"/>
    <n v="9811"/>
    <n v="9124"/>
    <x v="0"/>
    <x v="0"/>
    <s v="Centair 101 BC Pegase"/>
    <s v="RT"/>
    <s v=""/>
    <m/>
  </r>
  <r>
    <x v="13"/>
    <x v="4"/>
    <x v="1"/>
    <x v="11"/>
    <x v="5"/>
    <s v="AZ Cup 2025 - Klub"/>
    <s v="CZ"/>
    <n v="2025"/>
    <n v="3"/>
    <n v="2553"/>
    <n v="0.93"/>
    <n v="9452"/>
    <n v="8790"/>
    <x v="0"/>
    <x v="0"/>
    <s v="ASW 20"/>
    <s v="CP"/>
    <s v="Není v databázi"/>
    <m/>
  </r>
  <r>
    <x v="994"/>
    <x v="4"/>
    <x v="1"/>
    <x v="259"/>
    <x v="3"/>
    <s v="AZ Cup 2025 - Klub"/>
    <s v="CZ"/>
    <n v="2025"/>
    <n v="4"/>
    <n v="2518"/>
    <n v="0.93"/>
    <n v="9245"/>
    <n v="8598"/>
    <x v="0"/>
    <x v="0"/>
    <s v="ASW 20"/>
    <s v="FL"/>
    <s v="Není v databázi"/>
    <m/>
  </r>
  <r>
    <x v="995"/>
    <x v="4"/>
    <x v="1"/>
    <x v="260"/>
    <x v="3"/>
    <s v="AZ Cup 2025 - Klub"/>
    <s v="CZ"/>
    <n v="2025"/>
    <n v="5"/>
    <n v="2513"/>
    <n v="0.93"/>
    <n v="9117"/>
    <n v="8479"/>
    <x v="0"/>
    <x v="0"/>
    <s v="LS 4"/>
    <s v="YG"/>
    <s v="Není v databázi"/>
    <m/>
  </r>
  <r>
    <x v="2"/>
    <x v="2"/>
    <x v="0"/>
    <x v="2"/>
    <x v="0"/>
    <s v="AZ Cup 2025 - Klub"/>
    <s v="CZ"/>
    <n v="2025"/>
    <n v="6"/>
    <n v="2506"/>
    <n v="0.93"/>
    <n v="8983"/>
    <n v="8354"/>
    <x v="0"/>
    <x v="0"/>
    <s v="LS 4"/>
    <s v="IX"/>
    <s v=""/>
    <m/>
  </r>
  <r>
    <x v="592"/>
    <x v="4"/>
    <x v="1"/>
    <x v="261"/>
    <x v="3"/>
    <s v="AZ Cup 2025 - Klub"/>
    <s v="CZ"/>
    <n v="2025"/>
    <n v="7"/>
    <n v="2494"/>
    <n v="0.93"/>
    <n v="8836"/>
    <n v="8217"/>
    <x v="0"/>
    <x v="0"/>
    <s v="LS 7 WL"/>
    <s v="HG"/>
    <s v="Není v databázi"/>
    <m/>
  </r>
  <r>
    <x v="147"/>
    <x v="4"/>
    <x v="1"/>
    <x v="45"/>
    <x v="3"/>
    <s v="AZ Cup 2025 - Klub"/>
    <s v="CZ"/>
    <n v="2025"/>
    <n v="8"/>
    <n v="2485"/>
    <n v="0.93"/>
    <n v="8698"/>
    <n v="8089"/>
    <x v="0"/>
    <x v="0"/>
    <s v="LS 7 neo"/>
    <s v="AG"/>
    <s v="Není v databázi"/>
    <m/>
  </r>
  <r>
    <x v="24"/>
    <x v="9"/>
    <x v="0"/>
    <x v="16"/>
    <x v="0"/>
    <s v="AZ Cup 2025 - Klub"/>
    <s v="CZ"/>
    <n v="2025"/>
    <n v="9"/>
    <n v="2367"/>
    <n v="0.93"/>
    <n v="8273"/>
    <n v="7694"/>
    <x v="1"/>
    <x v="0"/>
    <s v="ASW 24"/>
    <n v="76"/>
    <s v=""/>
    <m/>
  </r>
  <r>
    <x v="403"/>
    <x v="4"/>
    <x v="1"/>
    <x v="209"/>
    <x v="3"/>
    <s v="AZ Cup 2025 - Klub"/>
    <s v="CZ"/>
    <n v="2025"/>
    <n v="10"/>
    <n v="2360"/>
    <n v="0.93"/>
    <n v="8140"/>
    <n v="7570"/>
    <x v="0"/>
    <x v="0"/>
    <s v="ASW 20"/>
    <s v="XI"/>
    <s v="Není v databázi"/>
    <m/>
  </r>
  <r>
    <x v="996"/>
    <x v="4"/>
    <x v="1"/>
    <x v="262"/>
    <x v="3"/>
    <s v="AZ Cup 2025 - Klub"/>
    <s v="CZ"/>
    <n v="2025"/>
    <n v="11"/>
    <n v="2308"/>
    <n v="0.93"/>
    <n v="7888"/>
    <n v="7336"/>
    <x v="0"/>
    <x v="0"/>
    <s v="ASW 20f"/>
    <s v="W4"/>
    <s v="Není v databázi"/>
    <m/>
  </r>
  <r>
    <x v="100"/>
    <x v="44"/>
    <x v="0"/>
    <x v="30"/>
    <x v="2"/>
    <s v="AZ Cup 2025 - Klub"/>
    <s v="CZ"/>
    <n v="2025"/>
    <n v="12"/>
    <n v="2207"/>
    <n v="0.93"/>
    <n v="7508"/>
    <n v="6982"/>
    <x v="0"/>
    <x v="0"/>
    <s v="ASW 19b"/>
    <n v="34"/>
    <s v="Junior v roce 2026"/>
    <m/>
  </r>
  <r>
    <x v="152"/>
    <x v="34"/>
    <x v="0"/>
    <x v="14"/>
    <x v="0"/>
    <s v="AZ Cup 2025 - Klub"/>
    <s v="CZ"/>
    <n v="2025"/>
    <n v="13"/>
    <n v="2116"/>
    <n v="0.93"/>
    <n v="7155"/>
    <n v="6654"/>
    <x v="0"/>
    <x v="0"/>
    <s v="Discus b WL"/>
    <s v="LD"/>
    <s v="Junior v roce 2026"/>
    <m/>
  </r>
  <r>
    <x v="12"/>
    <x v="10"/>
    <x v="0"/>
    <x v="0"/>
    <x v="0"/>
    <s v="AZ Cup 2025 - Klub"/>
    <s v="CZ"/>
    <n v="2025"/>
    <n v="14"/>
    <n v="2070"/>
    <n v="0.93"/>
    <n v="6919"/>
    <n v="6435"/>
    <x v="1"/>
    <x v="0"/>
    <s v="ASW 19b"/>
    <s v="PH"/>
    <s v=""/>
    <m/>
  </r>
  <r>
    <x v="178"/>
    <x v="50"/>
    <x v="0"/>
    <x v="42"/>
    <x v="0"/>
    <s v="AZ Cup 2025 - Klub"/>
    <s v="CZ"/>
    <n v="2025"/>
    <n v="15"/>
    <n v="2041"/>
    <n v="0.93"/>
    <n v="6728"/>
    <n v="6257"/>
    <x v="0"/>
    <x v="0"/>
    <s v="Cirrus std."/>
    <s v="TI"/>
    <s v="Junior v roce 2026"/>
    <m/>
  </r>
  <r>
    <x v="697"/>
    <x v="24"/>
    <x v="0"/>
    <x v="217"/>
    <x v="0"/>
    <s v="AZ Cup 2025 - Klub"/>
    <s v="CZ"/>
    <n v="2025"/>
    <n v="16"/>
    <n v="1970"/>
    <n v="0.93"/>
    <n v="6426"/>
    <n v="5976"/>
    <x v="1"/>
    <x v="0"/>
    <s v="ASW 15b"/>
    <s v="XEI"/>
    <s v=""/>
    <m/>
  </r>
  <r>
    <x v="424"/>
    <x v="4"/>
    <x v="1"/>
    <x v="55"/>
    <x v="3"/>
    <s v="AZ Cup 2025 - Klub"/>
    <s v="CZ"/>
    <n v="2025"/>
    <n v="17"/>
    <n v="1852"/>
    <n v="0.93"/>
    <n v="6002"/>
    <n v="5582"/>
    <x v="0"/>
    <x v="0"/>
    <s v="LS 7 WL"/>
    <s v="VX"/>
    <s v="Není v databázi"/>
    <m/>
  </r>
  <r>
    <x v="997"/>
    <x v="4"/>
    <x v="1"/>
    <x v="263"/>
    <x v="3"/>
    <s v="AZ Cup 2025 - Klub"/>
    <s v="CZ"/>
    <n v="2025"/>
    <n v="18"/>
    <n v="1844"/>
    <n v="0.93"/>
    <n v="5866"/>
    <n v="5455"/>
    <x v="0"/>
    <x v="0"/>
    <s v="LS 3a"/>
    <s v="QT"/>
    <s v="Není v databázi"/>
    <m/>
  </r>
  <r>
    <x v="998"/>
    <x v="4"/>
    <x v="1"/>
    <x v="5"/>
    <x v="3"/>
    <s v="AZ Cup 2025 - Klub"/>
    <s v="CZ"/>
    <n v="2025"/>
    <n v="19"/>
    <n v="1658"/>
    <n v="0.93"/>
    <n v="5263"/>
    <n v="4895"/>
    <x v="0"/>
    <x v="0"/>
    <s v="ASW 20"/>
    <n v="311"/>
    <s v="Není v databázi"/>
    <m/>
  </r>
  <r>
    <x v="20"/>
    <x v="15"/>
    <x v="0"/>
    <x v="0"/>
    <x v="0"/>
    <s v="AZ Cup 2025 - Klub"/>
    <s v="CZ"/>
    <n v="2025"/>
    <n v="20"/>
    <n v="1649"/>
    <n v="0.93"/>
    <n v="5124"/>
    <n v="4765"/>
    <x v="1"/>
    <x v="0"/>
    <s v="Cirrus std."/>
    <s v="C1"/>
    <s v=""/>
    <m/>
  </r>
  <r>
    <x v="48"/>
    <x v="2"/>
    <x v="0"/>
    <x v="0"/>
    <x v="0"/>
    <s v="AZ Cup 2025 - Klub"/>
    <s v="CZ"/>
    <n v="2025"/>
    <n v="21"/>
    <n v="1340"/>
    <n v="0.93"/>
    <n v="4200"/>
    <n v="3906"/>
    <x v="1"/>
    <x v="0"/>
    <s v="ASW 19b"/>
    <s v="O2"/>
    <s v=""/>
    <m/>
  </r>
  <r>
    <x v="15"/>
    <x v="12"/>
    <x v="0"/>
    <x v="0"/>
    <x v="0"/>
    <s v="AZ Cup 2025 - Klub"/>
    <s v="CZ"/>
    <n v="2025"/>
    <n v="22"/>
    <n v="1296"/>
    <n v="0.93"/>
    <n v="3970"/>
    <n v="3692"/>
    <x v="1"/>
    <x v="0"/>
    <s v="ASW 19b"/>
    <s v="PM"/>
    <s v=""/>
    <m/>
  </r>
  <r>
    <x v="23"/>
    <x v="16"/>
    <x v="0"/>
    <x v="6"/>
    <x v="2"/>
    <s v="AZ Cup 2025 - Klub"/>
    <s v="CZ"/>
    <n v="2025"/>
    <n v="23"/>
    <n v="1184"/>
    <n v="0.93"/>
    <n v="3561"/>
    <n v="3312"/>
    <x v="1"/>
    <x v="0"/>
    <s v="DG 200 15m"/>
    <s v="AK"/>
    <s v=""/>
    <m/>
  </r>
  <r>
    <x v="690"/>
    <x v="9"/>
    <x v="0"/>
    <x v="2"/>
    <x v="0"/>
    <s v="AZ Cup 2025 - Klub"/>
    <s v="CZ"/>
    <n v="2025"/>
    <n v="24"/>
    <n v="1094"/>
    <n v="0.93"/>
    <n v="3210"/>
    <n v="2985"/>
    <x v="1"/>
    <x v="0"/>
    <s v="Janus c"/>
    <s v="DF"/>
    <s v=""/>
    <m/>
  </r>
  <r>
    <x v="26"/>
    <x v="18"/>
    <x v="0"/>
    <x v="0"/>
    <x v="0"/>
    <s v="AZ Cup 2025 - Klub"/>
    <s v="CZ"/>
    <n v="2025"/>
    <n v="25"/>
    <n v="722"/>
    <n v="0.93"/>
    <n v="2121"/>
    <n v="1973"/>
    <x v="1"/>
    <x v="0"/>
    <s v="G 103 II"/>
    <s v="RB"/>
    <s v=""/>
    <m/>
  </r>
  <r>
    <x v="21"/>
    <x v="6"/>
    <x v="0"/>
    <x v="15"/>
    <x v="1"/>
    <s v="AZ Cup 2025 - Klub"/>
    <s v="CZ"/>
    <n v="2025"/>
    <n v="26"/>
    <n v="581"/>
    <n v="0.93"/>
    <n v="1636"/>
    <n v="1521"/>
    <x v="1"/>
    <x v="0"/>
    <s v="ASW 15b"/>
    <s v="T"/>
    <s v=""/>
    <m/>
  </r>
  <r>
    <x v="57"/>
    <x v="36"/>
    <x v="0"/>
    <x v="6"/>
    <x v="2"/>
    <s v="AZ Cup 2025 - Klub"/>
    <s v="CZ"/>
    <n v="2025"/>
    <n v="27"/>
    <n v="252"/>
    <n v="0.93"/>
    <n v="660"/>
    <n v="614"/>
    <x v="1"/>
    <x v="0"/>
    <s v="DG 400 17m"/>
    <s v="PS"/>
    <s v=""/>
    <m/>
  </r>
  <r>
    <x v="38"/>
    <x v="26"/>
    <x v="0"/>
    <x v="21"/>
    <x v="0"/>
    <s v="AZ Cup 2025 - Kombi 15m"/>
    <s v="CZ"/>
    <n v="2025"/>
    <n v="1"/>
    <n v="3138"/>
    <n v="0.96000000000000008"/>
    <n v="10000"/>
    <n v="9600"/>
    <x v="1"/>
    <x v="0"/>
    <s v="Ventus 2a"/>
    <s v="AXI"/>
    <s v=""/>
    <m/>
  </r>
  <r>
    <x v="1"/>
    <x v="1"/>
    <x v="0"/>
    <x v="1"/>
    <x v="1"/>
    <s v="AZ Cup 2025 - Kombi 15m"/>
    <s v="CZ"/>
    <n v="2025"/>
    <n v="2"/>
    <n v="3044"/>
    <n v="0.96000000000000008"/>
    <n v="9590"/>
    <n v="9206"/>
    <x v="1"/>
    <x v="0"/>
    <s v="JS 3"/>
    <s v="ZE"/>
    <s v=""/>
    <m/>
  </r>
  <r>
    <x v="812"/>
    <x v="4"/>
    <x v="1"/>
    <x v="259"/>
    <x v="3"/>
    <s v="AZ Cup 2025 - Kombi 15m"/>
    <s v="CZ"/>
    <n v="2025"/>
    <n v="3"/>
    <n v="2907"/>
    <n v="0.96000000000000008"/>
    <n v="9085"/>
    <n v="8722"/>
    <x v="0"/>
    <x v="0"/>
    <s v="Diana 2"/>
    <s v="BB"/>
    <s v="Není v databázi"/>
    <m/>
  </r>
  <r>
    <x v="568"/>
    <x v="4"/>
    <x v="1"/>
    <x v="264"/>
    <x v="3"/>
    <s v="AZ Cup 2025 - Kombi 15m"/>
    <s v="CZ"/>
    <n v="2025"/>
    <n v="4"/>
    <n v="2882"/>
    <n v="0.96000000000000008"/>
    <n v="8829"/>
    <n v="8476"/>
    <x v="0"/>
    <x v="0"/>
    <s v="Ventus 2a"/>
    <s v="SG"/>
    <s v="Není v databázi"/>
    <m/>
  </r>
  <r>
    <x v="999"/>
    <x v="4"/>
    <x v="1"/>
    <x v="265"/>
    <x v="3"/>
    <s v="AZ Cup 2025 - Kombi 15m"/>
    <s v="CZ"/>
    <n v="2025"/>
    <n v="5"/>
    <n v="2838"/>
    <n v="0.96000000000000008"/>
    <n v="8531"/>
    <n v="8190"/>
    <x v="0"/>
    <x v="0"/>
    <s v="Discus 2a"/>
    <s v="WD"/>
    <s v="Není v databázi"/>
    <m/>
  </r>
  <r>
    <x v="318"/>
    <x v="4"/>
    <x v="1"/>
    <x v="91"/>
    <x v="3"/>
    <s v="AZ Cup 2025 - Kombi 15m"/>
    <s v="CZ"/>
    <n v="2025"/>
    <n v="6"/>
    <n v="2814"/>
    <n v="0.96000000000000008"/>
    <n v="8277"/>
    <n v="7946"/>
    <x v="0"/>
    <x v="0"/>
    <s v="LS 8"/>
    <s v="P1"/>
    <s v="Není v databázi"/>
    <m/>
  </r>
  <r>
    <x v="822"/>
    <x v="4"/>
    <x v="1"/>
    <x v="262"/>
    <x v="3"/>
    <s v="AZ Cup 2025 - Kombi 15m"/>
    <s v="CZ"/>
    <n v="2025"/>
    <n v="7"/>
    <n v="2806"/>
    <n v="0.96000000000000008"/>
    <n v="8059"/>
    <n v="7737"/>
    <x v="0"/>
    <x v="0"/>
    <s v="ASG 29 15m"/>
    <s v="M7"/>
    <s v="Není v databázi"/>
    <m/>
  </r>
  <r>
    <x v="29"/>
    <x v="21"/>
    <x v="0"/>
    <x v="19"/>
    <x v="1"/>
    <s v="AZ Cup 2025 - Kombi 15m"/>
    <s v="CZ"/>
    <n v="2025"/>
    <n v="8"/>
    <n v="2570"/>
    <n v="0.96000000000000008"/>
    <n v="7333"/>
    <n v="7040"/>
    <x v="0"/>
    <x v="0"/>
    <s v="Duo Discus T 700kg"/>
    <s v="XH"/>
    <s v=""/>
    <m/>
  </r>
  <r>
    <x v="1000"/>
    <x v="4"/>
    <x v="1"/>
    <x v="266"/>
    <x v="3"/>
    <s v="AZ Cup 2025 - Kombi 15m"/>
    <s v="CZ"/>
    <n v="2025"/>
    <n v="9"/>
    <n v="2457"/>
    <n v="0.96000000000000008"/>
    <n v="6881"/>
    <n v="6606"/>
    <x v="0"/>
    <x v="0"/>
    <s v="Discus 2a"/>
    <s v="ET"/>
    <s v="Není v databázi"/>
    <m/>
  </r>
  <r>
    <x v="316"/>
    <x v="4"/>
    <x v="1"/>
    <x v="267"/>
    <x v="3"/>
    <s v="AZ Cup 2025 - Kombi 15m"/>
    <s v="CZ"/>
    <n v="2025"/>
    <n v="10"/>
    <n v="2451"/>
    <n v="0.96000000000000008"/>
    <n v="6667"/>
    <n v="6400"/>
    <x v="0"/>
    <x v="0"/>
    <s v="Discus 2ax"/>
    <s v="JPA"/>
    <s v="Není v databázi"/>
    <m/>
  </r>
  <r>
    <x v="10"/>
    <x v="8"/>
    <x v="0"/>
    <x v="10"/>
    <x v="0"/>
    <s v="AZ Cup 2025 - Kombi 15m"/>
    <s v="CZ"/>
    <n v="2025"/>
    <n v="11"/>
    <n v="2440"/>
    <n v="0.96000000000000008"/>
    <n v="6443"/>
    <n v="6185"/>
    <x v="0"/>
    <x v="0"/>
    <s v="ASW 27 WL"/>
    <s v="MF"/>
    <s v=""/>
    <m/>
  </r>
  <r>
    <x v="315"/>
    <x v="61"/>
    <x v="2"/>
    <x v="0"/>
    <x v="0"/>
    <s v="AZ Cup 2025 - Kombi 15m"/>
    <s v="CZ"/>
    <n v="2025"/>
    <n v="12"/>
    <n v="2271"/>
    <n v="0.96000000000000008"/>
    <n v="5866"/>
    <n v="5631"/>
    <x v="1"/>
    <x v="0"/>
    <s v="LS 8"/>
    <s v="EU"/>
    <s v=""/>
    <m/>
  </r>
  <r>
    <x v="1001"/>
    <x v="26"/>
    <x v="2"/>
    <x v="58"/>
    <x v="1"/>
    <s v="AZ Cup 2025 - Kombi 15m"/>
    <s v="CZ"/>
    <n v="2025"/>
    <n v="13"/>
    <n v="2054"/>
    <n v="0.96000000000000008"/>
    <n v="5182"/>
    <n v="4975"/>
    <x v="1"/>
    <x v="1"/>
    <s v="LS 8"/>
    <s v="W8"/>
    <s v=""/>
    <m/>
  </r>
  <r>
    <x v="1002"/>
    <x v="4"/>
    <x v="1"/>
    <x v="213"/>
    <x v="3"/>
    <s v="AZ Cup 2025 - Kombi 15m"/>
    <s v="CZ"/>
    <n v="2025"/>
    <n v="14"/>
    <n v="1802"/>
    <n v="0.96000000000000008"/>
    <n v="4420"/>
    <n v="4243"/>
    <x v="0"/>
    <x v="0"/>
    <s v="Discus 2a"/>
    <s v="AX"/>
    <s v="Není v databázi"/>
    <m/>
  </r>
  <r>
    <x v="1003"/>
    <x v="15"/>
    <x v="0"/>
    <x v="10"/>
    <x v="0"/>
    <s v="AZ Cup 2025 - Kombi 15m"/>
    <s v="CZ"/>
    <n v="2025"/>
    <n v="15"/>
    <n v="1775"/>
    <n v="0.96000000000000008"/>
    <n v="4160"/>
    <n v="3994"/>
    <x v="1"/>
    <x v="0"/>
    <s v="Duo Discus T 700kg"/>
    <s v="ZS"/>
    <s v=""/>
    <m/>
  </r>
  <r>
    <x v="890"/>
    <x v="4"/>
    <x v="1"/>
    <x v="108"/>
    <x v="3"/>
    <s v="AZ Cup 2025 - Kombi 15m"/>
    <s v="CZ"/>
    <n v="2025"/>
    <n v="16"/>
    <n v="881"/>
    <n v="0.96000000000000008"/>
    <n v="1965"/>
    <n v="1886"/>
    <x v="0"/>
    <x v="0"/>
    <s v="ASW 27b WL"/>
    <s v="3W"/>
    <s v="Není v databázi"/>
    <m/>
  </r>
  <r>
    <x v="27"/>
    <x v="19"/>
    <x v="0"/>
    <x v="18"/>
    <x v="2"/>
    <s v="AZ Cup 2025 - Kombi Open"/>
    <s v="CZ"/>
    <n v="2025"/>
    <n v="1"/>
    <n v="2791"/>
    <n v="0.94000000000000006"/>
    <n v="10000"/>
    <n v="9400"/>
    <x v="0"/>
    <x v="0"/>
    <s v="JS1"/>
    <s v="ZF"/>
    <s v=""/>
    <m/>
  </r>
  <r>
    <x v="30"/>
    <x v="21"/>
    <x v="0"/>
    <x v="0"/>
    <x v="0"/>
    <s v="AZ Cup 2025 - Kombi Open"/>
    <s v="CZ"/>
    <n v="2025"/>
    <n v="2"/>
    <n v="2767"/>
    <n v="0.94000000000000006"/>
    <n v="9790"/>
    <n v="9203"/>
    <x v="1"/>
    <x v="0"/>
    <s v="AS 33"/>
    <s v="EZ"/>
    <s v=""/>
    <m/>
  </r>
  <r>
    <x v="58"/>
    <x v="21"/>
    <x v="0"/>
    <x v="0"/>
    <x v="0"/>
    <s v="AZ Cup 2025 - Kombi Open"/>
    <s v="CZ"/>
    <n v="2025"/>
    <n v="3"/>
    <n v="2729"/>
    <n v="0.94000000000000006"/>
    <n v="9545"/>
    <n v="8972"/>
    <x v="1"/>
    <x v="0"/>
    <s v="EB 29 r"/>
    <s v="EX"/>
    <s v=""/>
    <m/>
  </r>
  <r>
    <x v="33"/>
    <x v="6"/>
    <x v="0"/>
    <x v="22"/>
    <x v="0"/>
    <s v="AZ Cup 2025 - Kombi Open"/>
    <s v="CZ"/>
    <n v="2025"/>
    <n v="4"/>
    <n v="2728"/>
    <n v="0.94000000000000006"/>
    <n v="9392"/>
    <n v="8828"/>
    <x v="0"/>
    <x v="0"/>
    <s v="ASG 29 E"/>
    <s v="GO"/>
    <s v=""/>
    <m/>
  </r>
  <r>
    <x v="37"/>
    <x v="25"/>
    <x v="2"/>
    <x v="0"/>
    <x v="0"/>
    <s v="AZ Cup 2025 - Kombi Open"/>
    <s v="CZ"/>
    <n v="2025"/>
    <n v="5"/>
    <n v="2632"/>
    <n v="0.94000000000000006"/>
    <n v="9001"/>
    <n v="8461"/>
    <x v="1"/>
    <x v="0"/>
    <s v="JS 3"/>
    <s v="3J"/>
    <s v=""/>
    <m/>
  </r>
  <r>
    <x v="41"/>
    <x v="28"/>
    <x v="0"/>
    <x v="23"/>
    <x v="0"/>
    <s v="AZ Cup 2025 - Kombi Open"/>
    <s v="CZ"/>
    <n v="2025"/>
    <n v="6"/>
    <n v="2582"/>
    <n v="0.94000000000000006"/>
    <n v="8726"/>
    <n v="8202"/>
    <x v="0"/>
    <x v="0"/>
    <s v="AS 33"/>
    <s v="CAT"/>
    <s v=""/>
    <m/>
  </r>
  <r>
    <x v="449"/>
    <x v="4"/>
    <x v="1"/>
    <x v="268"/>
    <x v="3"/>
    <s v="AZ Cup 2025 - Kombi Open"/>
    <s v="CZ"/>
    <n v="2025"/>
    <n v="7"/>
    <n v="2482"/>
    <n v="0.94000000000000006"/>
    <n v="8325"/>
    <n v="7826"/>
    <x v="0"/>
    <x v="0"/>
    <s v="JS 3"/>
    <s v="BL"/>
    <s v="Není v databázi"/>
    <m/>
  </r>
  <r>
    <x v="35"/>
    <x v="23"/>
    <x v="0"/>
    <x v="15"/>
    <x v="1"/>
    <s v="AZ Cup 2025 - Kombi Open"/>
    <s v="CZ"/>
    <n v="2025"/>
    <n v="8"/>
    <n v="2413"/>
    <n v="0.94000000000000006"/>
    <n v="8002"/>
    <n v="7522"/>
    <x v="0"/>
    <x v="0"/>
    <s v="ASG 29 E"/>
    <s v="QX"/>
    <s v=""/>
    <m/>
  </r>
  <r>
    <x v="45"/>
    <x v="30"/>
    <x v="0"/>
    <x v="15"/>
    <x v="1"/>
    <s v="AZ Cup 2025 - Kombi Open"/>
    <s v="CZ"/>
    <n v="2025"/>
    <n v="9"/>
    <n v="2350"/>
    <n v="0.94000000000000006"/>
    <n v="7694"/>
    <n v="7232"/>
    <x v="1"/>
    <x v="0"/>
    <s v="Ventus c"/>
    <s v="VV"/>
    <s v=""/>
    <m/>
  </r>
  <r>
    <x v="32"/>
    <x v="14"/>
    <x v="0"/>
    <x v="21"/>
    <x v="0"/>
    <s v="AZ Cup 2025 - Kombi Open"/>
    <s v="CZ"/>
    <n v="2025"/>
    <n v="10"/>
    <n v="2295"/>
    <n v="0.94000000000000006"/>
    <n v="7406"/>
    <n v="6962"/>
    <x v="0"/>
    <x v="0"/>
    <s v="LS 8 18m"/>
    <s v="ID"/>
    <s v=""/>
    <m/>
  </r>
  <r>
    <x v="692"/>
    <x v="4"/>
    <x v="1"/>
    <x v="269"/>
    <x v="3"/>
    <s v="AZ Cup 2025 - Kombi Open"/>
    <s v="CZ"/>
    <n v="2025"/>
    <n v="11"/>
    <n v="2186"/>
    <n v="0.94000000000000006"/>
    <n v="6983"/>
    <n v="6564"/>
    <x v="0"/>
    <x v="0"/>
    <s v="ASG 29 E"/>
    <s v="HE"/>
    <s v="Není v databázi"/>
    <m/>
  </r>
  <r>
    <x v="42"/>
    <x v="19"/>
    <x v="2"/>
    <x v="24"/>
    <x v="1"/>
    <s v="AZ Cup 2025 - Kombi Open"/>
    <s v="CZ"/>
    <n v="2025"/>
    <n v="12"/>
    <n v="2007"/>
    <n v="0.94000000000000006"/>
    <n v="6384"/>
    <n v="6001"/>
    <x v="0"/>
    <x v="0"/>
    <s v="JS 3"/>
    <s v="XM"/>
    <s v=""/>
    <m/>
  </r>
  <r>
    <x v="236"/>
    <x v="1"/>
    <x v="0"/>
    <x v="24"/>
    <x v="1"/>
    <s v="AZ Cup 2025 - Kombi Open"/>
    <s v="CZ"/>
    <n v="2025"/>
    <n v="13"/>
    <n v="1985"/>
    <n v="0.94000000000000006"/>
    <n v="6179"/>
    <n v="5808"/>
    <x v="0"/>
    <x v="0"/>
    <s v="Ventus c"/>
    <s v="XE"/>
    <s v=""/>
    <m/>
  </r>
  <r>
    <x v="39"/>
    <x v="27"/>
    <x v="0"/>
    <x v="0"/>
    <x v="0"/>
    <s v="AZ Cup 2025 - Kombi Open"/>
    <s v="CZ"/>
    <n v="2025"/>
    <n v="14"/>
    <n v="1964"/>
    <n v="0.94000000000000006"/>
    <n v="5976"/>
    <n v="5617"/>
    <x v="1"/>
    <x v="0"/>
    <s v="HpH 304 JS 600 kg"/>
    <n v="66"/>
    <s v=""/>
    <m/>
  </r>
  <r>
    <x v="44"/>
    <x v="29"/>
    <x v="0"/>
    <x v="10"/>
    <x v="0"/>
    <s v="AZ Cup 2025 - Kombi Open"/>
    <s v="CZ"/>
    <n v="2025"/>
    <n v="15"/>
    <n v="1861"/>
    <n v="0.94000000000000006"/>
    <n v="5568"/>
    <n v="5234"/>
    <x v="0"/>
    <x v="0"/>
    <s v="HpH 304 MS 600 kg"/>
    <s v="DJ"/>
    <s v=""/>
    <m/>
  </r>
  <r>
    <x v="192"/>
    <x v="29"/>
    <x v="0"/>
    <x v="57"/>
    <x v="1"/>
    <s v="AZ Cup 2025 - Kombi Open"/>
    <s v="CZ"/>
    <n v="2025"/>
    <n v="16"/>
    <n v="1757"/>
    <n v="0.94000000000000006"/>
    <n v="5157"/>
    <n v="4848"/>
    <x v="1"/>
    <x v="0"/>
    <s v="HpH 304 MS 600 kg"/>
    <s v="TDI"/>
    <s v=""/>
    <m/>
  </r>
  <r>
    <x v="49"/>
    <x v="14"/>
    <x v="0"/>
    <x v="0"/>
    <x v="0"/>
    <s v="AZ Cup 2025 - Kombi Open"/>
    <s v="CZ"/>
    <n v="2025"/>
    <n v="16"/>
    <n v="1757"/>
    <n v="0.94000000000000006"/>
    <n v="5157"/>
    <n v="4848"/>
    <x v="1"/>
    <x v="0"/>
    <s v="Ventus 2 cxm 600 kg"/>
    <s v="IB"/>
    <s v=""/>
    <m/>
  </r>
  <r>
    <x v="230"/>
    <x v="14"/>
    <x v="0"/>
    <x v="2"/>
    <x v="0"/>
    <s v="AZ Cup 2025 - Kombi Open"/>
    <s v="CZ"/>
    <n v="2025"/>
    <n v="18"/>
    <n v="1720"/>
    <n v="0.94000000000000006"/>
    <n v="4764"/>
    <n v="4478"/>
    <x v="0"/>
    <x v="0"/>
    <s v="HpH 304 MS 600 kg"/>
    <s v="LK"/>
    <s v=""/>
    <m/>
  </r>
  <r>
    <x v="683"/>
    <x v="36"/>
    <x v="0"/>
    <x v="23"/>
    <x v="0"/>
    <s v="AZ Cup 2025 - Kombi Open"/>
    <s v="CZ"/>
    <n v="2025"/>
    <n v="19"/>
    <n v="1680"/>
    <n v="0.94000000000000006"/>
    <n v="4514"/>
    <n v="4243"/>
    <x v="1"/>
    <x v="0"/>
    <s v="HpH 304 MS 600kg"/>
    <s v="TJ"/>
    <s v=""/>
    <m/>
  </r>
  <r>
    <x v="680"/>
    <x v="4"/>
    <x v="1"/>
    <x v="270"/>
    <x v="3"/>
    <s v="AZ Cup 2025 - Kombi Open"/>
    <s v="CZ"/>
    <n v="2025"/>
    <n v="20"/>
    <n v="1176"/>
    <n v="0.94000000000000006"/>
    <n v="3099"/>
    <n v="2913"/>
    <x v="0"/>
    <x v="0"/>
    <s v="HpH 304 eS 600 Kg"/>
    <s v="PX"/>
    <s v="Není v databázi"/>
    <m/>
  </r>
  <r>
    <x v="1004"/>
    <x v="4"/>
    <x v="1"/>
    <x v="5"/>
    <x v="3"/>
    <s v="AZ Cup 2025 - Kombi Open"/>
    <s v="CZ"/>
    <n v="2025"/>
    <n v="21"/>
    <n v="1003"/>
    <n v="0.94000000000000006"/>
    <n v="2516"/>
    <n v="2365"/>
    <x v="0"/>
    <x v="0"/>
    <s v="Arcus m"/>
    <s v="CAR"/>
    <s v="Není v databázi"/>
    <m/>
  </r>
  <r>
    <x v="81"/>
    <x v="8"/>
    <x v="0"/>
    <x v="23"/>
    <x v="0"/>
    <s v="JPJ 2025 - Klub"/>
    <s v="CZ"/>
    <n v="2025"/>
    <n v="1"/>
    <n v="4627"/>
    <n v="0.91"/>
    <n v="10000"/>
    <n v="9100"/>
    <x v="1"/>
    <x v="0"/>
    <s v="Discus bt"/>
    <s v="OI"/>
    <s v=""/>
    <m/>
  </r>
  <r>
    <x v="80"/>
    <x v="24"/>
    <x v="0"/>
    <x v="12"/>
    <x v="1"/>
    <s v="JPJ 2025 - Klub"/>
    <s v="CZ"/>
    <n v="2025"/>
    <n v="2"/>
    <n v="4384"/>
    <n v="0.91"/>
    <n v="9532"/>
    <n v="8674"/>
    <x v="1"/>
    <x v="0"/>
    <s v="Std. Cirrus"/>
    <s v="AW"/>
    <s v=""/>
    <m/>
  </r>
  <r>
    <x v="100"/>
    <x v="44"/>
    <x v="0"/>
    <x v="30"/>
    <x v="2"/>
    <s v="JPJ 2025 - Klub"/>
    <s v="CZ"/>
    <n v="2025"/>
    <n v="3"/>
    <n v="4213"/>
    <n v="0.91"/>
    <n v="9174"/>
    <n v="8348"/>
    <x v="0"/>
    <x v="0"/>
    <s v="ASW-19B"/>
    <n v="34"/>
    <s v="Junior v roce 2026"/>
    <m/>
  </r>
  <r>
    <x v="89"/>
    <x v="5"/>
    <x v="0"/>
    <x v="28"/>
    <x v="2"/>
    <s v="JPJ 2025 - Klub"/>
    <s v="CZ"/>
    <n v="2025"/>
    <n v="4"/>
    <n v="4045"/>
    <n v="0.91"/>
    <n v="8820"/>
    <n v="8026"/>
    <x v="1"/>
    <x v="0"/>
    <s v="LS-3a 15m"/>
    <s v="S20"/>
    <s v=""/>
    <m/>
  </r>
  <r>
    <x v="95"/>
    <x v="23"/>
    <x v="0"/>
    <x v="28"/>
    <x v="2"/>
    <s v="JPJ 2025 - Klub"/>
    <s v="CZ"/>
    <n v="2025"/>
    <n v="5"/>
    <n v="4039"/>
    <n v="0.91"/>
    <n v="8710"/>
    <n v="7926"/>
    <x v="1"/>
    <x v="0"/>
    <s v="ASW-19B"/>
    <s v="B8"/>
    <s v=""/>
    <m/>
  </r>
  <r>
    <x v="664"/>
    <x v="58"/>
    <x v="0"/>
    <x v="16"/>
    <x v="0"/>
    <s v="JPJ 2025 - Klub"/>
    <s v="CZ"/>
    <n v="2025"/>
    <n v="6"/>
    <n v="3914"/>
    <n v="0.91"/>
    <n v="8421"/>
    <n v="7663"/>
    <x v="1"/>
    <x v="0"/>
    <s v="LS-7"/>
    <s v="LZ"/>
    <s v=""/>
    <m/>
  </r>
  <r>
    <x v="70"/>
    <x v="37"/>
    <x v="0"/>
    <x v="29"/>
    <x v="2"/>
    <s v="JPJ 2025 - Klub"/>
    <s v="CZ"/>
    <n v="2025"/>
    <n v="7"/>
    <n v="3776"/>
    <n v="0.91"/>
    <n v="8113"/>
    <n v="7383"/>
    <x v="1"/>
    <x v="0"/>
    <s v="Discus b"/>
    <s v="AI"/>
    <s v=""/>
    <m/>
  </r>
  <r>
    <x v="61"/>
    <x v="31"/>
    <x v="0"/>
    <x v="27"/>
    <x v="2"/>
    <s v="JPJ 2025 - Klub"/>
    <s v="CZ"/>
    <n v="2025"/>
    <n v="8"/>
    <n v="3766"/>
    <n v="0.91"/>
    <n v="7997"/>
    <n v="7277"/>
    <x v="1"/>
    <x v="0"/>
    <s v="Std. Cirrus"/>
    <s v="GT"/>
    <s v=""/>
    <m/>
  </r>
  <r>
    <x v="84"/>
    <x v="35"/>
    <x v="0"/>
    <x v="32"/>
    <x v="2"/>
    <s v="JPJ 2025 - Klub"/>
    <s v="CZ"/>
    <n v="2025"/>
    <n v="9"/>
    <n v="3731"/>
    <n v="0.91"/>
    <n v="7844"/>
    <n v="7138"/>
    <x v="1"/>
    <x v="0"/>
    <s v="LS-1f"/>
    <s v="JT"/>
    <s v=""/>
    <m/>
  </r>
  <r>
    <x v="59"/>
    <x v="36"/>
    <x v="0"/>
    <x v="6"/>
    <x v="2"/>
    <s v="JPJ 2025 - Klub"/>
    <s v="CZ"/>
    <n v="2025"/>
    <n v="10"/>
    <n v="3702"/>
    <n v="0.91"/>
    <n v="7701"/>
    <n v="7008"/>
    <x v="1"/>
    <x v="0"/>
    <s v="Std. Cirrus"/>
    <n v="22"/>
    <s v=""/>
    <m/>
  </r>
  <r>
    <x v="757"/>
    <x v="42"/>
    <x v="0"/>
    <x v="15"/>
    <x v="1"/>
    <s v="JPJ 2025 - Klub"/>
    <s v="CZ"/>
    <n v="2025"/>
    <n v="11"/>
    <n v="3689"/>
    <n v="0.91"/>
    <n v="7581"/>
    <n v="6899"/>
    <x v="1"/>
    <x v="0"/>
    <s v="TST-10M Atlas"/>
    <n v="10"/>
    <s v=""/>
    <m/>
  </r>
  <r>
    <x v="6"/>
    <x v="5"/>
    <x v="0"/>
    <x v="6"/>
    <x v="2"/>
    <s v="JPJ 2025 - Klub"/>
    <s v="CZ"/>
    <n v="2025"/>
    <n v="12"/>
    <n v="3678"/>
    <n v="0.91"/>
    <n v="7464"/>
    <n v="6792"/>
    <x v="1"/>
    <x v="0"/>
    <s v="LS-3a 15m"/>
    <s v="SJ"/>
    <s v=""/>
    <m/>
  </r>
  <r>
    <x v="709"/>
    <x v="44"/>
    <x v="0"/>
    <x v="12"/>
    <x v="1"/>
    <s v="JPJ 2025 - Klub"/>
    <s v="CZ"/>
    <n v="2025"/>
    <n v="13"/>
    <n v="3614"/>
    <n v="0.91"/>
    <n v="7267"/>
    <n v="6613"/>
    <x v="1"/>
    <x v="0"/>
    <s v="Std. Cirrus"/>
    <s v="2C"/>
    <s v="Junior v roce 2026"/>
    <m/>
  </r>
  <r>
    <x v="82"/>
    <x v="36"/>
    <x v="0"/>
    <x v="32"/>
    <x v="2"/>
    <s v="JPJ 2025 - Klub"/>
    <s v="CZ"/>
    <n v="2025"/>
    <n v="14"/>
    <n v="3451"/>
    <n v="0.91"/>
    <n v="6921"/>
    <n v="6298"/>
    <x v="1"/>
    <x v="0"/>
    <s v="Std. Cirrus"/>
    <s v="NK"/>
    <s v=""/>
    <m/>
  </r>
  <r>
    <x v="1005"/>
    <x v="45"/>
    <x v="0"/>
    <x v="27"/>
    <x v="2"/>
    <s v="JPJ 2025 - Klub"/>
    <s v="CZ"/>
    <n v="2025"/>
    <n v="15"/>
    <n v="3249"/>
    <n v="0.91"/>
    <n v="6515"/>
    <n v="5929"/>
    <x v="1"/>
    <x v="0"/>
    <s v="Astir CS 77"/>
    <s v="1B"/>
    <s v=""/>
    <m/>
  </r>
  <r>
    <x v="92"/>
    <x v="35"/>
    <x v="0"/>
    <x v="34"/>
    <x v="2"/>
    <s v="JPJ 2025 - Klub"/>
    <s v="CZ"/>
    <n v="2025"/>
    <n v="16"/>
    <n v="3244"/>
    <n v="0.91"/>
    <n v="6408"/>
    <n v="5831"/>
    <x v="1"/>
    <x v="0"/>
    <s v="DG-101 G"/>
    <s v="HE"/>
    <s v=""/>
    <m/>
  </r>
  <r>
    <x v="86"/>
    <x v="27"/>
    <x v="0"/>
    <x v="23"/>
    <x v="0"/>
    <s v="JPJ 2025 - Klub"/>
    <s v="CZ"/>
    <n v="2025"/>
    <n v="17"/>
    <n v="3216"/>
    <n v="0.91"/>
    <n v="6265"/>
    <n v="5701"/>
    <x v="0"/>
    <x v="0"/>
    <s v="ASW-15B"/>
    <s v="JJ"/>
    <s v=""/>
    <m/>
  </r>
  <r>
    <x v="90"/>
    <x v="42"/>
    <x v="0"/>
    <x v="18"/>
    <x v="2"/>
    <s v="JPJ 2025 - Klub"/>
    <s v="CZ"/>
    <n v="2025"/>
    <n v="18"/>
    <n v="3212"/>
    <n v="0.91"/>
    <n v="6159"/>
    <n v="5605"/>
    <x v="0"/>
    <x v="0"/>
    <s v="TST-10M"/>
    <n v="7"/>
    <s v=""/>
    <m/>
  </r>
  <r>
    <x v="91"/>
    <x v="2"/>
    <x v="0"/>
    <x v="28"/>
    <x v="2"/>
    <s v="JPJ 2025 - Klub"/>
    <s v="CZ"/>
    <n v="2025"/>
    <n v="19"/>
    <n v="3043"/>
    <n v="0.91"/>
    <n v="5804"/>
    <n v="5282"/>
    <x v="1"/>
    <x v="0"/>
    <s v="ASW-15B"/>
    <s v="Q1"/>
    <s v=""/>
    <m/>
  </r>
  <r>
    <x v="99"/>
    <x v="25"/>
    <x v="0"/>
    <x v="18"/>
    <x v="2"/>
    <s v="JPJ 2025 - Klub"/>
    <s v="CZ"/>
    <n v="2025"/>
    <n v="20"/>
    <n v="2976"/>
    <n v="0.91"/>
    <n v="5602"/>
    <n v="5098"/>
    <x v="1"/>
    <x v="0"/>
    <s v="ASW-19B"/>
    <n v="19"/>
    <s v=""/>
    <m/>
  </r>
  <r>
    <x v="98"/>
    <x v="36"/>
    <x v="0"/>
    <x v="35"/>
    <x v="2"/>
    <s v="JPJ 2025 - Klub"/>
    <s v="CZ"/>
    <n v="2025"/>
    <n v="21"/>
    <n v="2905"/>
    <n v="0.91"/>
    <n v="5395"/>
    <n v="4909"/>
    <x v="1"/>
    <x v="0"/>
    <s v="Std. Cirrus"/>
    <s v="RT"/>
    <s v=""/>
    <m/>
  </r>
  <r>
    <x v="1006"/>
    <x v="30"/>
    <x v="0"/>
    <x v="22"/>
    <x v="0"/>
    <s v="JPJ 2025 - Klub"/>
    <s v="CZ"/>
    <n v="2025"/>
    <n v="22"/>
    <n v="2823"/>
    <n v="0.91"/>
    <n v="5171"/>
    <n v="4706"/>
    <x v="1"/>
    <x v="0"/>
    <s v="Discus b WL"/>
    <s v="JAV"/>
    <s v=""/>
    <m/>
  </r>
  <r>
    <x v="94"/>
    <x v="43"/>
    <x v="0"/>
    <x v="35"/>
    <x v="2"/>
    <s v="JPJ 2025 - Klub"/>
    <s v="CZ"/>
    <n v="2025"/>
    <n v="23"/>
    <n v="2767"/>
    <n v="0.91"/>
    <n v="4986"/>
    <n v="4537"/>
    <x v="0"/>
    <x v="0"/>
    <s v="ASW-15B"/>
    <s v="FK"/>
    <s v=""/>
    <m/>
  </r>
  <r>
    <x v="263"/>
    <x v="27"/>
    <x v="0"/>
    <x v="23"/>
    <x v="0"/>
    <s v="JPJ 2025 - Klub"/>
    <s v="CZ"/>
    <n v="2025"/>
    <n v="24"/>
    <n v="2682"/>
    <n v="0.91"/>
    <n v="4757"/>
    <n v="4329"/>
    <x v="1"/>
    <x v="0"/>
    <s v="G-102 Astir cs"/>
    <s v="PD"/>
    <s v=""/>
    <m/>
  </r>
  <r>
    <x v="109"/>
    <x v="25"/>
    <x v="0"/>
    <x v="27"/>
    <x v="2"/>
    <s v="JPJ 2025 - Klub"/>
    <s v="CZ"/>
    <n v="2025"/>
    <n v="25"/>
    <n v="1873"/>
    <n v="0.91"/>
    <n v="3434"/>
    <n v="3125"/>
    <x v="1"/>
    <x v="0"/>
    <s v="DG-400 15m"/>
    <s v="MR"/>
    <s v=""/>
    <m/>
  </r>
  <r>
    <x v="101"/>
    <x v="18"/>
    <x v="0"/>
    <x v="28"/>
    <x v="2"/>
    <s v="JPJ 2025 - Klub"/>
    <s v="CZ"/>
    <n v="2025"/>
    <n v="26"/>
    <n v="1821"/>
    <n v="0.91"/>
    <n v="3255"/>
    <n v="2962"/>
    <x v="1"/>
    <x v="0"/>
    <s v="ASW-15B"/>
    <s v="R5"/>
    <s v=""/>
    <m/>
  </r>
  <r>
    <x v="103"/>
    <x v="16"/>
    <x v="2"/>
    <x v="34"/>
    <x v="2"/>
    <s v="JPJ 2025 - Klub"/>
    <s v="CZ"/>
    <n v="2025"/>
    <n v="27"/>
    <n v="1756"/>
    <n v="0.91"/>
    <n v="3057"/>
    <n v="2782"/>
    <x v="1"/>
    <x v="1"/>
    <s v="ASW-15"/>
    <s v="YZ"/>
    <s v=""/>
    <m/>
  </r>
  <r>
    <x v="668"/>
    <x v="1"/>
    <x v="0"/>
    <x v="34"/>
    <x v="2"/>
    <s v="JPJ 2025 - Klub"/>
    <s v="CZ"/>
    <n v="2025"/>
    <n v="28"/>
    <n v="1573"/>
    <n v="0.91"/>
    <n v="2680"/>
    <n v="2439"/>
    <x v="1"/>
    <x v="0"/>
    <s v="G-104 Speed Astir II b"/>
    <s v="6X"/>
    <s v=""/>
    <m/>
  </r>
  <r>
    <x v="667"/>
    <x v="26"/>
    <x v="0"/>
    <x v="32"/>
    <x v="2"/>
    <s v="JPJ 2025 - Klub"/>
    <s v="CZ"/>
    <n v="2025"/>
    <n v="29"/>
    <n v="1449"/>
    <n v="0.91"/>
    <n v="2392"/>
    <n v="2177"/>
    <x v="1"/>
    <x v="0"/>
    <s v="Std. Cirrus"/>
    <s v="WO"/>
    <s v=""/>
    <m/>
  </r>
  <r>
    <x v="666"/>
    <x v="1"/>
    <x v="0"/>
    <x v="34"/>
    <x v="2"/>
    <s v="JPJ 2025 - Klub"/>
    <s v="CZ"/>
    <n v="2025"/>
    <n v="30"/>
    <n v="1029"/>
    <n v="0.91"/>
    <n v="1657"/>
    <n v="1508"/>
    <x v="1"/>
    <x v="0"/>
    <s v="G-102 Astir cs"/>
    <s v="AX"/>
    <s v=""/>
    <m/>
  </r>
  <r>
    <x v="104"/>
    <x v="21"/>
    <x v="0"/>
    <x v="27"/>
    <x v="2"/>
    <s v="JPJ 2025 - Klub"/>
    <s v="CZ"/>
    <n v="2025"/>
    <n v="31"/>
    <n v="0"/>
    <n v="0.91"/>
    <n v="0"/>
    <n v="0"/>
    <x v="0"/>
    <x v="0"/>
    <s v="LS-1f"/>
    <s v="DP"/>
    <s v=""/>
    <m/>
  </r>
  <r>
    <x v="455"/>
    <x v="5"/>
    <x v="0"/>
    <x v="3"/>
    <x v="2"/>
    <s v="JPJ 2025 - Kombi 15m"/>
    <s v="CZ"/>
    <n v="2025"/>
    <n v="1"/>
    <n v="4894"/>
    <n v="0.92"/>
    <n v="10000"/>
    <n v="9200"/>
    <x v="1"/>
    <x v="0"/>
    <s v="LS-8 15m"/>
    <n v="18"/>
    <s v=""/>
    <m/>
  </r>
  <r>
    <x v="3"/>
    <x v="3"/>
    <x v="0"/>
    <x v="3"/>
    <x v="2"/>
    <s v="JPJ 2025 - Kombi 15m"/>
    <s v="CZ"/>
    <n v="2025"/>
    <n v="2"/>
    <n v="4006"/>
    <n v="0.92"/>
    <n v="8430"/>
    <n v="7756"/>
    <x v="0"/>
    <x v="0"/>
    <s v="LS-8-18 15m"/>
    <s v="W8"/>
    <s v="Junior v roce 2026"/>
    <m/>
  </r>
  <r>
    <x v="16"/>
    <x v="13"/>
    <x v="0"/>
    <x v="12"/>
    <x v="1"/>
    <s v="JPJ 2025 - Kombi 15m"/>
    <s v="CZ"/>
    <n v="2025"/>
    <n v="3"/>
    <n v="3374"/>
    <n v="0.92"/>
    <n v="7226"/>
    <n v="6648"/>
    <x v="1"/>
    <x v="0"/>
    <s v="ASW-20 (A)+F 15m WL"/>
    <n v="67"/>
    <s v=""/>
    <m/>
  </r>
  <r>
    <x v="123"/>
    <x v="37"/>
    <x v="0"/>
    <x v="7"/>
    <x v="2"/>
    <s v="JPJ 2025 - Kombi 15m"/>
    <s v="CZ"/>
    <n v="2025"/>
    <n v="4"/>
    <n v="3157"/>
    <n v="0.92"/>
    <n v="6616"/>
    <n v="6087"/>
    <x v="0"/>
    <x v="0"/>
    <s v="Ventus c 15m WL"/>
    <s v="EG"/>
    <s v=""/>
    <m/>
  </r>
  <r>
    <x v="71"/>
    <x v="8"/>
    <x v="0"/>
    <x v="29"/>
    <x v="2"/>
    <s v="JPJ 2025 - Kombi 15m"/>
    <s v="CZ"/>
    <n v="2025"/>
    <n v="5"/>
    <n v="3129"/>
    <n v="0.92"/>
    <n v="6275"/>
    <n v="5773"/>
    <x v="0"/>
    <x v="0"/>
    <s v="ASW-20 (A)+F 15m WL"/>
    <s v="MK"/>
    <s v=""/>
    <m/>
  </r>
  <r>
    <x v="1007"/>
    <x v="64"/>
    <x v="0"/>
    <x v="18"/>
    <x v="2"/>
    <s v="JPJ 2025 - Kombi 15m"/>
    <s v="CZ"/>
    <n v="2025"/>
    <n v="6"/>
    <n v="2682"/>
    <n v="0.92"/>
    <n v="5336"/>
    <n v="4909"/>
    <x v="1"/>
    <x v="0"/>
    <s v="Duo Discus 700kg"/>
    <s v="OK"/>
    <s v=""/>
    <m/>
  </r>
  <r>
    <x v="60"/>
    <x v="11"/>
    <x v="0"/>
    <x v="6"/>
    <x v="2"/>
    <s v="JPJ 2025 - Kombi 15m"/>
    <s v="CZ"/>
    <n v="2025"/>
    <n v="7"/>
    <n v="2675"/>
    <n v="0.92"/>
    <n v="5026"/>
    <n v="4624"/>
    <x v="1"/>
    <x v="0"/>
    <s v="ASW-20 (A)+F 15m WL"/>
    <s v="NS"/>
    <s v=""/>
    <m/>
  </r>
  <r>
    <x v="77"/>
    <x v="41"/>
    <x v="0"/>
    <x v="30"/>
    <x v="2"/>
    <s v="JPJ 2025 - Kombi 15m"/>
    <s v="CZ"/>
    <n v="2025"/>
    <n v="8"/>
    <n v="2479"/>
    <n v="0.92"/>
    <n v="4446"/>
    <n v="4090"/>
    <x v="0"/>
    <x v="0"/>
    <s v="Discus bm WL"/>
    <s v="OL"/>
    <s v=""/>
    <m/>
  </r>
  <r>
    <x v="634"/>
    <x v="35"/>
    <x v="0"/>
    <x v="8"/>
    <x v="2"/>
    <s v="JPJ 2025 - Kombi 15m"/>
    <s v="CZ"/>
    <n v="2025"/>
    <n v="9"/>
    <n v="2239"/>
    <n v="0.92"/>
    <n v="3802"/>
    <n v="3498"/>
    <x v="1"/>
    <x v="0"/>
    <s v="Ventus c 15m WL"/>
    <s v="LJ"/>
    <s v=""/>
    <m/>
  </r>
  <r>
    <x v="102"/>
    <x v="35"/>
    <x v="0"/>
    <x v="28"/>
    <x v="2"/>
    <s v="JPJ 2025 - Kombi 15m"/>
    <s v="CZ"/>
    <n v="2025"/>
    <n v="10"/>
    <n v="1937"/>
    <n v="0.92"/>
    <n v="3071"/>
    <n v="2825"/>
    <x v="1"/>
    <x v="0"/>
    <s v="Discus CS WL"/>
    <s v="VE"/>
    <s v=""/>
    <m/>
  </r>
  <r>
    <x v="115"/>
    <x v="41"/>
    <x v="0"/>
    <x v="28"/>
    <x v="2"/>
    <s v="JPJ 2025 - Kombi 15m"/>
    <s v="CZ"/>
    <n v="2025"/>
    <n v="11"/>
    <n v="612"/>
    <n v="0.92"/>
    <n v="875"/>
    <n v="805"/>
    <x v="1"/>
    <x v="0"/>
    <s v="LS-8-18 15m"/>
    <s v="GL"/>
    <s v=""/>
    <m/>
  </r>
  <r>
    <x v="111"/>
    <x v="45"/>
    <x v="0"/>
    <x v="28"/>
    <x v="2"/>
    <s v="JPJ 2025 - Kombi Open"/>
    <s v="CZ"/>
    <n v="2025"/>
    <n v="1"/>
    <n v="4709"/>
    <n v="0.91"/>
    <n v="10000"/>
    <n v="9100"/>
    <x v="1"/>
    <x v="0"/>
    <s v="Ventus cm 17,6m"/>
    <s v="IHH"/>
    <s v=""/>
    <m/>
  </r>
  <r>
    <x v="277"/>
    <x v="29"/>
    <x v="0"/>
    <x v="28"/>
    <x v="2"/>
    <s v="JPJ 2025 - Kombi Open"/>
    <s v="CZ"/>
    <n v="2025"/>
    <n v="2"/>
    <n v="4606"/>
    <n v="0.91"/>
    <n v="9670"/>
    <n v="8800"/>
    <x v="1"/>
    <x v="0"/>
    <s v="DG-808 S Comp 18m WL"/>
    <s v="W"/>
    <s v=""/>
    <m/>
  </r>
  <r>
    <x v="67"/>
    <x v="6"/>
    <x v="0"/>
    <x v="18"/>
    <x v="2"/>
    <s v="JPJ 2025 - Kombi Open"/>
    <s v="CZ"/>
    <n v="2025"/>
    <n v="3"/>
    <n v="4537"/>
    <n v="0.91"/>
    <n v="9391"/>
    <n v="8546"/>
    <x v="1"/>
    <x v="0"/>
    <s v="Nimbus 3 24,5m WL 750kg"/>
    <s v="A1"/>
    <s v=""/>
    <m/>
  </r>
  <r>
    <x v="110"/>
    <x v="29"/>
    <x v="0"/>
    <x v="34"/>
    <x v="2"/>
    <s v="JPJ 2025 - Kombi Open"/>
    <s v="CZ"/>
    <n v="2025"/>
    <n v="4"/>
    <n v="4301"/>
    <n v="0.91"/>
    <n v="8864"/>
    <n v="8066"/>
    <x v="1"/>
    <x v="0"/>
    <s v="Ventus 3M 18m"/>
    <s v="JS"/>
    <s v=""/>
    <m/>
  </r>
  <r>
    <x v="119"/>
    <x v="22"/>
    <x v="0"/>
    <x v="37"/>
    <x v="1"/>
    <s v="JPJ 2025 - Kombi Open"/>
    <s v="CZ"/>
    <n v="2025"/>
    <n v="5"/>
    <n v="4121"/>
    <n v="0.91"/>
    <n v="8420"/>
    <n v="7662"/>
    <x v="1"/>
    <x v="0"/>
    <s v="Ventus 2cxm 18m 565kg"/>
    <s v="E8"/>
    <s v=""/>
    <m/>
  </r>
  <r>
    <x v="112"/>
    <x v="25"/>
    <x v="0"/>
    <x v="10"/>
    <x v="0"/>
    <s v="JPJ 2025 - Kombi Open"/>
    <s v="CZ"/>
    <n v="2025"/>
    <n v="6"/>
    <n v="4020"/>
    <n v="0.91"/>
    <n v="8093"/>
    <n v="7365"/>
    <x v="0"/>
    <x v="0"/>
    <s v="Ventus ct 17,6m"/>
    <s v="KR"/>
    <s v=""/>
    <m/>
  </r>
  <r>
    <x v="44"/>
    <x v="29"/>
    <x v="0"/>
    <x v="10"/>
    <x v="0"/>
    <s v="JPJ 2025 - Kombi Open"/>
    <s v="CZ"/>
    <n v="2025"/>
    <n v="7"/>
    <n v="3920"/>
    <n v="0.91"/>
    <n v="7768"/>
    <n v="7069"/>
    <x v="0"/>
    <x v="0"/>
    <s v="HpH 304MS Shark 18m 600kg"/>
    <s v="DJ"/>
    <s v=""/>
    <m/>
  </r>
  <r>
    <x v="66"/>
    <x v="27"/>
    <x v="0"/>
    <x v="27"/>
    <x v="2"/>
    <s v="JPJ 2025 - Kombi Open"/>
    <s v="CZ"/>
    <n v="2025"/>
    <n v="8"/>
    <n v="3813"/>
    <n v="0.91"/>
    <n v="7433"/>
    <n v="6764"/>
    <x v="1"/>
    <x v="0"/>
    <s v="Ventus cm 17,6m"/>
    <s v="JK"/>
    <s v=""/>
    <m/>
  </r>
  <r>
    <x v="117"/>
    <x v="32"/>
    <x v="0"/>
    <x v="37"/>
    <x v="1"/>
    <s v="JPJ 2025 - Kombi Open"/>
    <s v="CZ"/>
    <n v="2025"/>
    <n v="9"/>
    <n v="3613"/>
    <n v="0.91"/>
    <n v="6959"/>
    <n v="6333"/>
    <x v="1"/>
    <x v="0"/>
    <s v="Duo Discus 700kg"/>
    <s v="VP"/>
    <s v=""/>
    <m/>
  </r>
  <r>
    <x v="669"/>
    <x v="25"/>
    <x v="0"/>
    <x v="37"/>
    <x v="1"/>
    <s v="JPJ 2025 - Kombi Open"/>
    <s v="CZ"/>
    <n v="2025"/>
    <n v="10"/>
    <n v="3576"/>
    <n v="0.91"/>
    <n v="6728"/>
    <n v="6122"/>
    <x v="1"/>
    <x v="0"/>
    <s v="JS1-CTJ 18m EVO"/>
    <s v="SK"/>
    <s v=""/>
    <m/>
  </r>
  <r>
    <x v="116"/>
    <x v="21"/>
    <x v="0"/>
    <x v="27"/>
    <x v="2"/>
    <s v="JPJ 2025 - Kombi Open"/>
    <s v="CZ"/>
    <n v="2025"/>
    <n v="11"/>
    <n v="3470"/>
    <n v="0.91"/>
    <n v="6394"/>
    <n v="5819"/>
    <x v="1"/>
    <x v="0"/>
    <s v="Ventus 2cm 18m 525kg"/>
    <s v="FN"/>
    <s v=""/>
    <m/>
  </r>
  <r>
    <x v="74"/>
    <x v="36"/>
    <x v="0"/>
    <x v="18"/>
    <x v="2"/>
    <s v="JPJ 2025 - Kombi Open"/>
    <s v="CZ"/>
    <n v="2025"/>
    <n v="12"/>
    <n v="3126"/>
    <n v="0.91"/>
    <n v="5706"/>
    <n v="5192"/>
    <x v="0"/>
    <x v="0"/>
    <s v="ASG-29E 18m"/>
    <s v="ŠNeK"/>
    <s v=""/>
    <m/>
  </r>
  <r>
    <x v="113"/>
    <x v="6"/>
    <x v="0"/>
    <x v="35"/>
    <x v="2"/>
    <s v="JPJ 2025 - Kombi Open"/>
    <s v="CZ"/>
    <n v="2025"/>
    <n v="13"/>
    <n v="2618"/>
    <n v="0.91"/>
    <n v="4774"/>
    <n v="4344"/>
    <x v="1"/>
    <x v="0"/>
    <s v="Nimbus 2b"/>
    <s v="HT"/>
    <s v=""/>
    <m/>
  </r>
  <r>
    <x v="276"/>
    <x v="21"/>
    <x v="0"/>
    <x v="1"/>
    <x v="1"/>
    <s v="JPJ 2025 - Kombi Open"/>
    <s v="CZ"/>
    <n v="2025"/>
    <n v="14"/>
    <n v="2483"/>
    <n v="0.91"/>
    <n v="4397"/>
    <n v="4001"/>
    <x v="0"/>
    <x v="0"/>
    <s v="Ventus 2cm 18m 525kg"/>
    <s v="LS"/>
    <s v=""/>
    <m/>
  </r>
  <r>
    <x v="79"/>
    <x v="5"/>
    <x v="0"/>
    <x v="18"/>
    <x v="2"/>
    <s v="JPJ 2025 - Kombi Open"/>
    <s v="CZ"/>
    <n v="2025"/>
    <n v="15"/>
    <n v="2190"/>
    <n v="0.91"/>
    <n v="3785"/>
    <n v="3444"/>
    <x v="1"/>
    <x v="0"/>
    <s v="Nimbus 3 25,5m 700kg"/>
    <s v="RF"/>
    <s v=""/>
    <m/>
  </r>
  <r>
    <x v="118"/>
    <x v="31"/>
    <x v="0"/>
    <x v="34"/>
    <x v="2"/>
    <s v="JPJ 2025 - Kombi Open"/>
    <s v="CZ"/>
    <n v="2025"/>
    <n v="16"/>
    <n v="1952"/>
    <n v="0.91"/>
    <n v="3255"/>
    <n v="2962"/>
    <x v="1"/>
    <x v="0"/>
    <s v="Nimbus 2b"/>
    <s v="MT"/>
    <s v=""/>
    <m/>
  </r>
  <r>
    <x v="76"/>
    <x v="40"/>
    <x v="0"/>
    <x v="30"/>
    <x v="2"/>
    <s v="JPJ 2025 - Kombi Open"/>
    <s v="CZ"/>
    <n v="2025"/>
    <n v="17"/>
    <n v="1542"/>
    <n v="0.91"/>
    <n v="2469"/>
    <n v="2247"/>
    <x v="0"/>
    <x v="0"/>
    <s v="LAK-17AT 18m"/>
    <s v="GL"/>
    <s v=""/>
    <m/>
  </r>
  <r>
    <x v="121"/>
    <x v="32"/>
    <x v="0"/>
    <x v="15"/>
    <x v="1"/>
    <s v="JPJ 2025 - Kombi Open"/>
    <s v="CZ"/>
    <n v="2025"/>
    <n v="18"/>
    <n v="1010"/>
    <n v="0.91"/>
    <n v="1501"/>
    <n v="1366"/>
    <x v="1"/>
    <x v="0"/>
    <s v="Ventus 2cm 18m 525kg"/>
    <s v="OZ"/>
    <s v=""/>
    <m/>
  </r>
  <r>
    <x v="55"/>
    <x v="32"/>
    <x v="0"/>
    <x v="22"/>
    <x v="0"/>
    <s v="PMČR 2025 - Klub"/>
    <s v="CZ"/>
    <n v="2025"/>
    <n v="1"/>
    <n v="4640"/>
    <n v="1.0349999999999999"/>
    <n v="10000"/>
    <n v="10350"/>
    <x v="1"/>
    <x v="0"/>
    <s v="ASW 20A"/>
    <s v="CX"/>
    <s v=""/>
    <m/>
  </r>
  <r>
    <x v="7"/>
    <x v="6"/>
    <x v="0"/>
    <x v="7"/>
    <x v="2"/>
    <s v="PMČR 2025 - Klub"/>
    <s v="CZ"/>
    <n v="2025"/>
    <n v="2"/>
    <n v="4518"/>
    <n v="1.0349999999999999"/>
    <n v="9680"/>
    <n v="10019"/>
    <x v="1"/>
    <x v="0"/>
    <s v="ASW 20L"/>
    <s v="LL"/>
    <s v=""/>
    <m/>
  </r>
  <r>
    <x v="5"/>
    <x v="4"/>
    <x v="0"/>
    <x v="5"/>
    <x v="4"/>
    <s v="PMČR 2025 - Klub"/>
    <s v="CZ"/>
    <n v="2025"/>
    <n v="3"/>
    <n v="4427"/>
    <n v="1.0349999999999999"/>
    <n v="9406"/>
    <n v="9735"/>
    <x v="0"/>
    <x v="0"/>
    <s v="ASW 20"/>
    <n v="311"/>
    <s v="Není v databázi"/>
    <m/>
  </r>
  <r>
    <x v="404"/>
    <x v="44"/>
    <x v="2"/>
    <x v="12"/>
    <x v="1"/>
    <s v="PMČR 2025 - Klub"/>
    <s v="CZ"/>
    <n v="2025"/>
    <n v="4"/>
    <n v="4375"/>
    <n v="1.0349999999999999"/>
    <n v="9191"/>
    <n v="9513"/>
    <x v="1"/>
    <x v="1"/>
    <s v="LS 4"/>
    <s v="6L"/>
    <s v="Junior v roce 2026"/>
    <m/>
  </r>
  <r>
    <x v="406"/>
    <x v="48"/>
    <x v="2"/>
    <x v="48"/>
    <x v="1"/>
    <s v="PMČR 2025 - Klub"/>
    <s v="CZ"/>
    <n v="2025"/>
    <n v="5"/>
    <n v="4370"/>
    <n v="1.0349999999999999"/>
    <n v="9047"/>
    <n v="9364"/>
    <x v="1"/>
    <x v="1"/>
    <s v="LS 4b"/>
    <s v="IX"/>
    <s v=""/>
    <m/>
  </r>
  <r>
    <x v="0"/>
    <x v="0"/>
    <x v="0"/>
    <x v="0"/>
    <x v="0"/>
    <s v="PMČR 2025 - Klub"/>
    <s v="CZ"/>
    <n v="2025"/>
    <n v="6"/>
    <n v="4278"/>
    <n v="1.0349999999999999"/>
    <n v="8772"/>
    <n v="9079"/>
    <x v="0"/>
    <x v="0"/>
    <s v="Pegase BC"/>
    <s v="RT"/>
    <s v=""/>
    <m/>
  </r>
  <r>
    <x v="13"/>
    <x v="4"/>
    <x v="1"/>
    <x v="11"/>
    <x v="5"/>
    <s v="PMČR 2025 - Klub"/>
    <s v="CZ"/>
    <n v="2025"/>
    <n v="7"/>
    <n v="4252"/>
    <n v="1.0349999999999999"/>
    <n v="8596"/>
    <n v="8897"/>
    <x v="0"/>
    <x v="0"/>
    <s v="ASW 20A"/>
    <s v="CP"/>
    <s v="Není v databázi"/>
    <m/>
  </r>
  <r>
    <x v="81"/>
    <x v="8"/>
    <x v="0"/>
    <x v="23"/>
    <x v="0"/>
    <s v="PMČR 2025 - Klub"/>
    <s v="CZ"/>
    <n v="2025"/>
    <n v="8"/>
    <n v="4158"/>
    <n v="1.0349999999999999"/>
    <n v="8318"/>
    <n v="8609"/>
    <x v="0"/>
    <x v="0"/>
    <s v="Discus bT"/>
    <s v="OI"/>
    <s v=""/>
    <m/>
  </r>
  <r>
    <x v="282"/>
    <x v="4"/>
    <x v="1"/>
    <x v="5"/>
    <x v="3"/>
    <s v="PMČR 2025 - Klub"/>
    <s v="CZ"/>
    <n v="2025"/>
    <n v="9"/>
    <n v="4070"/>
    <n v="1.0349999999999999"/>
    <n v="8049"/>
    <n v="8331"/>
    <x v="0"/>
    <x v="0"/>
    <s v="ASW 24 wl"/>
    <s v="ZS"/>
    <s v="Není v databázi"/>
    <m/>
  </r>
  <r>
    <x v="250"/>
    <x v="23"/>
    <x v="0"/>
    <x v="23"/>
    <x v="0"/>
    <s v="PMČR 2025 - Klub"/>
    <s v="CZ"/>
    <n v="2025"/>
    <n v="10"/>
    <n v="4064"/>
    <n v="1.0349999999999999"/>
    <n v="7904"/>
    <n v="8181"/>
    <x v="1"/>
    <x v="0"/>
    <s v="ASW 15B"/>
    <s v="MA"/>
    <s v=""/>
    <m/>
  </r>
  <r>
    <x v="255"/>
    <x v="45"/>
    <x v="0"/>
    <x v="19"/>
    <x v="1"/>
    <s v="PMČR 2025 - Klub"/>
    <s v="CZ"/>
    <n v="2025"/>
    <n v="11"/>
    <n v="3847"/>
    <n v="1.0349999999999999"/>
    <n v="7440"/>
    <n v="7700"/>
    <x v="1"/>
    <x v="0"/>
    <s v="Std. Cirrus"/>
    <s v="MSI"/>
    <s v=""/>
    <m/>
  </r>
  <r>
    <x v="338"/>
    <x v="61"/>
    <x v="0"/>
    <x v="58"/>
    <x v="1"/>
    <s v="PMČR 2025 - Klub"/>
    <s v="CZ"/>
    <n v="2025"/>
    <n v="12"/>
    <n v="3624"/>
    <n v="1.0349999999999999"/>
    <n v="6967"/>
    <n v="7211"/>
    <x v="0"/>
    <x v="0"/>
    <s v="ASW 20C"/>
    <s v="VW"/>
    <s v=""/>
    <m/>
  </r>
  <r>
    <x v="2"/>
    <x v="2"/>
    <x v="0"/>
    <x v="2"/>
    <x v="0"/>
    <s v="PMČR 2025 - Klub"/>
    <s v="CZ"/>
    <n v="2025"/>
    <n v="13"/>
    <n v="3477"/>
    <n v="1.0349999999999999"/>
    <n v="6609"/>
    <n v="6840"/>
    <x v="0"/>
    <x v="0"/>
    <s v="ASW 20A"/>
    <s v="A3"/>
    <s v=""/>
    <m/>
  </r>
  <r>
    <x v="283"/>
    <x v="60"/>
    <x v="0"/>
    <x v="7"/>
    <x v="2"/>
    <s v="PMČR 2025 - Klub"/>
    <s v="CZ"/>
    <n v="2025"/>
    <n v="14"/>
    <n v="3290"/>
    <n v="1.0349999999999999"/>
    <n v="6191"/>
    <n v="6408"/>
    <x v="1"/>
    <x v="0"/>
    <s v="ASW 19B"/>
    <s v="AE"/>
    <s v=""/>
    <m/>
  </r>
  <r>
    <x v="235"/>
    <x v="21"/>
    <x v="0"/>
    <x v="42"/>
    <x v="0"/>
    <s v="PMČR 2025 - Klub"/>
    <s v="CZ"/>
    <n v="2025"/>
    <n v="15"/>
    <n v="3170"/>
    <n v="1.0349999999999999"/>
    <n v="5873"/>
    <n v="6079"/>
    <x v="1"/>
    <x v="0"/>
    <s v="ASW 24 TOP WL 0,5"/>
    <n v="11"/>
    <s v=""/>
    <m/>
  </r>
  <r>
    <x v="286"/>
    <x v="2"/>
    <x v="2"/>
    <x v="28"/>
    <x v="2"/>
    <s v="PMČR 2025 - Klub"/>
    <s v="CZ"/>
    <n v="2025"/>
    <n v="16"/>
    <n v="3117"/>
    <n v="1.0349999999999999"/>
    <n v="5657"/>
    <n v="5855"/>
    <x v="1"/>
    <x v="1"/>
    <s v="SZD 48 Jantar"/>
    <s v="SU"/>
    <s v=""/>
    <m/>
  </r>
  <r>
    <x v="126"/>
    <x v="47"/>
    <x v="0"/>
    <x v="38"/>
    <x v="1"/>
    <s v="PMČR 2025 - Klub"/>
    <s v="CZ"/>
    <n v="2025"/>
    <n v="17"/>
    <n v="3093"/>
    <n v="1.0349999999999999"/>
    <n v="5484"/>
    <n v="5676"/>
    <x v="0"/>
    <x v="0"/>
    <s v="ASW 15B"/>
    <s v="CW"/>
    <s v=""/>
    <m/>
  </r>
  <r>
    <x v="289"/>
    <x v="39"/>
    <x v="0"/>
    <x v="7"/>
    <x v="2"/>
    <s v="PMČR 2025 - Klub"/>
    <s v="CZ"/>
    <n v="2025"/>
    <n v="18"/>
    <n v="2984"/>
    <n v="1.0349999999999999"/>
    <n v="5184"/>
    <n v="5365"/>
    <x v="1"/>
    <x v="0"/>
    <s v="ASW 15B"/>
    <s v="LE"/>
    <s v=""/>
    <m/>
  </r>
  <r>
    <x v="374"/>
    <x v="4"/>
    <x v="1"/>
    <x v="5"/>
    <x v="3"/>
    <s v="PMČR 2025 - Klub"/>
    <s v="CZ"/>
    <n v="2025"/>
    <n v="19"/>
    <n v="2875"/>
    <n v="1.0349999999999999"/>
    <n v="4883"/>
    <n v="5054"/>
    <x v="0"/>
    <x v="0"/>
    <s v="ASW 20CJ"/>
    <s v="VG"/>
    <s v="Není v databázi"/>
    <m/>
  </r>
  <r>
    <x v="237"/>
    <x v="24"/>
    <x v="2"/>
    <x v="42"/>
    <x v="0"/>
    <s v="PMČR 2025 - Klub"/>
    <s v="CZ"/>
    <n v="2025"/>
    <n v="20"/>
    <n v="2695"/>
    <n v="1.0349999999999999"/>
    <n v="4475"/>
    <n v="4632"/>
    <x v="0"/>
    <x v="0"/>
    <s v="ASW 20A"/>
    <s v="NW"/>
    <s v=""/>
    <m/>
  </r>
  <r>
    <x v="16"/>
    <x v="13"/>
    <x v="0"/>
    <x v="12"/>
    <x v="1"/>
    <s v="PMČR 2025 - Klub"/>
    <s v="CZ"/>
    <n v="2025"/>
    <n v="21"/>
    <n v="2657"/>
    <n v="1.0349999999999999"/>
    <n v="4281"/>
    <n v="4431"/>
    <x v="0"/>
    <x v="0"/>
    <s v="ASW 20A"/>
    <n v="67"/>
    <s v=""/>
    <m/>
  </r>
  <r>
    <x v="1008"/>
    <x v="2"/>
    <x v="0"/>
    <x v="23"/>
    <x v="0"/>
    <s v="PMČR 2025 - Klub"/>
    <s v="CZ"/>
    <n v="2025"/>
    <n v="22"/>
    <n v="1270"/>
    <n v="1.0349999999999999"/>
    <n v="2052"/>
    <n v="2124"/>
    <x v="1"/>
    <x v="0"/>
    <s v="Discus CS"/>
    <s v="LH"/>
    <s v=""/>
    <m/>
  </r>
  <r>
    <x v="383"/>
    <x v="4"/>
    <x v="1"/>
    <x v="271"/>
    <x v="3"/>
    <s v="PMČR 2025 - Klub"/>
    <s v="CZ"/>
    <n v="2025"/>
    <n v="23"/>
    <n v="855"/>
    <n v="1.0349999999999999"/>
    <n v="1290"/>
    <n v="1335"/>
    <x v="0"/>
    <x v="0"/>
    <s v="LS 1f"/>
    <s v="HI"/>
    <s v="Není v databázi"/>
    <m/>
  </r>
  <r>
    <x v="287"/>
    <x v="52"/>
    <x v="0"/>
    <x v="12"/>
    <x v="1"/>
    <s v="PMČR 2025 - Kombi 15m"/>
    <s v="CZ"/>
    <n v="2025"/>
    <n v="1"/>
    <n v="4582"/>
    <n v="1.0549999999999999"/>
    <n v="10000"/>
    <n v="10550"/>
    <x v="1"/>
    <x v="0"/>
    <s v="LS 8"/>
    <s v="W8"/>
    <s v=""/>
    <m/>
  </r>
  <r>
    <x v="288"/>
    <x v="31"/>
    <x v="0"/>
    <x v="17"/>
    <x v="0"/>
    <s v="PMČR 2025 - Kombi 15m"/>
    <s v="CZ"/>
    <n v="2025"/>
    <n v="2"/>
    <n v="4447"/>
    <n v="1.0549999999999999"/>
    <n v="9627"/>
    <n v="10156"/>
    <x v="1"/>
    <x v="0"/>
    <s v="LS 8 15m"/>
    <s v="JB"/>
    <s v=""/>
    <m/>
  </r>
  <r>
    <x v="246"/>
    <x v="31"/>
    <x v="0"/>
    <x v="3"/>
    <x v="2"/>
    <s v="PMČR 2025 - Kombi 15m"/>
    <s v="CZ"/>
    <n v="2025"/>
    <n v="3"/>
    <n v="4431"/>
    <n v="1.0549999999999999"/>
    <n v="9436"/>
    <n v="9955"/>
    <x v="0"/>
    <x v="0"/>
    <s v="LS 8b"/>
    <s v="FX"/>
    <s v=""/>
    <m/>
  </r>
  <r>
    <x v="32"/>
    <x v="14"/>
    <x v="0"/>
    <x v="21"/>
    <x v="0"/>
    <s v="PMČR 2025 - Kombi 15m"/>
    <s v="CZ"/>
    <n v="2025"/>
    <n v="4"/>
    <n v="4367"/>
    <n v="1.0549999999999999"/>
    <n v="9172"/>
    <n v="9676"/>
    <x v="1"/>
    <x v="0"/>
    <s v="LS 8b"/>
    <s v="ID"/>
    <s v=""/>
    <m/>
  </r>
  <r>
    <x v="31"/>
    <x v="4"/>
    <x v="1"/>
    <x v="235"/>
    <x v="3"/>
    <s v="PMČR 2025 - Kombi 15m"/>
    <s v="CZ"/>
    <n v="2025"/>
    <n v="5"/>
    <n v="4323"/>
    <n v="1.0549999999999999"/>
    <n v="8938"/>
    <n v="9430"/>
    <x v="0"/>
    <x v="0"/>
    <s v="JS3 15m"/>
    <n v="3"/>
    <s v="Není v databázi"/>
    <m/>
  </r>
  <r>
    <x v="9"/>
    <x v="7"/>
    <x v="0"/>
    <x v="9"/>
    <x v="1"/>
    <s v="PMČR 2025 - Kombi 15m"/>
    <s v="CZ"/>
    <n v="2025"/>
    <n v="6"/>
    <n v="4207"/>
    <n v="1.0549999999999999"/>
    <n v="8594"/>
    <n v="9067"/>
    <x v="1"/>
    <x v="0"/>
    <s v="LS 8"/>
    <s v="AU"/>
    <s v="Junior v roce 2026"/>
    <m/>
  </r>
  <r>
    <x v="1"/>
    <x v="1"/>
    <x v="0"/>
    <x v="1"/>
    <x v="1"/>
    <s v="PMČR 2025 - Kombi 15m"/>
    <s v="CZ"/>
    <n v="2025"/>
    <n v="7"/>
    <n v="4124"/>
    <n v="1.0549999999999999"/>
    <n v="8300"/>
    <n v="8757"/>
    <x v="0"/>
    <x v="0"/>
    <s v="JS3 TJ 15m"/>
    <s v="ZE"/>
    <s v=""/>
    <m/>
  </r>
  <r>
    <x v="36"/>
    <x v="24"/>
    <x v="0"/>
    <x v="23"/>
    <x v="0"/>
    <s v="PMČR 2025 - Kombi 15m"/>
    <s v="CZ"/>
    <n v="2025"/>
    <n v="8"/>
    <n v="4065"/>
    <n v="1.0549999999999999"/>
    <n v="8044"/>
    <n v="8486"/>
    <x v="1"/>
    <x v="0"/>
    <s v="Duo Discus"/>
    <s v="XH"/>
    <s v=""/>
    <m/>
  </r>
  <r>
    <x v="455"/>
    <x v="5"/>
    <x v="0"/>
    <x v="3"/>
    <x v="2"/>
    <s v="PMČR 2025 - Kombi 15m"/>
    <s v="CZ"/>
    <n v="2025"/>
    <n v="9"/>
    <n v="3803"/>
    <n v="1.0549999999999999"/>
    <n v="7477"/>
    <n v="7888"/>
    <x v="0"/>
    <x v="0"/>
    <s v="LS 8-18"/>
    <n v="18"/>
    <s v=""/>
    <m/>
  </r>
  <r>
    <x v="38"/>
    <x v="26"/>
    <x v="0"/>
    <x v="21"/>
    <x v="0"/>
    <s v="PMČR 2025 - Kombi 15m"/>
    <s v="CZ"/>
    <n v="2025"/>
    <n v="10"/>
    <n v="3695"/>
    <n v="1.0549999999999999"/>
    <n v="7145"/>
    <n v="7538"/>
    <x v="0"/>
    <x v="0"/>
    <s v="Ventus 2ax"/>
    <s v="AX"/>
    <s v=""/>
    <m/>
  </r>
  <r>
    <x v="138"/>
    <x v="37"/>
    <x v="0"/>
    <x v="39"/>
    <x v="0"/>
    <s v="PMČR 2025 - Kombi 15m"/>
    <s v="CZ"/>
    <n v="2025"/>
    <n v="11"/>
    <n v="3600"/>
    <n v="1.0549999999999999"/>
    <n v="6833"/>
    <n v="7209"/>
    <x v="0"/>
    <x v="0"/>
    <s v="Duo Discus X-700"/>
    <s v="BB"/>
    <s v=""/>
    <m/>
  </r>
  <r>
    <x v="51"/>
    <x v="16"/>
    <x v="2"/>
    <x v="24"/>
    <x v="1"/>
    <s v="PMČR 2025 - Kombi 15m"/>
    <s v="CZ"/>
    <n v="2025"/>
    <n v="12"/>
    <n v="3537"/>
    <n v="1.0549999999999999"/>
    <n v="6570"/>
    <n v="6931"/>
    <x v="1"/>
    <x v="0"/>
    <s v="LS 8b"/>
    <s v="C6"/>
    <s v=""/>
    <m/>
  </r>
  <r>
    <x v="671"/>
    <x v="4"/>
    <x v="1"/>
    <x v="272"/>
    <x v="3"/>
    <s v="PMČR 2025 - Kombi 15m"/>
    <s v="CZ"/>
    <n v="2025"/>
    <n v="13"/>
    <n v="3079"/>
    <n v="1.0549999999999999"/>
    <n v="5704"/>
    <n v="6018"/>
    <x v="0"/>
    <x v="0"/>
    <s v="Ventus 2bx"/>
    <s v="VI"/>
    <s v="Není v databázi"/>
    <m/>
  </r>
  <r>
    <x v="1009"/>
    <x v="4"/>
    <x v="1"/>
    <x v="43"/>
    <x v="3"/>
    <s v="PMČR 2025 - Kombi 15m"/>
    <s v="CZ"/>
    <n v="2025"/>
    <n v="14"/>
    <n v="2995"/>
    <n v="1.0549999999999999"/>
    <n v="5409"/>
    <n v="5706"/>
    <x v="0"/>
    <x v="0"/>
    <s v="LS 8TC"/>
    <s v="TC"/>
    <s v="Není v databázi"/>
    <m/>
  </r>
  <r>
    <x v="142"/>
    <x v="27"/>
    <x v="0"/>
    <x v="42"/>
    <x v="0"/>
    <s v="PMČR 2025 - Kombi 15m"/>
    <s v="CZ"/>
    <n v="2025"/>
    <n v="15"/>
    <n v="2919"/>
    <n v="1.0549999999999999"/>
    <n v="5126"/>
    <n v="5408"/>
    <x v="1"/>
    <x v="0"/>
    <s v="Duo Discus XT"/>
    <s v="DD"/>
    <s v=""/>
    <m/>
  </r>
  <r>
    <x v="1010"/>
    <x v="4"/>
    <x v="1"/>
    <x v="69"/>
    <x v="3"/>
    <s v="PMČR 2025 - Kombi 15m"/>
    <s v="CZ"/>
    <n v="2025"/>
    <n v="16"/>
    <n v="2461"/>
    <n v="1.0549999999999999"/>
    <n v="4260"/>
    <n v="4494"/>
    <x v="0"/>
    <x v="0"/>
    <s v="Duo Discus"/>
    <s v="2X"/>
    <s v="Není v databázi"/>
    <m/>
  </r>
  <r>
    <x v="742"/>
    <x v="4"/>
    <x v="0"/>
    <x v="227"/>
    <x v="3"/>
    <s v="PMČR 2025 - Kombi 15m"/>
    <s v="CZ"/>
    <n v="2025"/>
    <n v="17"/>
    <n v="1994"/>
    <n v="1.0549999999999999"/>
    <n v="3380"/>
    <n v="3566"/>
    <x v="0"/>
    <x v="0"/>
    <s v="Ventus Ct 15m WL"/>
    <s v="JQ"/>
    <s v="Není v databázi"/>
    <m/>
  </r>
  <r>
    <x v="315"/>
    <x v="61"/>
    <x v="2"/>
    <x v="0"/>
    <x v="0"/>
    <s v="PMČR 2025 - Kombi 15m"/>
    <s v="CZ"/>
    <n v="2025"/>
    <n v="18"/>
    <n v="1987"/>
    <n v="1.0549999999999999"/>
    <n v="3202"/>
    <n v="3378"/>
    <x v="0"/>
    <x v="0"/>
    <s v="LS 8a"/>
    <s v="EU"/>
    <s v=""/>
    <m/>
  </r>
  <r>
    <x v="216"/>
    <x v="58"/>
    <x v="0"/>
    <x v="60"/>
    <x v="2"/>
    <s v="PMČR 2025 - Kombi 15m"/>
    <s v="CZ"/>
    <n v="2025"/>
    <n v="19"/>
    <n v="1640"/>
    <n v="1.0549999999999999"/>
    <n v="2505"/>
    <n v="2643"/>
    <x v="0"/>
    <x v="0"/>
    <s v="Discus 2a"/>
    <s v="GX"/>
    <s v=""/>
    <m/>
  </r>
  <r>
    <x v="30"/>
    <x v="21"/>
    <x v="0"/>
    <x v="0"/>
    <x v="0"/>
    <s v="PMČR 2025 - Kombi Open"/>
    <s v="CZ"/>
    <n v="2025"/>
    <n v="1"/>
    <n v="4134"/>
    <n v="1.0549999999999999"/>
    <n v="10000"/>
    <n v="10550"/>
    <x v="1"/>
    <x v="0"/>
    <s v="AS 33 es 18m"/>
    <s v="EA"/>
    <s v=""/>
    <m/>
  </r>
  <r>
    <x v="27"/>
    <x v="19"/>
    <x v="0"/>
    <x v="18"/>
    <x v="2"/>
    <s v="PMČR 2025 - Kombi Open"/>
    <s v="CZ"/>
    <n v="2025"/>
    <n v="2"/>
    <n v="4012"/>
    <n v="1.0549999999999999"/>
    <n v="9678"/>
    <n v="10210"/>
    <x v="1"/>
    <x v="0"/>
    <s v="JS3 RES 18m"/>
    <s v="Q1"/>
    <s v=""/>
    <m/>
  </r>
  <r>
    <x v="58"/>
    <x v="21"/>
    <x v="0"/>
    <x v="0"/>
    <x v="0"/>
    <s v="PMČR 2025 - Kombi Open"/>
    <s v="CZ"/>
    <n v="2025"/>
    <n v="3"/>
    <n v="3796"/>
    <n v="1.0549999999999999"/>
    <n v="9197"/>
    <n v="9703"/>
    <x v="1"/>
    <x v="0"/>
    <s v="AS 33 es 18m"/>
    <s v="EZ"/>
    <s v=""/>
    <m/>
  </r>
  <r>
    <x v="215"/>
    <x v="8"/>
    <x v="0"/>
    <x v="0"/>
    <x v="0"/>
    <s v="PMČR 2025 - Kombi Open"/>
    <s v="CZ"/>
    <n v="2025"/>
    <n v="4"/>
    <n v="3714"/>
    <n v="1.0549999999999999"/>
    <n v="8943"/>
    <n v="9435"/>
    <x v="1"/>
    <x v="0"/>
    <s v="ASG 29 E 18m"/>
    <s v="XZ"/>
    <s v=""/>
    <m/>
  </r>
  <r>
    <x v="28"/>
    <x v="20"/>
    <x v="0"/>
    <x v="18"/>
    <x v="2"/>
    <s v="PMČR 2025 - Kombi Open"/>
    <s v="CZ"/>
    <n v="2025"/>
    <n v="5"/>
    <n v="3636"/>
    <n v="1.0549999999999999"/>
    <n v="8695"/>
    <n v="9173"/>
    <x v="1"/>
    <x v="0"/>
    <s v="ASG 29 E 18m"/>
    <s v="QZ"/>
    <s v=""/>
    <m/>
  </r>
  <r>
    <x v="291"/>
    <x v="18"/>
    <x v="0"/>
    <x v="33"/>
    <x v="2"/>
    <s v="PMČR 2025 - Kombi Open"/>
    <s v="CZ"/>
    <n v="2025"/>
    <n v="6"/>
    <n v="3623"/>
    <n v="1.0549999999999999"/>
    <n v="8558"/>
    <n v="9029"/>
    <x v="1"/>
    <x v="0"/>
    <s v="Diana 3 FES"/>
    <s v="B"/>
    <s v=""/>
    <m/>
  </r>
  <r>
    <x v="33"/>
    <x v="6"/>
    <x v="0"/>
    <x v="22"/>
    <x v="0"/>
    <s v="PMČR 2025 - Kombi Open"/>
    <s v="CZ"/>
    <n v="2025"/>
    <n v="7"/>
    <n v="3527"/>
    <n v="1.0549999999999999"/>
    <n v="8280"/>
    <n v="8735"/>
    <x v="0"/>
    <x v="0"/>
    <s v="ASG 29 18m"/>
    <s v="GO"/>
    <s v=""/>
    <m/>
  </r>
  <r>
    <x v="29"/>
    <x v="21"/>
    <x v="0"/>
    <x v="19"/>
    <x v="1"/>
    <s v="PMČR 2025 - Kombi Open"/>
    <s v="CZ"/>
    <n v="2025"/>
    <n v="8"/>
    <n v="3520"/>
    <n v="1.0549999999999999"/>
    <n v="8153"/>
    <n v="8601"/>
    <x v="1"/>
    <x v="0"/>
    <s v="JS1C TJ 21m"/>
    <s v="ZF"/>
    <s v=""/>
    <m/>
  </r>
  <r>
    <x v="247"/>
    <x v="24"/>
    <x v="0"/>
    <x v="65"/>
    <x v="2"/>
    <s v="PMČR 2025 - Kombi Open"/>
    <s v="CZ"/>
    <n v="2025"/>
    <n v="9"/>
    <n v="3508"/>
    <n v="1.0549999999999999"/>
    <n v="8017"/>
    <n v="8458"/>
    <x v="0"/>
    <x v="0"/>
    <s v="Ventus C 17.6m"/>
    <s v="AD"/>
    <s v=""/>
    <m/>
  </r>
  <r>
    <x v="41"/>
    <x v="28"/>
    <x v="0"/>
    <x v="23"/>
    <x v="0"/>
    <s v="PMČR 2025 - Kombi Open"/>
    <s v="CZ"/>
    <n v="2025"/>
    <n v="10"/>
    <n v="3451"/>
    <n v="1.0549999999999999"/>
    <n v="7805"/>
    <n v="8234"/>
    <x v="0"/>
    <x v="0"/>
    <s v="AS 33 18m"/>
    <s v="CAT"/>
    <s v=""/>
    <m/>
  </r>
  <r>
    <x v="35"/>
    <x v="23"/>
    <x v="0"/>
    <x v="15"/>
    <x v="1"/>
    <s v="PMČR 2025 - Kombi Open"/>
    <s v="CZ"/>
    <n v="2025"/>
    <n v="11"/>
    <n v="3445"/>
    <n v="1.0549999999999999"/>
    <n v="7679"/>
    <n v="8101"/>
    <x v="0"/>
    <x v="0"/>
    <s v="ASG 29 E 18m"/>
    <s v="QX"/>
    <s v=""/>
    <m/>
  </r>
  <r>
    <x v="42"/>
    <x v="19"/>
    <x v="2"/>
    <x v="24"/>
    <x v="1"/>
    <s v="PMČR 2025 - Kombi Open"/>
    <s v="CZ"/>
    <n v="2025"/>
    <n v="12"/>
    <n v="3417"/>
    <n v="1.0549999999999999"/>
    <n v="7517"/>
    <n v="7930"/>
    <x v="0"/>
    <x v="0"/>
    <s v="JS3 TJ 18m"/>
    <s v="XM"/>
    <s v=""/>
    <m/>
  </r>
  <r>
    <x v="284"/>
    <x v="4"/>
    <x v="1"/>
    <x v="273"/>
    <x v="3"/>
    <s v="PMČR 2025 - Kombi Open"/>
    <s v="CZ"/>
    <n v="2025"/>
    <n v="13"/>
    <n v="3216"/>
    <n v="1.0549999999999999"/>
    <n v="7061"/>
    <n v="7449"/>
    <x v="0"/>
    <x v="0"/>
    <s v="Arcus M"/>
    <s v="2P"/>
    <s v="Není v databázi"/>
    <m/>
  </r>
  <r>
    <x v="393"/>
    <x v="4"/>
    <x v="1"/>
    <x v="5"/>
    <x v="3"/>
    <s v="PMČR 2025 - Kombi Open"/>
    <s v="CZ"/>
    <n v="2025"/>
    <n v="14"/>
    <n v="3023"/>
    <n v="1.0549999999999999"/>
    <n v="6619"/>
    <n v="6983"/>
    <x v="0"/>
    <x v="0"/>
    <s v="Arcus M"/>
    <s v="CAR"/>
    <s v="Není v databázi"/>
    <m/>
  </r>
  <r>
    <x v="390"/>
    <x v="4"/>
    <x v="1"/>
    <x v="5"/>
    <x v="3"/>
    <s v="PMČR 2025 - Kombi Open"/>
    <s v="CZ"/>
    <n v="2025"/>
    <n v="15"/>
    <n v="2966"/>
    <n v="1.0549999999999999"/>
    <n v="6407"/>
    <n v="6759"/>
    <x v="0"/>
    <x v="0"/>
    <s v="Ventus cT"/>
    <s v="TN"/>
    <s v="Není v databázi"/>
    <m/>
  </r>
  <r>
    <x v="217"/>
    <x v="47"/>
    <x v="0"/>
    <x v="38"/>
    <x v="1"/>
    <s v="PMČR 2025 - Kombi Open"/>
    <s v="CZ"/>
    <n v="2025"/>
    <n v="16"/>
    <n v="2961"/>
    <n v="1.0549999999999999"/>
    <n v="6283"/>
    <n v="6629"/>
    <x v="1"/>
    <x v="0"/>
    <s v="HpH 304 TS Twin Shark 850"/>
    <s v="LP"/>
    <s v=""/>
    <m/>
  </r>
  <r>
    <x v="47"/>
    <x v="32"/>
    <x v="0"/>
    <x v="0"/>
    <x v="0"/>
    <s v="PMČR 2025 - Kombi Open"/>
    <s v="CZ"/>
    <n v="2025"/>
    <n v="17"/>
    <n v="2939"/>
    <n v="1.0549999999999999"/>
    <n v="6130"/>
    <n v="6467"/>
    <x v="1"/>
    <x v="0"/>
    <s v="HPH 304 MS Shark"/>
    <s v="MS"/>
    <s v=""/>
    <m/>
  </r>
  <r>
    <x v="236"/>
    <x v="1"/>
    <x v="0"/>
    <x v="24"/>
    <x v="1"/>
    <s v="PMČR 2025 - Kombi Open"/>
    <s v="CZ"/>
    <n v="2025"/>
    <n v="18"/>
    <n v="2798"/>
    <n v="1.0549999999999999"/>
    <n v="5776"/>
    <n v="6094"/>
    <x v="0"/>
    <x v="0"/>
    <s v="Ventus C 17.6m"/>
    <s v="XE"/>
    <s v=""/>
    <m/>
  </r>
  <r>
    <x v="45"/>
    <x v="30"/>
    <x v="0"/>
    <x v="15"/>
    <x v="1"/>
    <s v="PMČR 2025 - Kombi Open"/>
    <s v="CZ"/>
    <n v="2025"/>
    <n v="19"/>
    <n v="2780"/>
    <n v="1.0549999999999999"/>
    <n v="5630"/>
    <n v="5940"/>
    <x v="0"/>
    <x v="0"/>
    <s v="Ventus C 17.6m"/>
    <s v="VV"/>
    <s v=""/>
    <m/>
  </r>
  <r>
    <x v="11"/>
    <x v="9"/>
    <x v="0"/>
    <x v="0"/>
    <x v="0"/>
    <s v="PMČR 2025 - Kombi Open"/>
    <s v="CZ"/>
    <n v="2025"/>
    <n v="20"/>
    <n v="2761"/>
    <n v="1.0549999999999999"/>
    <n v="5483"/>
    <n v="5785"/>
    <x v="0"/>
    <x v="0"/>
    <s v="Ventus C 17.6m"/>
    <s v="CL"/>
    <s v=""/>
    <m/>
  </r>
  <r>
    <x v="728"/>
    <x v="18"/>
    <x v="0"/>
    <x v="220"/>
    <x v="2"/>
    <s v="PMČR 2025 - Kombi Open"/>
    <s v="CZ"/>
    <n v="2025"/>
    <n v="21"/>
    <n v="2685"/>
    <n v="1.0549999999999999"/>
    <n v="5239"/>
    <n v="5527"/>
    <x v="1"/>
    <x v="0"/>
    <s v="Nimbus 4DM"/>
    <s v="AM"/>
    <s v=""/>
    <m/>
  </r>
  <r>
    <x v="389"/>
    <x v="4"/>
    <x v="1"/>
    <x v="227"/>
    <x v="3"/>
    <s v="PMČR 2025 - Kombi Open"/>
    <s v="CZ"/>
    <n v="2025"/>
    <n v="22"/>
    <n v="2638"/>
    <n v="1.0549999999999999"/>
    <n v="5044"/>
    <n v="5321"/>
    <x v="0"/>
    <x v="0"/>
    <s v="Ventus 2cxt 18m"/>
    <s v="AI"/>
    <s v="Není v databázi"/>
    <m/>
  </r>
  <r>
    <x v="97"/>
    <x v="43"/>
    <x v="0"/>
    <x v="0"/>
    <x v="0"/>
    <s v="PMČR 2025 - Kombi Open"/>
    <s v="CZ"/>
    <n v="2025"/>
    <n v="23"/>
    <n v="2573"/>
    <n v="1.0549999999999999"/>
    <n v="4818"/>
    <n v="5083"/>
    <x v="0"/>
    <x v="0"/>
    <s v="Ventus C 17.6m"/>
    <s v="LS"/>
    <s v=""/>
    <m/>
  </r>
  <r>
    <x v="349"/>
    <x v="0"/>
    <x v="0"/>
    <x v="9"/>
    <x v="1"/>
    <s v="PMČR 2025 - Kombi Open"/>
    <s v="CZ"/>
    <n v="2025"/>
    <n v="24"/>
    <n v="2551"/>
    <n v="1.0549999999999999"/>
    <n v="4666"/>
    <n v="4923"/>
    <x v="0"/>
    <x v="0"/>
    <s v="JS1 18m"/>
    <s v="IGC"/>
    <s v=""/>
    <m/>
  </r>
  <r>
    <x v="214"/>
    <x v="26"/>
    <x v="0"/>
    <x v="2"/>
    <x v="0"/>
    <s v="PMČR 2025 - Kombi Open"/>
    <s v="CZ"/>
    <n v="2025"/>
    <n v="25"/>
    <n v="2387"/>
    <n v="1.0549999999999999"/>
    <n v="4273"/>
    <n v="4508"/>
    <x v="0"/>
    <x v="0"/>
    <s v="Ventus C 17.6m"/>
    <s v="CS"/>
    <s v=""/>
    <m/>
  </r>
  <r>
    <x v="292"/>
    <x v="4"/>
    <x v="1"/>
    <x v="70"/>
    <x v="3"/>
    <s v="PMČR 2025 - Kombi Open"/>
    <s v="CZ"/>
    <n v="2025"/>
    <n v="26"/>
    <n v="2195"/>
    <n v="1.0549999999999999"/>
    <n v="3832"/>
    <n v="4043"/>
    <x v="0"/>
    <x v="0"/>
    <s v="Ventus 3f 18m"/>
    <s v="LB"/>
    <s v="Není v databázi"/>
    <m/>
  </r>
  <r>
    <x v="70"/>
    <x v="37"/>
    <x v="0"/>
    <x v="29"/>
    <x v="2"/>
    <s v="PMČR 2025 - Kombi Open"/>
    <s v="CZ"/>
    <n v="2025"/>
    <n v="27"/>
    <n v="1747"/>
    <n v="1.0549999999999999"/>
    <n v="2958"/>
    <n v="3121"/>
    <x v="0"/>
    <x v="0"/>
    <s v="Ventus c 17.6m"/>
    <s v="EB"/>
    <s v=""/>
    <m/>
  </r>
  <r>
    <x v="67"/>
    <x v="6"/>
    <x v="0"/>
    <x v="18"/>
    <x v="2"/>
    <s v="FL 2025 - Kombi"/>
    <s v="CZ"/>
    <n v="2025"/>
    <n v="1"/>
    <n v="3784"/>
    <n v="0.76500000000000001"/>
    <n v="10000"/>
    <n v="7650"/>
    <x v="1"/>
    <x v="0"/>
    <s v="Nimbus 3T 24,5m WL"/>
    <s v="A1"/>
    <s v=""/>
    <m/>
  </r>
  <r>
    <x v="66"/>
    <x v="27"/>
    <x v="0"/>
    <x v="27"/>
    <x v="2"/>
    <s v="FL 2025 - Kombi"/>
    <s v="CZ"/>
    <n v="2025"/>
    <n v="2"/>
    <n v="3367"/>
    <n v="0.76500000000000001"/>
    <n v="8998"/>
    <n v="6883"/>
    <x v="1"/>
    <x v="0"/>
    <s v="Ventus cm 17,6m"/>
    <s v="JK"/>
    <s v=""/>
    <m/>
  </r>
  <r>
    <x v="74"/>
    <x v="36"/>
    <x v="0"/>
    <x v="18"/>
    <x v="2"/>
    <s v="FL 2025 - Kombi"/>
    <s v="CZ"/>
    <n v="2025"/>
    <n v="3"/>
    <n v="3110"/>
    <n v="0.76500000000000001"/>
    <n v="8292"/>
    <n v="6343"/>
    <x v="0"/>
    <x v="0"/>
    <s v="ASG-29E 18m"/>
    <s v="ŠNeK"/>
    <s v=""/>
    <m/>
  </r>
  <r>
    <x v="69"/>
    <x v="29"/>
    <x v="0"/>
    <x v="18"/>
    <x v="2"/>
    <s v="FL 2025 - Kombi"/>
    <s v="CZ"/>
    <n v="2025"/>
    <n v="4"/>
    <n v="2765"/>
    <n v="0.76500000000000001"/>
    <n v="7423"/>
    <n v="5679"/>
    <x v="1"/>
    <x v="0"/>
    <s v="DG-500M 22m"/>
    <s v="T1"/>
    <s v=""/>
    <m/>
  </r>
  <r>
    <x v="59"/>
    <x v="36"/>
    <x v="0"/>
    <x v="6"/>
    <x v="2"/>
    <s v="FL 2025 - Kombi"/>
    <s v="CZ"/>
    <n v="2025"/>
    <n v="5"/>
    <n v="2716"/>
    <n v="0.76500000000000001"/>
    <n v="7101"/>
    <n v="5432"/>
    <x v="1"/>
    <x v="0"/>
    <s v="HpH 304 TS Twin Shark MS"/>
    <s v="FNC"/>
    <s v=""/>
    <m/>
  </r>
  <r>
    <x v="68"/>
    <x v="9"/>
    <x v="0"/>
    <x v="6"/>
    <x v="2"/>
    <s v="FL 2025 - Kombi"/>
    <s v="CZ"/>
    <n v="2025"/>
    <n v="6"/>
    <n v="2335"/>
    <n v="0.76500000000000001"/>
    <n v="6166"/>
    <n v="4717"/>
    <x v="1"/>
    <x v="0"/>
    <s v="Duo Discus T WL"/>
    <s v="DD"/>
    <s v=""/>
    <m/>
  </r>
  <r>
    <x v="275"/>
    <x v="0"/>
    <x v="0"/>
    <x v="29"/>
    <x v="2"/>
    <s v="FL 2025 - Kombi"/>
    <s v="CZ"/>
    <n v="2025"/>
    <n v="7"/>
    <n v="2326"/>
    <n v="0.76500000000000001"/>
    <n v="5918"/>
    <n v="4527"/>
    <x v="1"/>
    <x v="0"/>
    <s v="Arcus M"/>
    <s v="LD"/>
    <s v=""/>
    <m/>
  </r>
  <r>
    <x v="72"/>
    <x v="2"/>
    <x v="0"/>
    <x v="30"/>
    <x v="2"/>
    <s v="FL 2025 - Kombi"/>
    <s v="CZ"/>
    <n v="2025"/>
    <n v="8"/>
    <n v="2247"/>
    <n v="0.76500000000000001"/>
    <n v="5541"/>
    <n v="4239"/>
    <x v="1"/>
    <x v="0"/>
    <s v="HpH 304 TS Twin Shark MS"/>
    <n v="11"/>
    <s v=""/>
    <m/>
  </r>
  <r>
    <x v="119"/>
    <x v="22"/>
    <x v="0"/>
    <x v="37"/>
    <x v="1"/>
    <s v="FL 2025 - Kombi"/>
    <s v="CZ"/>
    <n v="2025"/>
    <n v="9"/>
    <n v="2161"/>
    <n v="0.76500000000000001"/>
    <n v="5151"/>
    <n v="3941"/>
    <x v="1"/>
    <x v="0"/>
    <s v="Ventus 2cxm 18m"/>
    <s v="E8"/>
    <s v=""/>
    <m/>
  </r>
  <r>
    <x v="76"/>
    <x v="40"/>
    <x v="0"/>
    <x v="30"/>
    <x v="2"/>
    <s v="FL 2025 - Kombi"/>
    <s v="CZ"/>
    <n v="2025"/>
    <n v="10"/>
    <n v="1995"/>
    <n v="0.76500000000000001"/>
    <n v="4614"/>
    <n v="3530"/>
    <x v="1"/>
    <x v="0"/>
    <s v="LAK 17AT 18m WL"/>
    <s v="GL"/>
    <s v=""/>
    <m/>
  </r>
  <r>
    <x v="113"/>
    <x v="6"/>
    <x v="0"/>
    <x v="35"/>
    <x v="2"/>
    <s v="FL 2025 - Kombi"/>
    <s v="CZ"/>
    <n v="2025"/>
    <n v="11"/>
    <n v="1918"/>
    <n v="0.76500000000000001"/>
    <n v="4240"/>
    <n v="3244"/>
    <x v="0"/>
    <x v="0"/>
    <s v="Nimbus 2b"/>
    <s v="HT"/>
    <s v=""/>
    <m/>
  </r>
  <r>
    <x v="1011"/>
    <x v="21"/>
    <x v="0"/>
    <x v="18"/>
    <x v="2"/>
    <s v="FL 2025 - Kombi"/>
    <s v="CZ"/>
    <n v="2025"/>
    <n v="12"/>
    <n v="1911"/>
    <n v="0.76500000000000001"/>
    <n v="3997"/>
    <n v="3058"/>
    <x v="1"/>
    <x v="0"/>
    <s v="Duo Discus c"/>
    <s v="OK"/>
    <s v=""/>
    <m/>
  </r>
  <r>
    <x v="720"/>
    <x v="23"/>
    <x v="0"/>
    <x v="6"/>
    <x v="2"/>
    <s v="FL 2025 - Kombi"/>
    <s v="CZ"/>
    <n v="2025"/>
    <n v="13"/>
    <n v="1480"/>
    <n v="0.76500000000000001"/>
    <n v="2969"/>
    <n v="2271"/>
    <x v="1"/>
    <x v="0"/>
    <s v="Ventus 3M Performance"/>
    <s v="I3"/>
    <s v=""/>
    <m/>
  </r>
  <r>
    <x v="79"/>
    <x v="5"/>
    <x v="0"/>
    <x v="18"/>
    <x v="2"/>
    <s v="FL 2025 - Kombi"/>
    <s v="CZ"/>
    <n v="2025"/>
    <n v="14"/>
    <n v="1382"/>
    <n v="0.76500000000000001"/>
    <n v="2557"/>
    <n v="1956"/>
    <x v="1"/>
    <x v="0"/>
    <s v="Nimbus 3T 25,5m"/>
    <s v="RF"/>
    <s v=""/>
    <m/>
  </r>
  <r>
    <x v="100"/>
    <x v="44"/>
    <x v="0"/>
    <x v="30"/>
    <x v="2"/>
    <s v="FL 2025 - Klub"/>
    <s v="CZ"/>
    <n v="2025"/>
    <n v="1"/>
    <n v="4187"/>
    <n v="0.91500000000000004"/>
    <n v="10000"/>
    <n v="9150"/>
    <x v="1"/>
    <x v="0"/>
    <s v="ASW-19, ASW-19B"/>
    <n v="34"/>
    <s v="Junior v roce 2026"/>
    <m/>
  </r>
  <r>
    <x v="71"/>
    <x v="8"/>
    <x v="0"/>
    <x v="29"/>
    <x v="2"/>
    <s v="FL 2025 - Klub"/>
    <s v="CZ"/>
    <n v="2025"/>
    <n v="2"/>
    <n v="3698"/>
    <n v="0.91500000000000004"/>
    <n v="8995"/>
    <n v="8230"/>
    <x v="1"/>
    <x v="0"/>
    <s v="ASW-20 (A)+L+F 15m WL"/>
    <s v="MK"/>
    <s v=""/>
    <m/>
  </r>
  <r>
    <x v="90"/>
    <x v="42"/>
    <x v="0"/>
    <x v="18"/>
    <x v="2"/>
    <s v="FL 2025 - Klub"/>
    <s v="CZ"/>
    <n v="2025"/>
    <n v="3"/>
    <n v="3208"/>
    <n v="0.91500000000000004"/>
    <n v="7988"/>
    <n v="7309"/>
    <x v="1"/>
    <x v="0"/>
    <s v="TST-10M Atlas"/>
    <s v="O7"/>
    <s v=""/>
    <m/>
  </r>
  <r>
    <x v="61"/>
    <x v="31"/>
    <x v="0"/>
    <x v="27"/>
    <x v="2"/>
    <s v="FL 2025 - Klub"/>
    <s v="CZ"/>
    <n v="2025"/>
    <n v="4"/>
    <n v="3050"/>
    <n v="0.91500000000000004"/>
    <n v="7537"/>
    <n v="6896"/>
    <x v="1"/>
    <x v="0"/>
    <s v="Std. Cirrus"/>
    <s v="GT"/>
    <s v=""/>
    <m/>
  </r>
  <r>
    <x v="77"/>
    <x v="41"/>
    <x v="0"/>
    <x v="30"/>
    <x v="2"/>
    <s v="FL 2025 - Klub"/>
    <s v="CZ"/>
    <n v="2025"/>
    <n v="5"/>
    <n v="3012"/>
    <n v="0.91500000000000004"/>
    <n v="7286"/>
    <n v="6667"/>
    <x v="0"/>
    <x v="0"/>
    <s v="Discus bM WL"/>
    <s v="OL"/>
    <s v=""/>
    <m/>
  </r>
  <r>
    <x v="1012"/>
    <x v="29"/>
    <x v="0"/>
    <x v="6"/>
    <x v="2"/>
    <s v="FL 2025 - Klub"/>
    <s v="CZ"/>
    <n v="2025"/>
    <n v="6"/>
    <n v="2963"/>
    <n v="0.91500000000000004"/>
    <n v="7016"/>
    <n v="6420"/>
    <x v="1"/>
    <x v="0"/>
    <s v="LS-1f, LS-1f (45)"/>
    <s v="EM"/>
    <s v=""/>
    <m/>
  </r>
  <r>
    <x v="98"/>
    <x v="36"/>
    <x v="0"/>
    <x v="35"/>
    <x v="2"/>
    <s v="FL 2025 - Klub"/>
    <s v="CZ"/>
    <n v="2025"/>
    <n v="7"/>
    <n v="2925"/>
    <n v="0.91500000000000004"/>
    <n v="6765"/>
    <n v="6190"/>
    <x v="1"/>
    <x v="0"/>
    <s v="Std. Cirrus"/>
    <s v="RT"/>
    <s v=""/>
    <m/>
  </r>
  <r>
    <x v="719"/>
    <x v="9"/>
    <x v="0"/>
    <x v="61"/>
    <x v="1"/>
    <s v="FL 2025 - Klub"/>
    <s v="CZ"/>
    <n v="2025"/>
    <n v="8"/>
    <n v="2813"/>
    <n v="0.91500000000000004"/>
    <n v="6390"/>
    <n v="5847"/>
    <x v="1"/>
    <x v="0"/>
    <s v="LS-1d"/>
    <s v="MZ"/>
    <s v=""/>
    <m/>
  </r>
  <r>
    <x v="1007"/>
    <x v="64"/>
    <x v="0"/>
    <x v="18"/>
    <x v="2"/>
    <s v="FL 2025 - Klub"/>
    <s v="CZ"/>
    <n v="2025"/>
    <n v="9"/>
    <n v="2775"/>
    <n v="0.91500000000000004"/>
    <n v="6139"/>
    <n v="5617"/>
    <x v="1"/>
    <x v="0"/>
    <s v="Discus CS"/>
    <s v="HD"/>
    <s v=""/>
    <m/>
  </r>
  <r>
    <x v="94"/>
    <x v="43"/>
    <x v="0"/>
    <x v="35"/>
    <x v="2"/>
    <s v="FL 2025 - Klub"/>
    <s v="CZ"/>
    <n v="2025"/>
    <n v="10"/>
    <n v="2461"/>
    <n v="0.91500000000000004"/>
    <n v="5427"/>
    <n v="4966"/>
    <x v="0"/>
    <x v="0"/>
    <s v="ASW-15B"/>
    <s v="FK"/>
    <s v=""/>
    <m/>
  </r>
  <r>
    <x v="23"/>
    <x v="16"/>
    <x v="0"/>
    <x v="6"/>
    <x v="2"/>
    <s v="FL 2025 - Klub"/>
    <s v="CZ"/>
    <n v="2025"/>
    <n v="11"/>
    <n v="2453"/>
    <n v="0.91500000000000004"/>
    <n v="5226"/>
    <n v="4782"/>
    <x v="1"/>
    <x v="0"/>
    <s v="DG-200 15m"/>
    <s v="AK"/>
    <s v=""/>
    <m/>
  </r>
  <r>
    <x v="60"/>
    <x v="11"/>
    <x v="0"/>
    <x v="6"/>
    <x v="2"/>
    <s v="FL 2025 - Klub"/>
    <s v="CZ"/>
    <n v="2025"/>
    <n v="12"/>
    <n v="2228"/>
    <n v="0.91500000000000004"/>
    <n v="4662"/>
    <n v="4266"/>
    <x v="1"/>
    <x v="0"/>
    <s v="ASW-20 (A)+L+F 15m WL"/>
    <s v="NS"/>
    <s v=""/>
    <m/>
  </r>
  <r>
    <x v="104"/>
    <x v="21"/>
    <x v="0"/>
    <x v="27"/>
    <x v="2"/>
    <s v="FL 2025 - Klub"/>
    <s v="CZ"/>
    <n v="2025"/>
    <n v="13"/>
    <n v="1796"/>
    <n v="0.91500000000000004"/>
    <n v="3753"/>
    <n v="3434"/>
    <x v="1"/>
    <x v="0"/>
    <s v="LS-1f, LS-1f (45)"/>
    <s v="DP"/>
    <s v=""/>
    <m/>
  </r>
  <r>
    <x v="75"/>
    <x v="39"/>
    <x v="0"/>
    <x v="31"/>
    <x v="0"/>
    <s v="FL 2025 - Klub"/>
    <s v="CZ"/>
    <n v="2025"/>
    <n v="14"/>
    <n v="1718"/>
    <n v="0.91500000000000004"/>
    <n v="3435"/>
    <n v="3143"/>
    <x v="1"/>
    <x v="0"/>
    <s v="Discus b WL, Discus CS WL"/>
    <s v="SH"/>
    <s v=""/>
    <m/>
  </r>
  <r>
    <x v="22"/>
    <x v="14"/>
    <x v="0"/>
    <x v="6"/>
    <x v="2"/>
    <s v="FL 2025 - Klub"/>
    <s v="CZ"/>
    <n v="2025"/>
    <n v="15"/>
    <n v="1663"/>
    <n v="0.91500000000000004"/>
    <n v="3155"/>
    <n v="2887"/>
    <x v="1"/>
    <x v="0"/>
    <s v="LS-3 15m"/>
    <s v="TX"/>
    <s v=""/>
    <m/>
  </r>
  <r>
    <x v="1013"/>
    <x v="11"/>
    <x v="0"/>
    <x v="18"/>
    <x v="2"/>
    <s v="FL 2025 - Klub"/>
    <s v="CZ"/>
    <n v="2025"/>
    <n v="16"/>
    <n v="1597"/>
    <n v="0.91500000000000004"/>
    <n v="2857"/>
    <n v="2614"/>
    <x v="1"/>
    <x v="0"/>
    <s v="Std. Cirrus"/>
    <s v="XII"/>
    <s v=""/>
    <m/>
  </r>
  <r>
    <x v="107"/>
    <x v="31"/>
    <x v="0"/>
    <x v="27"/>
    <x v="2"/>
    <s v="FL 2025 - Klub"/>
    <s v="CZ"/>
    <n v="2025"/>
    <n v="17"/>
    <n v="881"/>
    <n v="0.91500000000000004"/>
    <n v="1473"/>
    <n v="1348"/>
    <x v="1"/>
    <x v="0"/>
    <s v="G-102 Astir cs 77"/>
    <s v="AS"/>
    <s v=""/>
    <m/>
  </r>
  <r>
    <x v="554"/>
    <x v="4"/>
    <x v="1"/>
    <x v="55"/>
    <x v="3"/>
    <s v="WGC 2025 - Klub"/>
    <s v="CZ"/>
    <n v="2025"/>
    <n v="1"/>
    <n v="7370"/>
    <n v="1.1199999999999999"/>
    <n v="10000"/>
    <n v="11200"/>
    <x v="0"/>
    <x v="0"/>
    <s v="LS 3"/>
    <s v="SF"/>
    <s v="Není v databázi"/>
    <m/>
  </r>
  <r>
    <x v="147"/>
    <x v="4"/>
    <x v="1"/>
    <x v="55"/>
    <x v="3"/>
    <s v="WGC 2025 - Klub"/>
    <s v="CZ"/>
    <n v="2025"/>
    <n v="2"/>
    <n v="7183"/>
    <n v="1.1199999999999999"/>
    <n v="9749"/>
    <n v="10919"/>
    <x v="0"/>
    <x v="0"/>
    <s v="LS 7"/>
    <s v="AG"/>
    <s v="Není v databázi"/>
    <m/>
  </r>
  <r>
    <x v="1014"/>
    <x v="4"/>
    <x v="1"/>
    <x v="55"/>
    <x v="3"/>
    <s v="WGC 2025 - Klub"/>
    <s v="CZ"/>
    <n v="2025"/>
    <n v="3"/>
    <n v="7166"/>
    <n v="1.1199999999999999"/>
    <n v="9660"/>
    <n v="10819"/>
    <x v="0"/>
    <x v="0"/>
    <s v="LS 7 wl"/>
    <n v="194"/>
    <s v="Není v databázi"/>
    <m/>
  </r>
  <r>
    <x v="586"/>
    <x v="4"/>
    <x v="1"/>
    <x v="55"/>
    <x v="3"/>
    <s v="WGC 2025 - Klub"/>
    <s v="CZ"/>
    <n v="2025"/>
    <n v="4"/>
    <n v="7103"/>
    <n v="1.1199999999999999"/>
    <n v="9527"/>
    <n v="10670"/>
    <x v="0"/>
    <x v="0"/>
    <s v="LS 3"/>
    <s v="SN"/>
    <s v="Není v databázi"/>
    <m/>
  </r>
  <r>
    <x v="585"/>
    <x v="4"/>
    <x v="1"/>
    <x v="55"/>
    <x v="3"/>
    <s v="WGC 2025 - Klub"/>
    <s v="CZ"/>
    <n v="2025"/>
    <n v="5"/>
    <n v="7035"/>
    <n v="1.1199999999999999"/>
    <n v="9389"/>
    <n v="10516"/>
    <x v="0"/>
    <x v="0"/>
    <s v="LS 3"/>
    <s v="1A"/>
    <s v="Není v databázi"/>
    <m/>
  </r>
  <r>
    <x v="588"/>
    <x v="4"/>
    <x v="1"/>
    <x v="55"/>
    <x v="3"/>
    <s v="WGC 2025 - Klub"/>
    <s v="CZ"/>
    <n v="2025"/>
    <n v="6"/>
    <n v="7015"/>
    <n v="1.1199999999999999"/>
    <n v="9297"/>
    <n v="10413"/>
    <x v="0"/>
    <x v="0"/>
    <s v="LS 3"/>
    <s v="FLS"/>
    <s v="Není v databázi"/>
    <m/>
  </r>
  <r>
    <x v="507"/>
    <x v="4"/>
    <x v="1"/>
    <x v="55"/>
    <x v="3"/>
    <s v="WGC 2025 - Klub"/>
    <s v="CZ"/>
    <n v="2025"/>
    <n v="7"/>
    <n v="6916"/>
    <n v="1.1199999999999999"/>
    <n v="9130"/>
    <n v="10226"/>
    <x v="0"/>
    <x v="0"/>
    <s v="LS 7"/>
    <s v="KT"/>
    <s v="Není v databázi"/>
    <m/>
  </r>
  <r>
    <x v="595"/>
    <x v="4"/>
    <x v="1"/>
    <x v="55"/>
    <x v="3"/>
    <s v="WGC 2025 - Klub"/>
    <s v="CZ"/>
    <n v="2025"/>
    <n v="8"/>
    <n v="6903"/>
    <n v="1.1199999999999999"/>
    <n v="9044"/>
    <n v="10129"/>
    <x v="0"/>
    <x v="0"/>
    <s v="LS 3"/>
    <s v="PP"/>
    <s v="Není v databázi"/>
    <m/>
  </r>
  <r>
    <x v="800"/>
    <x v="4"/>
    <x v="1"/>
    <x v="55"/>
    <x v="3"/>
    <s v="WGC 2025 - Klub"/>
    <s v="CZ"/>
    <n v="2025"/>
    <n v="9"/>
    <n v="6889"/>
    <n v="1.1199999999999999"/>
    <n v="8958"/>
    <n v="10033"/>
    <x v="0"/>
    <x v="0"/>
    <s v="LS 4"/>
    <s v="RSM"/>
    <s v="Není v databázi"/>
    <m/>
  </r>
  <r>
    <x v="1015"/>
    <x v="4"/>
    <x v="1"/>
    <x v="55"/>
    <x v="3"/>
    <s v="WGC 2025 - Klub"/>
    <s v="CZ"/>
    <n v="2025"/>
    <n v="10"/>
    <n v="6779"/>
    <n v="1.1199999999999999"/>
    <n v="8780"/>
    <n v="9834"/>
    <x v="0"/>
    <x v="0"/>
    <s v="LS 3"/>
    <s v="AM"/>
    <s v="Není v databázi"/>
    <m/>
  </r>
  <r>
    <x v="1016"/>
    <x v="4"/>
    <x v="1"/>
    <x v="55"/>
    <x v="3"/>
    <s v="WGC 2025 - Klub"/>
    <s v="CZ"/>
    <n v="2025"/>
    <n v="11"/>
    <n v="6770"/>
    <n v="1.1199999999999999"/>
    <n v="8698"/>
    <n v="9742"/>
    <x v="0"/>
    <x v="0"/>
    <s v="LS 3"/>
    <s v="KM"/>
    <s v="Není v databázi"/>
    <m/>
  </r>
  <r>
    <x v="2"/>
    <x v="2"/>
    <x v="0"/>
    <x v="2"/>
    <x v="0"/>
    <s v="WGC 2025 - Klub"/>
    <s v="CZ"/>
    <n v="2025"/>
    <n v="12"/>
    <n v="6725"/>
    <n v="1.1199999999999999"/>
    <n v="8583"/>
    <n v="9613"/>
    <x v="1"/>
    <x v="0"/>
    <s v="ASW 20"/>
    <s v="A3"/>
    <s v=""/>
    <m/>
  </r>
  <r>
    <x v="529"/>
    <x v="4"/>
    <x v="1"/>
    <x v="55"/>
    <x v="3"/>
    <s v="WGC 2025 - Klub"/>
    <s v="CZ"/>
    <n v="2025"/>
    <n v="13"/>
    <n v="6686"/>
    <n v="1.1199999999999999"/>
    <n v="8472"/>
    <n v="9489"/>
    <x v="0"/>
    <x v="0"/>
    <s v="ASW 20"/>
    <s v="NW"/>
    <s v="Není v databázi"/>
    <m/>
  </r>
  <r>
    <x v="777"/>
    <x v="4"/>
    <x v="1"/>
    <x v="55"/>
    <x v="3"/>
    <s v="WGC 2025 - Klub"/>
    <s v="CZ"/>
    <n v="2025"/>
    <n v="14"/>
    <n v="6661"/>
    <n v="1.1199999999999999"/>
    <n v="8375"/>
    <n v="9380"/>
    <x v="0"/>
    <x v="0"/>
    <s v="ASW 20"/>
    <s v="AD"/>
    <s v="Není v databázi"/>
    <m/>
  </r>
  <r>
    <x v="994"/>
    <x v="4"/>
    <x v="1"/>
    <x v="55"/>
    <x v="3"/>
    <s v="WGC 2025 - Klub"/>
    <s v="CZ"/>
    <n v="2025"/>
    <n v="15"/>
    <n v="6657"/>
    <n v="1.1199999999999999"/>
    <n v="8298"/>
    <n v="9294"/>
    <x v="0"/>
    <x v="0"/>
    <s v="ASW 20"/>
    <s v="FL"/>
    <s v="Není v databázi"/>
    <m/>
  </r>
  <r>
    <x v="592"/>
    <x v="4"/>
    <x v="1"/>
    <x v="55"/>
    <x v="3"/>
    <s v="WGC 2025 - Klub"/>
    <s v="CZ"/>
    <n v="2025"/>
    <n v="16"/>
    <n v="6647"/>
    <n v="1.1199999999999999"/>
    <n v="8216"/>
    <n v="9202"/>
    <x v="0"/>
    <x v="0"/>
    <s v="LS 7"/>
    <s v="HG"/>
    <s v="Není v databázi"/>
    <m/>
  </r>
  <r>
    <x v="55"/>
    <x v="32"/>
    <x v="0"/>
    <x v="22"/>
    <x v="0"/>
    <s v="WGC 2025 - Klub"/>
    <s v="CZ"/>
    <n v="2025"/>
    <n v="17"/>
    <n v="6629"/>
    <n v="1.1199999999999999"/>
    <n v="8125"/>
    <n v="9100"/>
    <x v="0"/>
    <x v="0"/>
    <s v="ASW 20"/>
    <s v="CX"/>
    <s v=""/>
    <m/>
  </r>
  <r>
    <x v="597"/>
    <x v="4"/>
    <x v="1"/>
    <x v="55"/>
    <x v="3"/>
    <s v="WGC 2025 - Klub"/>
    <s v="CZ"/>
    <n v="2025"/>
    <n v="18"/>
    <n v="6442"/>
    <n v="1.1199999999999999"/>
    <n v="7875"/>
    <n v="8820"/>
    <x v="0"/>
    <x v="0"/>
    <s v="ASW 20"/>
    <s v="W"/>
    <s v="Není v databázi"/>
    <m/>
  </r>
  <r>
    <x v="790"/>
    <x v="4"/>
    <x v="1"/>
    <x v="55"/>
    <x v="3"/>
    <s v="WGC 2025 - Klub"/>
    <s v="CZ"/>
    <n v="2025"/>
    <n v="19"/>
    <n v="6396"/>
    <n v="1.1199999999999999"/>
    <n v="7758"/>
    <n v="8689"/>
    <x v="0"/>
    <x v="0"/>
    <s v="ASW 20 B"/>
    <s v="FY"/>
    <s v="Není v databázi"/>
    <m/>
  </r>
  <r>
    <x v="787"/>
    <x v="4"/>
    <x v="1"/>
    <x v="55"/>
    <x v="3"/>
    <s v="WGC 2025 - Klub"/>
    <s v="CZ"/>
    <n v="2025"/>
    <n v="20"/>
    <n v="6392"/>
    <n v="1.1199999999999999"/>
    <n v="7681"/>
    <n v="8603"/>
    <x v="0"/>
    <x v="0"/>
    <s v="ASW 20"/>
    <s v="B6"/>
    <s v="Není v databázi"/>
    <m/>
  </r>
  <r>
    <x v="302"/>
    <x v="4"/>
    <x v="1"/>
    <x v="55"/>
    <x v="3"/>
    <s v="WGC 2025 - Klub"/>
    <s v="CZ"/>
    <n v="2025"/>
    <n v="21"/>
    <n v="6382"/>
    <n v="1.1199999999999999"/>
    <n v="7598"/>
    <n v="8510"/>
    <x v="0"/>
    <x v="0"/>
    <s v="LS 4"/>
    <s v="Y3"/>
    <s v="Není v databázi"/>
    <m/>
  </r>
  <r>
    <x v="13"/>
    <x v="4"/>
    <x v="1"/>
    <x v="11"/>
    <x v="5"/>
    <s v="WGC 2025 - Klub"/>
    <s v="CZ"/>
    <n v="2025"/>
    <n v="22"/>
    <n v="6372"/>
    <n v="1.1199999999999999"/>
    <n v="7516"/>
    <n v="8418"/>
    <x v="0"/>
    <x v="0"/>
    <s v="ASW 20"/>
    <s v="CP"/>
    <s v="Není v databázi"/>
    <m/>
  </r>
  <r>
    <x v="1017"/>
    <x v="4"/>
    <x v="1"/>
    <x v="55"/>
    <x v="3"/>
    <s v="WGC 2025 - Klub"/>
    <s v="CZ"/>
    <n v="2025"/>
    <n v="23"/>
    <n v="6344"/>
    <n v="1.1199999999999999"/>
    <n v="7416"/>
    <n v="8306"/>
    <x v="0"/>
    <x v="0"/>
    <s v="LS 4"/>
    <s v="IX"/>
    <s v="Není v databázi"/>
    <m/>
  </r>
  <r>
    <x v="788"/>
    <x v="4"/>
    <x v="1"/>
    <x v="55"/>
    <x v="3"/>
    <s v="WGC 2025 - Klub"/>
    <s v="CZ"/>
    <n v="2025"/>
    <n v="24"/>
    <n v="6277"/>
    <n v="1.1199999999999999"/>
    <n v="7279"/>
    <n v="8152"/>
    <x v="0"/>
    <x v="0"/>
    <s v="ASW 24 wl"/>
    <s v="CRN"/>
    <s v="Není v databázi"/>
    <m/>
  </r>
  <r>
    <x v="784"/>
    <x v="4"/>
    <x v="1"/>
    <x v="55"/>
    <x v="3"/>
    <s v="WGC 2025 - Klub"/>
    <s v="CZ"/>
    <n v="2025"/>
    <n v="25"/>
    <n v="6232"/>
    <n v="1.1199999999999999"/>
    <n v="7163"/>
    <n v="8023"/>
    <x v="0"/>
    <x v="0"/>
    <s v="LS 4"/>
    <s v="MN"/>
    <s v="Není v databázi"/>
    <m/>
  </r>
  <r>
    <x v="786"/>
    <x v="4"/>
    <x v="1"/>
    <x v="55"/>
    <x v="3"/>
    <s v="WGC 2025 - Klub"/>
    <s v="CZ"/>
    <n v="2025"/>
    <n v="26"/>
    <n v="6162"/>
    <n v="1.1199999999999999"/>
    <n v="7023"/>
    <n v="7866"/>
    <x v="0"/>
    <x v="0"/>
    <s v="LS 4"/>
    <s v="Y2"/>
    <s v="Není v databázi"/>
    <m/>
  </r>
  <r>
    <x v="403"/>
    <x v="4"/>
    <x v="1"/>
    <x v="55"/>
    <x v="3"/>
    <s v="WGC 2025 - Klub"/>
    <s v="CZ"/>
    <n v="2025"/>
    <n v="27"/>
    <n v="6017"/>
    <n v="1.1199999999999999"/>
    <n v="6812"/>
    <n v="7629"/>
    <x v="0"/>
    <x v="0"/>
    <s v="ASW 20"/>
    <s v="XI"/>
    <s v="Není v databázi"/>
    <m/>
  </r>
  <r>
    <x v="782"/>
    <x v="4"/>
    <x v="1"/>
    <x v="55"/>
    <x v="3"/>
    <s v="WGC 2025 - Klub"/>
    <s v="CZ"/>
    <n v="2025"/>
    <n v="28"/>
    <n v="5951"/>
    <n v="1.1199999999999999"/>
    <n v="6677"/>
    <n v="7478"/>
    <x v="0"/>
    <x v="0"/>
    <s v="ASW 20"/>
    <s v="LAB"/>
    <s v="Není v databázi"/>
    <m/>
  </r>
  <r>
    <x v="294"/>
    <x v="4"/>
    <x v="1"/>
    <x v="55"/>
    <x v="3"/>
    <s v="WGC 2025 - Klub"/>
    <s v="CZ"/>
    <n v="2025"/>
    <n v="29"/>
    <n v="5874"/>
    <n v="1.1199999999999999"/>
    <n v="6530"/>
    <n v="7314"/>
    <x v="0"/>
    <x v="0"/>
    <s v="LS 3"/>
    <s v="XW"/>
    <s v="Není v databázi"/>
    <m/>
  </r>
  <r>
    <x v="814"/>
    <x v="4"/>
    <x v="1"/>
    <x v="55"/>
    <x v="3"/>
    <s v="WGC 2025 - Klub"/>
    <s v="CZ"/>
    <n v="2025"/>
    <n v="30"/>
    <n v="5857"/>
    <n v="1.1199999999999999"/>
    <n v="6441"/>
    <n v="7214"/>
    <x v="0"/>
    <x v="0"/>
    <s v="LS 7"/>
    <s v="YC"/>
    <s v="Není v databázi"/>
    <m/>
  </r>
  <r>
    <x v="1018"/>
    <x v="4"/>
    <x v="1"/>
    <x v="55"/>
    <x v="3"/>
    <s v="WGC 2025 - Klub"/>
    <s v="CZ"/>
    <n v="2025"/>
    <n v="31"/>
    <n v="5682"/>
    <n v="1.1199999999999999"/>
    <n v="6202"/>
    <n v="6946"/>
    <x v="0"/>
    <x v="0"/>
    <s v="LS 4"/>
    <s v="B4"/>
    <s v="Není v databázi"/>
    <m/>
  </r>
  <r>
    <x v="282"/>
    <x v="4"/>
    <x v="1"/>
    <x v="55"/>
    <x v="3"/>
    <s v="WGC 2025 - Klub"/>
    <s v="CZ"/>
    <n v="2025"/>
    <n v="32"/>
    <n v="5633"/>
    <n v="1.1199999999999999"/>
    <n v="6082"/>
    <n v="6812"/>
    <x v="0"/>
    <x v="0"/>
    <s v="ASW 24"/>
    <s v="ZS"/>
    <s v="Není v databázi"/>
    <m/>
  </r>
  <r>
    <x v="593"/>
    <x v="4"/>
    <x v="1"/>
    <x v="55"/>
    <x v="3"/>
    <s v="WGC 2025 - Klub"/>
    <s v="CZ"/>
    <n v="2025"/>
    <n v="33"/>
    <n v="5535"/>
    <n v="1.1199999999999999"/>
    <n v="5916"/>
    <n v="6626"/>
    <x v="0"/>
    <x v="0"/>
    <s v="ASW 20 B"/>
    <s v="RZ"/>
    <s v="Není v databázi"/>
    <m/>
  </r>
  <r>
    <x v="524"/>
    <x v="4"/>
    <x v="1"/>
    <x v="55"/>
    <x v="3"/>
    <s v="WGC 2025 - Klub"/>
    <s v="CZ"/>
    <n v="2025"/>
    <n v="34"/>
    <n v="5399"/>
    <n v="1.1199999999999999"/>
    <n v="5713"/>
    <n v="6399"/>
    <x v="0"/>
    <x v="0"/>
    <s v="LS 7"/>
    <s v="GE"/>
    <s v="Není v databázi"/>
    <m/>
  </r>
  <r>
    <x v="1019"/>
    <x v="4"/>
    <x v="1"/>
    <x v="55"/>
    <x v="3"/>
    <s v="WGC 2025 - Klub"/>
    <s v="CZ"/>
    <n v="2025"/>
    <n v="35"/>
    <n v="5355"/>
    <n v="1.1199999999999999"/>
    <n v="5598"/>
    <n v="6270"/>
    <x v="0"/>
    <x v="0"/>
    <s v="LS 4"/>
    <s v="6L"/>
    <s v="Není v databázi"/>
    <m/>
  </r>
  <r>
    <x v="608"/>
    <x v="4"/>
    <x v="1"/>
    <x v="55"/>
    <x v="3"/>
    <s v="WGC 2025 - Klub"/>
    <s v="CZ"/>
    <n v="2025"/>
    <n v="36"/>
    <n v="5224"/>
    <n v="1.1199999999999999"/>
    <n v="5401"/>
    <n v="6049"/>
    <x v="0"/>
    <x v="0"/>
    <s v="ASW 24"/>
    <s v="HR3"/>
    <s v="Není v databázi"/>
    <m/>
  </r>
  <r>
    <x v="415"/>
    <x v="4"/>
    <x v="1"/>
    <x v="55"/>
    <x v="3"/>
    <s v="WGC 2025 - Klub"/>
    <s v="CZ"/>
    <n v="2025"/>
    <n v="37"/>
    <n v="4876"/>
    <n v="1.1199999999999999"/>
    <n v="4997"/>
    <n v="5597"/>
    <x v="0"/>
    <x v="0"/>
    <s v="LS 4"/>
    <s v="FP"/>
    <s v="Není v databázi"/>
    <m/>
  </r>
  <r>
    <x v="602"/>
    <x v="4"/>
    <x v="1"/>
    <x v="55"/>
    <x v="3"/>
    <s v="WGC 2025 - Klub"/>
    <s v="CZ"/>
    <n v="2025"/>
    <n v="38"/>
    <n v="4317"/>
    <n v="1.1199999999999999"/>
    <n v="4393"/>
    <n v="4920"/>
    <x v="0"/>
    <x v="0"/>
    <s v="LS 4"/>
    <s v="S5"/>
    <s v="Není v databázi"/>
    <m/>
  </r>
  <r>
    <x v="795"/>
    <x v="4"/>
    <x v="1"/>
    <x v="55"/>
    <x v="3"/>
    <s v="WGC 2025 - Klub"/>
    <s v="CZ"/>
    <n v="2025"/>
    <n v="39"/>
    <n v="3951"/>
    <n v="1.1199999999999999"/>
    <n v="3972"/>
    <n v="4449"/>
    <x v="0"/>
    <x v="0"/>
    <s v="ASW 24 wl"/>
    <n v="44"/>
    <s v="Není v databázi"/>
    <m/>
  </r>
  <r>
    <x v="598"/>
    <x v="4"/>
    <x v="1"/>
    <x v="55"/>
    <x v="3"/>
    <s v="WGC 2025 - Klub"/>
    <s v="CZ"/>
    <n v="2025"/>
    <n v="40"/>
    <n v="3238"/>
    <n v="1.1199999999999999"/>
    <n v="3222"/>
    <n v="3609"/>
    <x v="0"/>
    <x v="0"/>
    <s v="LS 4"/>
    <s v="T5"/>
    <s v="Není v databázi"/>
    <m/>
  </r>
  <r>
    <x v="809"/>
    <x v="4"/>
    <x v="1"/>
    <x v="55"/>
    <x v="3"/>
    <s v="WGC 2025 - Klub"/>
    <s v="CZ"/>
    <n v="2025"/>
    <n v="41"/>
    <n v="2651"/>
    <n v="1.1199999999999999"/>
    <n v="2591"/>
    <n v="2902"/>
    <x v="0"/>
    <x v="0"/>
    <s v="DG 300"/>
    <s v="GM"/>
    <s v="Není v databázi"/>
    <m/>
  </r>
  <r>
    <x v="4"/>
    <x v="4"/>
    <x v="1"/>
    <x v="55"/>
    <x v="3"/>
    <s v="WGC 2025 - Klub"/>
    <s v="CZ"/>
    <n v="2025"/>
    <n v="42"/>
    <n v="1564"/>
    <n v="1.1199999999999999"/>
    <n v="1485"/>
    <n v="1663"/>
    <x v="0"/>
    <x v="0"/>
    <s v="DG 300"/>
    <s v="CF"/>
    <s v="Není v databázi"/>
    <m/>
  </r>
  <r>
    <x v="801"/>
    <x v="4"/>
    <x v="1"/>
    <x v="55"/>
    <x v="3"/>
    <s v="WGC 2025 - Std"/>
    <s v="CZ"/>
    <n v="2025"/>
    <n v="1"/>
    <n v="7056"/>
    <n v="1.1199999999999999"/>
    <n v="10000"/>
    <n v="11200"/>
    <x v="0"/>
    <x v="0"/>
    <s v="LS 8a"/>
    <s v="LT"/>
    <s v="Není v databázi"/>
    <m/>
  </r>
  <r>
    <x v="1020"/>
    <x v="4"/>
    <x v="1"/>
    <x v="55"/>
    <x v="3"/>
    <s v="WGC 2025 - Std"/>
    <s v="CZ"/>
    <n v="2025"/>
    <n v="2"/>
    <n v="6545"/>
    <n v="1.1199999999999999"/>
    <n v="9412"/>
    <n v="10541"/>
    <x v="0"/>
    <x v="0"/>
    <s v="LS 8-18"/>
    <n v="352"/>
    <s v="Není v databázi"/>
    <m/>
  </r>
  <r>
    <x v="1021"/>
    <x v="4"/>
    <x v="1"/>
    <x v="55"/>
    <x v="3"/>
    <s v="WGC 2025 - Std"/>
    <s v="CZ"/>
    <n v="2025"/>
    <n v="3"/>
    <n v="6535"/>
    <n v="1.1199999999999999"/>
    <n v="9321"/>
    <n v="10440"/>
    <x v="0"/>
    <x v="0"/>
    <s v="LS 8-18"/>
    <s v="LOT"/>
    <s v="Není v databázi"/>
    <m/>
  </r>
  <r>
    <x v="1022"/>
    <x v="4"/>
    <x v="1"/>
    <x v="55"/>
    <x v="3"/>
    <s v="WGC 2025 - Std"/>
    <s v="CZ"/>
    <n v="2025"/>
    <n v="4"/>
    <n v="6356"/>
    <n v="1.1199999999999999"/>
    <n v="9062"/>
    <n v="10149"/>
    <x v="0"/>
    <x v="0"/>
    <s v="LS 8-T"/>
    <s v="AA"/>
    <s v="Není v databázi"/>
    <m/>
  </r>
  <r>
    <x v="538"/>
    <x v="4"/>
    <x v="1"/>
    <x v="55"/>
    <x v="3"/>
    <s v="WGC 2025 - Std"/>
    <s v="CZ"/>
    <n v="2025"/>
    <n v="5"/>
    <n v="6340"/>
    <n v="1.1199999999999999"/>
    <n v="8965"/>
    <n v="10041"/>
    <x v="0"/>
    <x v="0"/>
    <s v="LS 8-18"/>
    <s v="CE"/>
    <s v="Není v databázi"/>
    <m/>
  </r>
  <r>
    <x v="1023"/>
    <x v="4"/>
    <x v="1"/>
    <x v="55"/>
    <x v="3"/>
    <s v="WGC 2025 - Std"/>
    <s v="CZ"/>
    <n v="2025"/>
    <n v="6"/>
    <n v="6307"/>
    <n v="1.1199999999999999"/>
    <n v="8852"/>
    <n v="9914"/>
    <x v="0"/>
    <x v="0"/>
    <s v="LS 8-18"/>
    <s v="GP"/>
    <s v="Není v databázi"/>
    <m/>
  </r>
  <r>
    <x v="1024"/>
    <x v="4"/>
    <x v="1"/>
    <x v="55"/>
    <x v="3"/>
    <s v="WGC 2025 - Std"/>
    <s v="CZ"/>
    <n v="2025"/>
    <n v="7"/>
    <n v="6303"/>
    <n v="1.1199999999999999"/>
    <n v="8766"/>
    <n v="9818"/>
    <x v="0"/>
    <x v="0"/>
    <s v="LS8"/>
    <s v="5F"/>
    <s v="Není v databázi"/>
    <m/>
  </r>
  <r>
    <x v="246"/>
    <x v="31"/>
    <x v="0"/>
    <x v="3"/>
    <x v="2"/>
    <s v="WGC 2025 - Std"/>
    <s v="CZ"/>
    <n v="2025"/>
    <n v="8"/>
    <n v="6274"/>
    <n v="1.1199999999999999"/>
    <n v="8657"/>
    <n v="9696"/>
    <x v="0"/>
    <x v="0"/>
    <s v="LS 8"/>
    <s v="FX"/>
    <s v=""/>
    <m/>
  </r>
  <r>
    <x v="1025"/>
    <x v="4"/>
    <x v="1"/>
    <x v="55"/>
    <x v="3"/>
    <s v="WGC 2025 - Std"/>
    <s v="CZ"/>
    <n v="2025"/>
    <n v="9"/>
    <n v="6224"/>
    <n v="1.1199999999999999"/>
    <n v="8526"/>
    <n v="9549"/>
    <x v="0"/>
    <x v="0"/>
    <s v="LS 8a"/>
    <s v="AR"/>
    <s v="Není v databázi"/>
    <m/>
  </r>
  <r>
    <x v="1026"/>
    <x v="4"/>
    <x v="1"/>
    <x v="55"/>
    <x v="3"/>
    <s v="WGC 2025 - Std"/>
    <s v="CZ"/>
    <n v="2025"/>
    <n v="10"/>
    <n v="6222"/>
    <n v="1.1199999999999999"/>
    <n v="8443"/>
    <n v="9456"/>
    <x v="0"/>
    <x v="0"/>
    <s v="LS 8a"/>
    <s v="CM"/>
    <s v="Není v databázi"/>
    <m/>
  </r>
  <r>
    <x v="620"/>
    <x v="4"/>
    <x v="1"/>
    <x v="55"/>
    <x v="3"/>
    <s v="WGC 2025 - Std"/>
    <s v="CZ"/>
    <n v="2025"/>
    <n v="11"/>
    <n v="6198"/>
    <n v="1.1199999999999999"/>
    <n v="8338"/>
    <n v="9339"/>
    <x v="0"/>
    <x v="0"/>
    <s v="LS 8a"/>
    <s v="MG"/>
    <s v="Není v databázi"/>
    <m/>
  </r>
  <r>
    <x v="1000"/>
    <x v="4"/>
    <x v="1"/>
    <x v="55"/>
    <x v="3"/>
    <s v="WGC 2025 - Std"/>
    <s v="CZ"/>
    <n v="2025"/>
    <n v="12"/>
    <n v="6124"/>
    <n v="1.1199999999999999"/>
    <n v="8184"/>
    <n v="9166"/>
    <x v="0"/>
    <x v="0"/>
    <s v="Discus 2a"/>
    <s v="ET"/>
    <s v="Není v databázi"/>
    <m/>
  </r>
  <r>
    <x v="322"/>
    <x v="4"/>
    <x v="1"/>
    <x v="55"/>
    <x v="3"/>
    <s v="WGC 2025 - Std"/>
    <s v="CZ"/>
    <n v="2025"/>
    <n v="13"/>
    <n v="6112"/>
    <n v="1.1199999999999999"/>
    <n v="8091"/>
    <n v="9062"/>
    <x v="0"/>
    <x v="0"/>
    <s v="Discus 2a"/>
    <s v="I"/>
    <s v="Není v databázi"/>
    <m/>
  </r>
  <r>
    <x v="1027"/>
    <x v="4"/>
    <x v="1"/>
    <x v="55"/>
    <x v="3"/>
    <s v="WGC 2025 - Std"/>
    <s v="CZ"/>
    <n v="2025"/>
    <n v="14"/>
    <n v="6068"/>
    <n v="1.1199999999999999"/>
    <n v="7966"/>
    <n v="8922"/>
    <x v="0"/>
    <x v="0"/>
    <s v="LS 8"/>
    <s v="JK"/>
    <s v="Není v databázi"/>
    <m/>
  </r>
  <r>
    <x v="288"/>
    <x v="31"/>
    <x v="0"/>
    <x v="17"/>
    <x v="0"/>
    <s v="WGC 2025 - Std"/>
    <s v="CZ"/>
    <n v="2025"/>
    <n v="15"/>
    <n v="5979"/>
    <n v="1.1199999999999999"/>
    <n v="7796"/>
    <n v="8732"/>
    <x v="0"/>
    <x v="0"/>
    <s v="LS 8"/>
    <s v="JB"/>
    <s v=""/>
    <m/>
  </r>
  <r>
    <x v="319"/>
    <x v="4"/>
    <x v="1"/>
    <x v="55"/>
    <x v="3"/>
    <s v="WGC 2025 - Std"/>
    <s v="CZ"/>
    <n v="2025"/>
    <n v="16"/>
    <n v="5926"/>
    <n v="1.1199999999999999"/>
    <n v="7663"/>
    <n v="8583"/>
    <x v="0"/>
    <x v="0"/>
    <s v="Discus 2a"/>
    <s v="GX"/>
    <s v="Není v databázi"/>
    <m/>
  </r>
  <r>
    <x v="1028"/>
    <x v="4"/>
    <x v="1"/>
    <x v="55"/>
    <x v="3"/>
    <s v="WGC 2025 - Std"/>
    <s v="CZ"/>
    <n v="2025"/>
    <n v="17"/>
    <n v="5908"/>
    <n v="1.1199999999999999"/>
    <n v="7564"/>
    <n v="8472"/>
    <x v="0"/>
    <x v="0"/>
    <s v="LS 8-18"/>
    <s v="SX"/>
    <s v="Není v databázi"/>
    <m/>
  </r>
  <r>
    <x v="575"/>
    <x v="4"/>
    <x v="1"/>
    <x v="55"/>
    <x v="3"/>
    <s v="WGC 2025 - Std"/>
    <s v="CZ"/>
    <n v="2025"/>
    <n v="18"/>
    <n v="5906"/>
    <n v="1.1199999999999999"/>
    <n v="7481"/>
    <n v="8379"/>
    <x v="0"/>
    <x v="0"/>
    <s v="Discus 2a"/>
    <s v="AB"/>
    <s v="Není v databázi"/>
    <m/>
  </r>
  <r>
    <x v="316"/>
    <x v="4"/>
    <x v="1"/>
    <x v="55"/>
    <x v="3"/>
    <s v="WGC 2025 - Std"/>
    <s v="CZ"/>
    <n v="2025"/>
    <n v="19"/>
    <n v="576"/>
    <n v="1.1199999999999999"/>
    <n v="2112"/>
    <n v="2365"/>
    <x v="0"/>
    <x v="0"/>
    <s v="Discus 2a"/>
    <s v="JPA"/>
    <s v="Není v databázi"/>
    <m/>
  </r>
  <r>
    <x v="1029"/>
    <x v="4"/>
    <x v="1"/>
    <x v="55"/>
    <x v="3"/>
    <s v="WGC 2025 - Std"/>
    <s v="CZ"/>
    <n v="2025"/>
    <n v="20"/>
    <n v="5740"/>
    <n v="1.1199999999999999"/>
    <n v="7154"/>
    <n v="8012"/>
    <x v="0"/>
    <x v="0"/>
    <s v="LS 8a"/>
    <s v="BE"/>
    <s v="Není v databázi"/>
    <m/>
  </r>
  <r>
    <x v="1030"/>
    <x v="4"/>
    <x v="1"/>
    <x v="55"/>
    <x v="3"/>
    <s v="WGC 2025 - Std"/>
    <s v="CZ"/>
    <n v="2025"/>
    <n v="21"/>
    <n v="5619"/>
    <n v="1.1199999999999999"/>
    <n v="6953"/>
    <n v="7787"/>
    <x v="0"/>
    <x v="0"/>
    <s v="LS 8a"/>
    <s v="SE"/>
    <s v="Není v databázi"/>
    <m/>
  </r>
  <r>
    <x v="1031"/>
    <x v="4"/>
    <x v="1"/>
    <x v="55"/>
    <x v="3"/>
    <s v="WGC 2025 - Std"/>
    <s v="CZ"/>
    <n v="2025"/>
    <n v="22"/>
    <n v="5476"/>
    <n v="1.1199999999999999"/>
    <n v="6730"/>
    <n v="7538"/>
    <x v="0"/>
    <x v="0"/>
    <s v="LS 8"/>
    <s v="W8"/>
    <s v="Není v databázi"/>
    <m/>
  </r>
  <r>
    <x v="1032"/>
    <x v="4"/>
    <x v="1"/>
    <x v="55"/>
    <x v="3"/>
    <s v="WGC 2025 - Std"/>
    <s v="CZ"/>
    <n v="2025"/>
    <n v="23"/>
    <n v="5332"/>
    <n v="1.1199999999999999"/>
    <n v="6506"/>
    <n v="7287"/>
    <x v="0"/>
    <x v="0"/>
    <s v="Discus 2a"/>
    <n v="6"/>
    <s v="Není v databázi"/>
    <m/>
  </r>
  <r>
    <x v="327"/>
    <x v="4"/>
    <x v="1"/>
    <x v="55"/>
    <x v="3"/>
    <s v="WGC 2025 - Std"/>
    <s v="CZ"/>
    <n v="2025"/>
    <n v="24"/>
    <n v="5318"/>
    <n v="1.1199999999999999"/>
    <n v="6411"/>
    <n v="7180"/>
    <x v="0"/>
    <x v="0"/>
    <s v="Discus 2a"/>
    <s v="YB"/>
    <s v="Není v databázi"/>
    <m/>
  </r>
  <r>
    <x v="328"/>
    <x v="4"/>
    <x v="1"/>
    <x v="55"/>
    <x v="3"/>
    <s v="WGC 2025 - Std"/>
    <s v="CZ"/>
    <n v="2025"/>
    <n v="25"/>
    <n v="5304"/>
    <n v="1.1199999999999999"/>
    <n v="6316"/>
    <n v="7074"/>
    <x v="0"/>
    <x v="0"/>
    <s v="Discus 2a"/>
    <s v="YA"/>
    <s v="Není v databázi"/>
    <m/>
  </r>
  <r>
    <x v="520"/>
    <x v="4"/>
    <x v="1"/>
    <x v="55"/>
    <x v="3"/>
    <s v="WGC 2025 - Std"/>
    <s v="CZ"/>
    <n v="2025"/>
    <n v="26"/>
    <n v="5299"/>
    <n v="1.1199999999999999"/>
    <n v="6230"/>
    <n v="6978"/>
    <x v="0"/>
    <x v="0"/>
    <s v="LS8"/>
    <n v="1"/>
    <s v="Není v databázi"/>
    <m/>
  </r>
  <r>
    <x v="999"/>
    <x v="4"/>
    <x v="1"/>
    <x v="55"/>
    <x v="3"/>
    <s v="WGC 2025 - Std"/>
    <s v="CZ"/>
    <n v="2025"/>
    <n v="27"/>
    <n v="5282"/>
    <n v="1.1199999999999999"/>
    <n v="6132"/>
    <n v="6868"/>
    <x v="0"/>
    <x v="0"/>
    <s v="Discus 2a"/>
    <s v="WD"/>
    <s v="Není v databázi"/>
    <m/>
  </r>
  <r>
    <x v="804"/>
    <x v="4"/>
    <x v="1"/>
    <x v="55"/>
    <x v="3"/>
    <s v="WGC 2025 - Std"/>
    <s v="CZ"/>
    <n v="2025"/>
    <n v="28"/>
    <n v="5257"/>
    <n v="1.1199999999999999"/>
    <n v="6026"/>
    <n v="6749"/>
    <x v="0"/>
    <x v="0"/>
    <s v="Discus 2b"/>
    <s v="JS"/>
    <s v="Není v databázi"/>
    <m/>
  </r>
  <r>
    <x v="783"/>
    <x v="4"/>
    <x v="1"/>
    <x v="55"/>
    <x v="3"/>
    <s v="WGC 2025 - Std"/>
    <s v="CZ"/>
    <n v="2025"/>
    <n v="29"/>
    <n v="5163"/>
    <n v="1.1199999999999999"/>
    <n v="5852"/>
    <n v="6554"/>
    <x v="0"/>
    <x v="0"/>
    <s v="LS 8-18"/>
    <s v="EC"/>
    <s v="Není v databázi"/>
    <m/>
  </r>
  <r>
    <x v="632"/>
    <x v="4"/>
    <x v="1"/>
    <x v="55"/>
    <x v="3"/>
    <s v="WGC 2025 - Std"/>
    <s v="CZ"/>
    <n v="2025"/>
    <n v="30"/>
    <n v="4775"/>
    <n v="1.1199999999999999"/>
    <n v="5386"/>
    <n v="6032"/>
    <x v="0"/>
    <x v="0"/>
    <s v="LS 8-18"/>
    <s v="ZL"/>
    <s v="Není v databázi"/>
    <m/>
  </r>
  <r>
    <x v="739"/>
    <x v="4"/>
    <x v="1"/>
    <x v="55"/>
    <x v="3"/>
    <s v="WGC 2025 - Std"/>
    <s v="CZ"/>
    <n v="2025"/>
    <n v="31"/>
    <n v="4711"/>
    <n v="1.1199999999999999"/>
    <n v="5241"/>
    <n v="5870"/>
    <x v="0"/>
    <x v="0"/>
    <s v="LS 8"/>
    <s v="SI"/>
    <s v="Není v databázi"/>
    <m/>
  </r>
  <r>
    <x v="624"/>
    <x v="4"/>
    <x v="1"/>
    <x v="55"/>
    <x v="3"/>
    <s v="WGC 2025 - Std"/>
    <s v="CZ"/>
    <n v="2025"/>
    <n v="32"/>
    <n v="4592"/>
    <n v="1.1199999999999999"/>
    <n v="5042"/>
    <n v="5647"/>
    <x v="0"/>
    <x v="0"/>
    <s v="Discus 2ct"/>
    <s v="KN"/>
    <s v="Není v databázi"/>
    <m/>
  </r>
  <r>
    <x v="604"/>
    <x v="4"/>
    <x v="1"/>
    <x v="55"/>
    <x v="3"/>
    <s v="WGC 2025 - Std"/>
    <s v="CZ"/>
    <n v="2025"/>
    <n v="33"/>
    <n v="4257"/>
    <n v="1.1199999999999999"/>
    <n v="4629"/>
    <n v="5184"/>
    <x v="0"/>
    <x v="0"/>
    <s v="Discus 2a"/>
    <s v="LR"/>
    <s v="Není v databázi"/>
    <m/>
  </r>
  <r>
    <x v="457"/>
    <x v="4"/>
    <x v="1"/>
    <x v="55"/>
    <x v="3"/>
    <s v="WGC 2025 - Std"/>
    <s v="CZ"/>
    <n v="2025"/>
    <n v="34"/>
    <n v="4185"/>
    <n v="1.1199999999999999"/>
    <n v="4476"/>
    <n v="5013"/>
    <x v="0"/>
    <x v="0"/>
    <s v="LS 8a"/>
    <s v="H8"/>
    <s v="Není v databázi"/>
    <m/>
  </r>
  <r>
    <x v="1033"/>
    <x v="4"/>
    <x v="1"/>
    <x v="55"/>
    <x v="3"/>
    <s v="WGC 2025 - Std"/>
    <s v="CZ"/>
    <n v="2025"/>
    <n v="35"/>
    <n v="3989"/>
    <n v="1.1199999999999999"/>
    <n v="4201"/>
    <n v="4705"/>
    <x v="0"/>
    <x v="0"/>
    <s v="LS 8a"/>
    <s v="AU"/>
    <s v="Není v databázi"/>
    <m/>
  </r>
  <r>
    <x v="600"/>
    <x v="4"/>
    <x v="1"/>
    <x v="55"/>
    <x v="3"/>
    <s v="WGC 2025 - Std"/>
    <s v="CZ"/>
    <n v="2025"/>
    <n v="36"/>
    <n v="3802"/>
    <n v="1.1199999999999999"/>
    <n v="3934"/>
    <n v="4406"/>
    <x v="0"/>
    <x v="0"/>
    <s v="Discus 2a"/>
    <s v="HUN"/>
    <s v="Není v databázi"/>
    <m/>
  </r>
  <r>
    <x v="315"/>
    <x v="61"/>
    <x v="2"/>
    <x v="0"/>
    <x v="0"/>
    <s v="WGC 2025 - Std"/>
    <s v="CZ"/>
    <n v="2025"/>
    <n v="37"/>
    <n v="3579"/>
    <n v="1.1199999999999999"/>
    <n v="3632"/>
    <n v="4068"/>
    <x v="0"/>
    <x v="0"/>
    <s v="LS 8"/>
    <s v="EU"/>
    <s v=""/>
    <m/>
  </r>
  <r>
    <x v="1034"/>
    <x v="4"/>
    <x v="1"/>
    <x v="55"/>
    <x v="3"/>
    <s v="WGC 2025 - Std"/>
    <s v="CZ"/>
    <n v="2025"/>
    <n v="38"/>
    <n v="3487"/>
    <n v="1.1199999999999999"/>
    <n v="3459"/>
    <n v="3874"/>
    <x v="0"/>
    <x v="0"/>
    <s v="LS 8T"/>
    <s v="TC"/>
    <s v="Není v databázi"/>
    <m/>
  </r>
  <r>
    <x v="447"/>
    <x v="4"/>
    <x v="1"/>
    <x v="55"/>
    <x v="3"/>
    <s v="WGC 2025 - 15m"/>
    <s v="CZ"/>
    <n v="2025"/>
    <n v="1"/>
    <n v="6926"/>
    <n v="1.125"/>
    <n v="10000"/>
    <n v="11250"/>
    <x v="0"/>
    <x v="0"/>
    <s v="Diana 2"/>
    <s v="RP"/>
    <s v="Není v databázi"/>
    <m/>
  </r>
  <r>
    <x v="609"/>
    <x v="4"/>
    <x v="1"/>
    <x v="55"/>
    <x v="3"/>
    <s v="WGC 2025 - 15m"/>
    <s v="CZ"/>
    <n v="2025"/>
    <n v="2"/>
    <n v="6916"/>
    <n v="1.125"/>
    <n v="9902"/>
    <n v="11140"/>
    <x v="0"/>
    <x v="0"/>
    <s v="Ventus 2a"/>
    <s v="DW"/>
    <s v="Není v databázi"/>
    <m/>
  </r>
  <r>
    <x v="314"/>
    <x v="4"/>
    <x v="1"/>
    <x v="55"/>
    <x v="3"/>
    <s v="WGC 2025 - 15m"/>
    <s v="CZ"/>
    <n v="2025"/>
    <n v="3"/>
    <n v="6826"/>
    <n v="1.125"/>
    <n v="9722"/>
    <n v="10937"/>
    <x v="0"/>
    <x v="0"/>
    <s v="JS-MD3"/>
    <s v="KW"/>
    <s v="Není v databázi"/>
    <m/>
  </r>
  <r>
    <x v="955"/>
    <x v="4"/>
    <x v="1"/>
    <x v="55"/>
    <x v="3"/>
    <s v="WGC 2025 - 15m"/>
    <s v="CZ"/>
    <n v="2025"/>
    <n v="4"/>
    <n v="6691"/>
    <n v="1.125"/>
    <n v="9498"/>
    <n v="10685"/>
    <x v="0"/>
    <x v="0"/>
    <s v="JS3"/>
    <s v="WX"/>
    <s v="Není v databázi"/>
    <m/>
  </r>
  <r>
    <x v="1035"/>
    <x v="4"/>
    <x v="1"/>
    <x v="55"/>
    <x v="3"/>
    <s v="WGC 2025 - 15m"/>
    <s v="CZ"/>
    <n v="2025"/>
    <n v="5"/>
    <n v="6627"/>
    <n v="1.125"/>
    <n v="9345"/>
    <n v="10513"/>
    <x v="0"/>
    <x v="0"/>
    <s v="JS3"/>
    <s v="LE"/>
    <s v="Není v databázi"/>
    <m/>
  </r>
  <r>
    <x v="568"/>
    <x v="4"/>
    <x v="1"/>
    <x v="55"/>
    <x v="3"/>
    <s v="WGC 2025 - 15m"/>
    <s v="CZ"/>
    <n v="2025"/>
    <n v="6"/>
    <n v="6560"/>
    <n v="1.125"/>
    <n v="9189"/>
    <n v="10338"/>
    <x v="0"/>
    <x v="0"/>
    <s v="Ventus 2a"/>
    <s v="SG"/>
    <s v="Není v databázi"/>
    <m/>
  </r>
  <r>
    <x v="1036"/>
    <x v="4"/>
    <x v="1"/>
    <x v="55"/>
    <x v="3"/>
    <s v="WGC 2025 - 15m"/>
    <s v="CZ"/>
    <n v="2025"/>
    <n v="7"/>
    <n v="6371"/>
    <n v="1.125"/>
    <n v="8910"/>
    <n v="10024"/>
    <x v="0"/>
    <x v="0"/>
    <s v="JS-MD 3"/>
    <s v="LB"/>
    <s v="Není v databázi"/>
    <m/>
  </r>
  <r>
    <x v="812"/>
    <x v="4"/>
    <x v="1"/>
    <x v="55"/>
    <x v="3"/>
    <s v="WGC 2025 - 15m"/>
    <s v="CZ"/>
    <n v="2025"/>
    <n v="8"/>
    <n v="6217"/>
    <n v="1.125"/>
    <n v="8666"/>
    <n v="9749"/>
    <x v="0"/>
    <x v="0"/>
    <s v="Diana 2"/>
    <s v="BB"/>
    <s v="Není v databázi"/>
    <m/>
  </r>
  <r>
    <x v="811"/>
    <x v="4"/>
    <x v="1"/>
    <x v="55"/>
    <x v="3"/>
    <s v="WGC 2025 - 15m"/>
    <s v="CZ"/>
    <n v="2025"/>
    <n v="9"/>
    <n v="6183"/>
    <n v="1.125"/>
    <n v="8543"/>
    <n v="9611"/>
    <x v="0"/>
    <x v="0"/>
    <s v="Diana 2"/>
    <s v="ZJ"/>
    <s v="Není v databázi"/>
    <m/>
  </r>
  <r>
    <x v="443"/>
    <x v="4"/>
    <x v="1"/>
    <x v="55"/>
    <x v="3"/>
    <s v="WGC 2025 - 15m"/>
    <s v="CZ"/>
    <n v="2025"/>
    <n v="10"/>
    <n v="6121"/>
    <n v="1.125"/>
    <n v="8392"/>
    <n v="9441"/>
    <x v="0"/>
    <x v="0"/>
    <s v="JS-MD3"/>
    <s v="MM"/>
    <s v="Není v databázi"/>
    <m/>
  </r>
  <r>
    <x v="1037"/>
    <x v="4"/>
    <x v="1"/>
    <x v="55"/>
    <x v="3"/>
    <s v="WGC 2025 - 15m"/>
    <s v="CZ"/>
    <n v="2025"/>
    <n v="11"/>
    <n v="6046"/>
    <n v="1.125"/>
    <n v="8228"/>
    <n v="9257"/>
    <x v="0"/>
    <x v="0"/>
    <s v="Ventus 2a"/>
    <s v="VV"/>
    <s v="Není v databázi"/>
    <m/>
  </r>
  <r>
    <x v="569"/>
    <x v="4"/>
    <x v="1"/>
    <x v="55"/>
    <x v="3"/>
    <s v="WGC 2025 - 15m"/>
    <s v="CZ"/>
    <n v="2025"/>
    <n v="12"/>
    <n v="6037"/>
    <n v="1.125"/>
    <n v="8131"/>
    <n v="9147"/>
    <x v="0"/>
    <x v="0"/>
    <s v="JS-MD 3"/>
    <s v="JV"/>
    <s v="Není v databázi"/>
    <m/>
  </r>
  <r>
    <x v="1038"/>
    <x v="4"/>
    <x v="1"/>
    <x v="55"/>
    <x v="3"/>
    <s v="WGC 2025 - 15m"/>
    <s v="CZ"/>
    <n v="2025"/>
    <n v="13"/>
    <n v="5892"/>
    <n v="1.125"/>
    <n v="7896"/>
    <n v="8883"/>
    <x v="0"/>
    <x v="0"/>
    <s v="Ventus 2a"/>
    <s v="AF"/>
    <s v="Není v databázi"/>
    <m/>
  </r>
  <r>
    <x v="38"/>
    <x v="26"/>
    <x v="0"/>
    <x v="21"/>
    <x v="0"/>
    <s v="WGC 2025 - 15m"/>
    <s v="CZ"/>
    <n v="2025"/>
    <n v="14"/>
    <n v="5873"/>
    <n v="1.125"/>
    <n v="7789"/>
    <n v="8763"/>
    <x v="0"/>
    <x v="0"/>
    <s v="Ventus 2a"/>
    <s v="AX"/>
    <s v=""/>
    <m/>
  </r>
  <r>
    <x v="775"/>
    <x v="4"/>
    <x v="1"/>
    <x v="55"/>
    <x v="3"/>
    <s v="WGC 2025 - 15m"/>
    <s v="CZ"/>
    <n v="2025"/>
    <n v="15"/>
    <n v="5856"/>
    <n v="1.125"/>
    <n v="7683"/>
    <n v="8643"/>
    <x v="0"/>
    <x v="0"/>
    <s v="Ventus 3F"/>
    <s v="3F"/>
    <s v="Není v databázi"/>
    <m/>
  </r>
  <r>
    <x v="1039"/>
    <x v="4"/>
    <x v="1"/>
    <x v="55"/>
    <x v="3"/>
    <s v="WGC 2025 - 15m"/>
    <s v="CZ"/>
    <n v="2025"/>
    <n v="16"/>
    <n v="5720"/>
    <n v="1.125"/>
    <n v="7458"/>
    <n v="8390"/>
    <x v="0"/>
    <x v="0"/>
    <s v="JS-MD 3"/>
    <s v="L7"/>
    <s v="Není v databázi"/>
    <m/>
  </r>
  <r>
    <x v="1040"/>
    <x v="4"/>
    <x v="1"/>
    <x v="55"/>
    <x v="3"/>
    <s v="WGC 2025 - 15m"/>
    <s v="CZ"/>
    <n v="2025"/>
    <n v="17"/>
    <n v="5692"/>
    <n v="1.125"/>
    <n v="7341"/>
    <n v="8259"/>
    <x v="0"/>
    <x v="0"/>
    <s v="Ventus 2a"/>
    <s v="EY"/>
    <s v="Není v databázi"/>
    <m/>
  </r>
  <r>
    <x v="820"/>
    <x v="4"/>
    <x v="1"/>
    <x v="55"/>
    <x v="3"/>
    <s v="WGC 2025 - 15m"/>
    <s v="CZ"/>
    <n v="2025"/>
    <n v="18"/>
    <n v="5679"/>
    <n v="1.125"/>
    <n v="7240"/>
    <n v="8145"/>
    <x v="0"/>
    <x v="0"/>
    <s v="Ventus 2a"/>
    <s v="V8"/>
    <s v="Není v databázi"/>
    <m/>
  </r>
  <r>
    <x v="1041"/>
    <x v="4"/>
    <x v="1"/>
    <x v="55"/>
    <x v="3"/>
    <s v="WGC 2025 - 15m"/>
    <s v="CZ"/>
    <n v="2025"/>
    <n v="19"/>
    <n v="5668"/>
    <n v="1.125"/>
    <n v="7140"/>
    <n v="8033"/>
    <x v="0"/>
    <x v="0"/>
    <s v="Ventus 2b"/>
    <s v="MMI"/>
    <s v="Není v databázi"/>
    <m/>
  </r>
  <r>
    <x v="817"/>
    <x v="4"/>
    <x v="1"/>
    <x v="55"/>
    <x v="3"/>
    <s v="WGC 2025 - 15m"/>
    <s v="CZ"/>
    <n v="2025"/>
    <n v="20"/>
    <n v="5522"/>
    <n v="1.125"/>
    <n v="6905"/>
    <n v="7768"/>
    <x v="0"/>
    <x v="0"/>
    <s v="Ventus 2c"/>
    <s v="LX"/>
    <s v="Není v databázi"/>
    <m/>
  </r>
  <r>
    <x v="450"/>
    <x v="4"/>
    <x v="1"/>
    <x v="55"/>
    <x v="3"/>
    <s v="WGC 2025 - 15m"/>
    <s v="CZ"/>
    <n v="2025"/>
    <n v="21"/>
    <n v="5512"/>
    <n v="1.125"/>
    <n v="6806"/>
    <n v="7657"/>
    <x v="0"/>
    <x v="0"/>
    <s v="JS-MD 3"/>
    <s v="IR"/>
    <s v="Není v databázi"/>
    <m/>
  </r>
  <r>
    <x v="1"/>
    <x v="1"/>
    <x v="0"/>
    <x v="1"/>
    <x v="1"/>
    <s v="WGC 2025 - 15m"/>
    <s v="CZ"/>
    <n v="2025"/>
    <n v="22"/>
    <n v="5494"/>
    <n v="1.125"/>
    <n v="6700"/>
    <n v="7538"/>
    <x v="0"/>
    <x v="0"/>
    <s v="JS-MD3"/>
    <s v="ZE"/>
    <s v=""/>
    <m/>
  </r>
  <r>
    <x v="1042"/>
    <x v="4"/>
    <x v="1"/>
    <x v="55"/>
    <x v="3"/>
    <s v="WGC 2025 - 15m"/>
    <s v="CZ"/>
    <n v="2025"/>
    <n v="23"/>
    <n v="5370"/>
    <n v="1.125"/>
    <n v="6486"/>
    <n v="7297"/>
    <x v="0"/>
    <x v="0"/>
    <s v="ASW 27-18"/>
    <s v="FE"/>
    <s v="Není v databázi"/>
    <m/>
  </r>
  <r>
    <x v="822"/>
    <x v="4"/>
    <x v="1"/>
    <x v="55"/>
    <x v="3"/>
    <s v="WGC 2025 - 15m"/>
    <s v="CZ"/>
    <n v="2025"/>
    <n v="24"/>
    <n v="5328"/>
    <n v="1.125"/>
    <n v="6356"/>
    <n v="7151"/>
    <x v="0"/>
    <x v="0"/>
    <s v="ASW 27-18"/>
    <s v="M7"/>
    <s v="Není v databázi"/>
    <m/>
  </r>
  <r>
    <x v="351"/>
    <x v="4"/>
    <x v="1"/>
    <x v="55"/>
    <x v="3"/>
    <s v="WGC 2025 - 15m"/>
    <s v="CZ"/>
    <n v="2025"/>
    <n v="25"/>
    <n v="5253"/>
    <n v="1.125"/>
    <n v="6191"/>
    <n v="6965"/>
    <x v="0"/>
    <x v="0"/>
    <s v="JS-MD 3"/>
    <s v="BK"/>
    <s v="Není v databázi"/>
    <m/>
  </r>
  <r>
    <x v="1043"/>
    <x v="4"/>
    <x v="1"/>
    <x v="55"/>
    <x v="3"/>
    <s v="WGC 2025 - 15m"/>
    <s v="CZ"/>
    <n v="2025"/>
    <n v="26"/>
    <n v="5179"/>
    <n v="1.125"/>
    <n v="6028"/>
    <n v="6782"/>
    <x v="0"/>
    <x v="0"/>
    <s v="JS3"/>
    <n v="73"/>
    <s v="Není v databázi"/>
    <m/>
  </r>
  <r>
    <x v="1044"/>
    <x v="4"/>
    <x v="1"/>
    <x v="55"/>
    <x v="3"/>
    <s v="WGC 2025 - 15m"/>
    <s v="CZ"/>
    <n v="2025"/>
    <n v="27"/>
    <n v="5027"/>
    <n v="1.125"/>
    <n v="5787"/>
    <n v="6510"/>
    <x v="0"/>
    <x v="0"/>
    <s v="JS-MD3"/>
    <s v="AI"/>
    <s v="Není v databázi"/>
    <m/>
  </r>
  <r>
    <x v="482"/>
    <x v="4"/>
    <x v="1"/>
    <x v="55"/>
    <x v="3"/>
    <s v="WGC 2025 - 15m"/>
    <s v="CZ"/>
    <n v="2025"/>
    <n v="28"/>
    <n v="4918"/>
    <n v="1.125"/>
    <n v="5588"/>
    <n v="6287"/>
    <x v="0"/>
    <x v="0"/>
    <s v="JS-MD 3"/>
    <s v="3J"/>
    <s v="Není v databázi"/>
    <m/>
  </r>
  <r>
    <x v="826"/>
    <x v="4"/>
    <x v="1"/>
    <x v="55"/>
    <x v="3"/>
    <s v="WGC 2025 - 15m"/>
    <s v="CZ"/>
    <n v="2025"/>
    <n v="29"/>
    <n v="4760"/>
    <n v="1.125"/>
    <n v="5340"/>
    <n v="6008"/>
    <x v="0"/>
    <x v="0"/>
    <s v="ASW 27-18E"/>
    <s v="XK"/>
    <s v="Není v databázi"/>
    <m/>
  </r>
  <r>
    <x v="1045"/>
    <x v="4"/>
    <x v="1"/>
    <x v="55"/>
    <x v="3"/>
    <s v="WGC 2025 - 15m"/>
    <s v="CZ"/>
    <n v="2025"/>
    <n v="30"/>
    <n v="4483"/>
    <n v="1.125"/>
    <n v="4972"/>
    <n v="5594"/>
    <x v="0"/>
    <x v="0"/>
    <s v="JS-MD3"/>
    <s v="RY"/>
    <s v="Není v databázi"/>
    <m/>
  </r>
  <r>
    <x v="1046"/>
    <x v="4"/>
    <x v="1"/>
    <x v="55"/>
    <x v="3"/>
    <s v="WGC 2025 - 15m"/>
    <s v="CZ"/>
    <n v="2025"/>
    <n v="31"/>
    <n v="4263"/>
    <n v="1.125"/>
    <n v="4661"/>
    <n v="5244"/>
    <x v="0"/>
    <x v="0"/>
    <s v="JS-MD3"/>
    <n v="14"/>
    <s v="Není v databázi"/>
    <m/>
  </r>
  <r>
    <x v="31"/>
    <x v="4"/>
    <x v="1"/>
    <x v="55"/>
    <x v="3"/>
    <s v="WGC 2025 - 15m"/>
    <s v="CZ"/>
    <n v="2025"/>
    <n v="32"/>
    <n v="3849"/>
    <n v="1.125"/>
    <n v="4155"/>
    <n v="4674"/>
    <x v="0"/>
    <x v="0"/>
    <s v="JS-MD 3"/>
    <n v="3"/>
    <s v="Není v databázi"/>
    <m/>
  </r>
  <r>
    <x v="1047"/>
    <x v="4"/>
    <x v="1"/>
    <x v="55"/>
    <x v="3"/>
    <s v="WGC 2025 - 15m"/>
    <s v="CZ"/>
    <n v="2025"/>
    <n v="33"/>
    <n v="3770"/>
    <n v="1.125"/>
    <n v="3987"/>
    <n v="4485"/>
    <x v="0"/>
    <x v="0"/>
    <s v="ASW 27-18E"/>
    <s v="EMI"/>
    <s v="Není v databázi"/>
    <m/>
  </r>
  <r>
    <x v="1048"/>
    <x v="4"/>
    <x v="1"/>
    <x v="55"/>
    <x v="3"/>
    <s v="WGC 2025 - 15m"/>
    <s v="CZ"/>
    <n v="2025"/>
    <n v="34"/>
    <n v="3567"/>
    <n v="1.125"/>
    <n v="3693"/>
    <n v="4155"/>
    <x v="0"/>
    <x v="0"/>
    <s v="Ventus 2ct"/>
    <s v="RJ"/>
    <s v="Není v databázi"/>
    <m/>
  </r>
  <r>
    <x v="1049"/>
    <x v="4"/>
    <x v="1"/>
    <x v="55"/>
    <x v="3"/>
    <s v="WGC 2025 - 15m"/>
    <s v="CZ"/>
    <n v="2025"/>
    <n v="35"/>
    <n v="2241"/>
    <n v="1.125"/>
    <n v="2265"/>
    <n v="2548"/>
    <x v="0"/>
    <x v="0"/>
    <s v="Ventus 3T"/>
    <s v="EK"/>
    <s v="Není v databázi"/>
    <m/>
  </r>
  <r>
    <x v="1050"/>
    <x v="34"/>
    <x v="0"/>
    <x v="25"/>
    <x v="1"/>
    <s v="Safari Cup 2025 - Klub"/>
    <s v="CZ"/>
    <n v="2025"/>
    <n v="1"/>
    <n v="2379"/>
    <n v="0.73"/>
    <n v="10000"/>
    <n v="7300"/>
    <x v="1"/>
    <x v="0"/>
    <s v="ASW-19B"/>
    <s v="XP"/>
    <s v="Junior v roce 2026"/>
    <m/>
  </r>
  <r>
    <x v="732"/>
    <x v="61"/>
    <x v="0"/>
    <x v="9"/>
    <x v="1"/>
    <s v="Safari Cup 2025 - Klub"/>
    <s v="CZ"/>
    <n v="2025"/>
    <n v="2"/>
    <n v="2252"/>
    <n v="0.73"/>
    <n v="9519"/>
    <n v="6949"/>
    <x v="1"/>
    <x v="0"/>
    <s v="ASW-19B"/>
    <s v="L7"/>
    <s v=""/>
    <m/>
  </r>
  <r>
    <x v="126"/>
    <x v="47"/>
    <x v="0"/>
    <x v="38"/>
    <x v="1"/>
    <s v="Safari Cup 2025 - Klub"/>
    <s v="CZ"/>
    <n v="2025"/>
    <n v="3"/>
    <n v="2222"/>
    <n v="0.73"/>
    <n v="9324"/>
    <n v="6807"/>
    <x v="1"/>
    <x v="0"/>
    <s v="ASW-15B"/>
    <s v="CW"/>
    <s v=""/>
    <m/>
  </r>
  <r>
    <x v="167"/>
    <x v="44"/>
    <x v="0"/>
    <x v="53"/>
    <x v="1"/>
    <s v="Safari Cup 2025 - Klub"/>
    <s v="CZ"/>
    <n v="2025"/>
    <n v="4"/>
    <n v="2033"/>
    <n v="0.73"/>
    <n v="8660"/>
    <n v="6322"/>
    <x v="1"/>
    <x v="0"/>
    <s v="Std. Cirrus WL"/>
    <s v="YU"/>
    <s v="Junior v roce 2026"/>
    <m/>
  </r>
  <r>
    <x v="172"/>
    <x v="36"/>
    <x v="0"/>
    <x v="54"/>
    <x v="1"/>
    <s v="Safari Cup 2025 - Klub"/>
    <s v="CZ"/>
    <n v="2025"/>
    <n v="5"/>
    <n v="2027"/>
    <n v="0.73"/>
    <n v="8536"/>
    <n v="6231"/>
    <x v="1"/>
    <x v="0"/>
    <s v="G-104 Speed Astir II"/>
    <s v="V2"/>
    <s v=""/>
    <m/>
  </r>
  <r>
    <x v="1051"/>
    <x v="4"/>
    <x v="1"/>
    <x v="274"/>
    <x v="3"/>
    <s v="Safari Cup 2025 - Klub"/>
    <s v="CZ"/>
    <n v="2025"/>
    <n v="6"/>
    <n v="2006"/>
    <n v="0.73"/>
    <n v="8367"/>
    <n v="6108"/>
    <x v="0"/>
    <x v="0"/>
    <s v="Centrair C-101A Pegase"/>
    <s v="AS"/>
    <s v="Není v databázi"/>
    <m/>
  </r>
  <r>
    <x v="168"/>
    <x v="52"/>
    <x v="0"/>
    <x v="9"/>
    <x v="1"/>
    <s v="Safari Cup 2025 - Klub"/>
    <s v="CZ"/>
    <n v="2025"/>
    <n v="7"/>
    <n v="2005"/>
    <n v="0.73"/>
    <n v="8257"/>
    <n v="6028"/>
    <x v="1"/>
    <x v="0"/>
    <s v="DG-200 15m"/>
    <s v="MK"/>
    <s v=""/>
    <m/>
  </r>
  <r>
    <x v="174"/>
    <x v="23"/>
    <x v="0"/>
    <x v="9"/>
    <x v="1"/>
    <s v="Safari Cup 2025 - Klub"/>
    <s v="CZ"/>
    <n v="2025"/>
    <n v="8"/>
    <n v="1964"/>
    <n v="0.73"/>
    <n v="8029"/>
    <n v="5861"/>
    <x v="1"/>
    <x v="0"/>
    <s v="Cirrus VTC"/>
    <s v="OT"/>
    <s v=""/>
    <m/>
  </r>
  <r>
    <x v="156"/>
    <x v="3"/>
    <x v="0"/>
    <x v="51"/>
    <x v="1"/>
    <s v="Safari Cup 2025 - Klub"/>
    <s v="CZ"/>
    <n v="2025"/>
    <n v="9"/>
    <n v="1947"/>
    <n v="0.73"/>
    <n v="7872"/>
    <n v="5747"/>
    <x v="0"/>
    <x v="0"/>
    <s v="VSO-10"/>
    <s v="ML"/>
    <s v="Junior v roce 2026"/>
    <m/>
  </r>
  <r>
    <x v="173"/>
    <x v="42"/>
    <x v="0"/>
    <x v="53"/>
    <x v="1"/>
    <s v="Safari Cup 2025 - Klub"/>
    <s v="CZ"/>
    <n v="2025"/>
    <n v="10"/>
    <n v="1864"/>
    <n v="0.73"/>
    <n v="7520"/>
    <n v="5490"/>
    <x v="1"/>
    <x v="0"/>
    <s v="HpH 304cz 15m"/>
    <s v="LB"/>
    <s v=""/>
    <m/>
  </r>
  <r>
    <x v="176"/>
    <x v="4"/>
    <x v="1"/>
    <x v="107"/>
    <x v="3"/>
    <s v="Safari Cup 2025 - Klub"/>
    <s v="CZ"/>
    <n v="2025"/>
    <n v="11"/>
    <n v="1779"/>
    <n v="0.73"/>
    <n v="7163"/>
    <n v="5229"/>
    <x v="0"/>
    <x v="0"/>
    <s v="LS-4"/>
    <s v="KP"/>
    <s v="Není v databázi"/>
    <m/>
  </r>
  <r>
    <x v="274"/>
    <x v="0"/>
    <x v="0"/>
    <x v="14"/>
    <x v="0"/>
    <s v="Safari Cup 2025 - Klub"/>
    <s v="CZ"/>
    <n v="2025"/>
    <n v="12"/>
    <n v="1716"/>
    <n v="0.73"/>
    <n v="6871"/>
    <n v="5016"/>
    <x v="1"/>
    <x v="0"/>
    <s v="ASW-19B"/>
    <s v="NO"/>
    <s v=""/>
    <m/>
  </r>
  <r>
    <x v="38"/>
    <x v="26"/>
    <x v="0"/>
    <x v="21"/>
    <x v="0"/>
    <s v="Safari Cup 2025 - Klub"/>
    <s v="CZ"/>
    <n v="2025"/>
    <n v="13"/>
    <n v="1704"/>
    <n v="0.73"/>
    <n v="6728"/>
    <n v="4911"/>
    <x v="0"/>
    <x v="0"/>
    <s v="VSO-10"/>
    <s v="AB"/>
    <s v=""/>
    <m/>
  </r>
  <r>
    <x v="1052"/>
    <x v="4"/>
    <x v="1"/>
    <x v="275"/>
    <x v="3"/>
    <s v="Safari Cup 2025 - Klub"/>
    <s v="CZ"/>
    <n v="2025"/>
    <n v="14"/>
    <n v="1540"/>
    <n v="0.73"/>
    <n v="6138"/>
    <n v="4481"/>
    <x v="0"/>
    <x v="0"/>
    <s v="Std. Cirrus"/>
    <s v="GM"/>
    <s v="Není v databázi"/>
    <m/>
  </r>
  <r>
    <x v="171"/>
    <x v="53"/>
    <x v="0"/>
    <x v="53"/>
    <x v="1"/>
    <s v="Safari Cup 2025 - Klub"/>
    <s v="CZ"/>
    <n v="2025"/>
    <n v="15"/>
    <n v="1462"/>
    <n v="0.73"/>
    <n v="5802"/>
    <n v="4235"/>
    <x v="1"/>
    <x v="0"/>
    <s v="Std. Cirrus"/>
    <s v="KA"/>
    <s v=""/>
    <m/>
  </r>
  <r>
    <x v="1053"/>
    <x v="65"/>
    <x v="2"/>
    <x v="25"/>
    <x v="1"/>
    <s v="Safari Cup 2025 - Klub"/>
    <s v="CZ"/>
    <n v="2025"/>
    <n v="16"/>
    <n v="1446"/>
    <n v="0.73"/>
    <n v="5648"/>
    <n v="4123"/>
    <x v="1"/>
    <x v="1"/>
    <s v="ASW-15B"/>
    <s v="B"/>
    <s v="Junior v roce 2026"/>
    <m/>
  </r>
  <r>
    <x v="180"/>
    <x v="47"/>
    <x v="0"/>
    <x v="3"/>
    <x v="2"/>
    <s v="Safari Cup 2025 - Klub"/>
    <s v="CZ"/>
    <n v="2025"/>
    <n v="17"/>
    <n v="1428"/>
    <n v="0.73"/>
    <n v="5487"/>
    <n v="4006"/>
    <x v="1"/>
    <x v="0"/>
    <s v="DG-101 G"/>
    <s v="3A"/>
    <s v=""/>
    <m/>
  </r>
  <r>
    <x v="179"/>
    <x v="4"/>
    <x v="1"/>
    <x v="55"/>
    <x v="3"/>
    <s v="Safari Cup 2025 - Klub"/>
    <s v="CZ"/>
    <n v="2025"/>
    <n v="18"/>
    <n v="1282"/>
    <n v="0.73"/>
    <n v="4951"/>
    <n v="3614"/>
    <x v="0"/>
    <x v="0"/>
    <s v="Centrair C-101A Pegase"/>
    <s v="AJ"/>
    <s v="Není v databázi"/>
    <m/>
  </r>
  <r>
    <x v="186"/>
    <x v="0"/>
    <x v="0"/>
    <x v="14"/>
    <x v="0"/>
    <s v="Safari Cup 2025 - Klub"/>
    <s v="CZ"/>
    <n v="2025"/>
    <n v="19"/>
    <n v="1229"/>
    <n v="0.73"/>
    <n v="4688"/>
    <n v="3422"/>
    <x v="1"/>
    <x v="0"/>
    <s v="LS-1f"/>
    <s v="CC"/>
    <s v=""/>
    <m/>
  </r>
  <r>
    <x v="169"/>
    <x v="9"/>
    <x v="0"/>
    <x v="51"/>
    <x v="1"/>
    <s v="Safari Cup 2025 - Klub"/>
    <s v="CZ"/>
    <n v="2025"/>
    <n v="20"/>
    <n v="1120"/>
    <n v="0.73"/>
    <n v="4260"/>
    <n v="3110"/>
    <x v="1"/>
    <x v="0"/>
    <s v="G-103 Twin Astir dvojí (zatahovací podvozek)"/>
    <n v="5"/>
    <s v=""/>
    <m/>
  </r>
  <r>
    <x v="734"/>
    <x v="4"/>
    <x v="1"/>
    <x v="226"/>
    <x v="3"/>
    <s v="Safari Cup 2025 - Klub"/>
    <s v="CZ"/>
    <n v="2025"/>
    <n v="21"/>
    <n v="1029"/>
    <n v="0.73"/>
    <n v="3885"/>
    <n v="2836"/>
    <x v="0"/>
    <x v="0"/>
    <s v="DG-300 Club ELAN (RG) (zatahovací podvozek)"/>
    <s v="N5"/>
    <s v="Není v databázi"/>
    <m/>
  </r>
  <r>
    <x v="735"/>
    <x v="4"/>
    <x v="1"/>
    <x v="225"/>
    <x v="3"/>
    <s v="Safari Cup 2025 - Klub"/>
    <s v="CZ"/>
    <n v="2025"/>
    <n v="22"/>
    <n v="897"/>
    <n v="0.73"/>
    <n v="3389"/>
    <n v="2474"/>
    <x v="0"/>
    <x v="0"/>
    <s v="Mini Nimbus c"/>
    <s v="LK"/>
    <s v="Není v databázi"/>
    <m/>
  </r>
  <r>
    <x v="177"/>
    <x v="54"/>
    <x v="0"/>
    <x v="14"/>
    <x v="0"/>
    <s v="Safari Cup 2025 - Klub"/>
    <s v="CZ"/>
    <n v="2025"/>
    <n v="23"/>
    <n v="873"/>
    <n v="0.73"/>
    <n v="3212"/>
    <n v="2345"/>
    <x v="1"/>
    <x v="0"/>
    <s v="VSO-10"/>
    <n v="93"/>
    <s v=""/>
    <m/>
  </r>
  <r>
    <x v="184"/>
    <x v="20"/>
    <x v="0"/>
    <x v="14"/>
    <x v="0"/>
    <s v="Safari Cup 2025 - Klub"/>
    <s v="CZ"/>
    <n v="2025"/>
    <n v="24"/>
    <n v="650"/>
    <n v="0.73"/>
    <n v="2448"/>
    <n v="1787"/>
    <x v="1"/>
    <x v="0"/>
    <s v="ASK-21 dvojí"/>
    <s v="AK"/>
    <s v=""/>
    <m/>
  </r>
  <r>
    <x v="183"/>
    <x v="4"/>
    <x v="1"/>
    <x v="222"/>
    <x v="3"/>
    <s v="Safari Cup 2025 - Klub"/>
    <s v="CZ"/>
    <n v="2025"/>
    <n v="25"/>
    <n v="362"/>
    <n v="0.73"/>
    <n v="1494"/>
    <n v="1091"/>
    <x v="0"/>
    <x v="0"/>
    <s v="LS 4"/>
    <s v="YL"/>
    <s v="Není v databázi"/>
    <m/>
  </r>
  <r>
    <x v="1054"/>
    <x v="27"/>
    <x v="0"/>
    <x v="53"/>
    <x v="1"/>
    <s v="Safari Cup 2025 - Klub"/>
    <s v="CZ"/>
    <n v="2025"/>
    <n v="26"/>
    <n v="337"/>
    <n v="0.73"/>
    <n v="1313"/>
    <n v="958"/>
    <x v="1"/>
    <x v="0"/>
    <s v="VSO-10"/>
    <n v="78"/>
    <s v=""/>
    <m/>
  </r>
  <r>
    <x v="188"/>
    <x v="56"/>
    <x v="0"/>
    <x v="56"/>
    <x v="2"/>
    <s v="Safari Cup 2025 - Klub"/>
    <s v="CZ"/>
    <n v="2025"/>
    <n v="27"/>
    <n v="290"/>
    <n v="0.73"/>
    <n v="1068"/>
    <n v="780"/>
    <x v="1"/>
    <x v="0"/>
    <s v="TST-10M Atlas"/>
    <s v="KE"/>
    <s v=""/>
    <m/>
  </r>
  <r>
    <x v="182"/>
    <x v="4"/>
    <x v="1"/>
    <x v="276"/>
    <x v="3"/>
    <s v="Safari Cup 2025 - Klub"/>
    <s v="CZ"/>
    <n v="2025"/>
    <n v="28"/>
    <n v="250"/>
    <n v="0.73"/>
    <n v="843"/>
    <n v="615"/>
    <x v="0"/>
    <x v="0"/>
    <s v="SZD-48 Jantar Std 2,3"/>
    <s v="FILI"/>
    <s v="Není v databázi"/>
    <m/>
  </r>
  <r>
    <x v="1055"/>
    <x v="4"/>
    <x v="1"/>
    <x v="277"/>
    <x v="3"/>
    <s v="Safari Cup 2025 - Klub"/>
    <s v="CZ"/>
    <n v="2025"/>
    <n v="29"/>
    <n v="0"/>
    <n v="0.73"/>
    <n v="0"/>
    <n v="0"/>
    <x v="0"/>
    <x v="0"/>
    <s v="SZD-48 Jantar std. 3"/>
    <s v="B8"/>
    <s v="Není v databázi"/>
    <m/>
  </r>
  <r>
    <x v="738"/>
    <x v="2"/>
    <x v="0"/>
    <x v="53"/>
    <x v="1"/>
    <s v="Safari Cup 2025 - Kombi"/>
    <s v="CZ"/>
    <n v="2025"/>
    <n v="1"/>
    <n v="2808"/>
    <n v="0.755"/>
    <n v="10000"/>
    <n v="7550"/>
    <x v="1"/>
    <x v="0"/>
    <s v="HpH 304cz 17,4m (voda)"/>
    <s v="IH"/>
    <s v=""/>
    <m/>
  </r>
  <r>
    <x v="52"/>
    <x v="33"/>
    <x v="0"/>
    <x v="15"/>
    <x v="1"/>
    <s v="Safari Cup 2025 - Kombi"/>
    <s v="CZ"/>
    <n v="2025"/>
    <n v="2"/>
    <n v="2564"/>
    <n v="0.755"/>
    <n v="9058"/>
    <n v="6839"/>
    <x v="1"/>
    <x v="0"/>
    <s v="HpH 304S 18m -600 kg (voda)"/>
    <s v="ZB"/>
    <s v=""/>
    <m/>
  </r>
  <r>
    <x v="191"/>
    <x v="11"/>
    <x v="0"/>
    <x v="9"/>
    <x v="1"/>
    <s v="Safari Cup 2025 - Kombi"/>
    <s v="CZ"/>
    <n v="2025"/>
    <n v="3"/>
    <n v="2558"/>
    <n v="0.755"/>
    <n v="8710"/>
    <n v="6576"/>
    <x v="1"/>
    <x v="0"/>
    <s v="ASW-20 L +FL 16,6m"/>
    <s v="JP"/>
    <s v=""/>
    <m/>
  </r>
  <r>
    <x v="193"/>
    <x v="33"/>
    <x v="0"/>
    <x v="51"/>
    <x v="1"/>
    <s v="Safari Cup 2025 - Kombi"/>
    <s v="CZ"/>
    <n v="2025"/>
    <n v="4"/>
    <n v="2536"/>
    <n v="0.755"/>
    <n v="8322"/>
    <n v="6283"/>
    <x v="1"/>
    <x v="0"/>
    <s v="Discus CS (voda)"/>
    <s v="VR"/>
    <s v=""/>
    <m/>
  </r>
  <r>
    <x v="190"/>
    <x v="16"/>
    <x v="0"/>
    <x v="15"/>
    <x v="1"/>
    <s v="Safari Cup 2025 - Kombi"/>
    <s v="CZ"/>
    <n v="2025"/>
    <n v="5"/>
    <n v="2535"/>
    <n v="0.755"/>
    <n v="7986"/>
    <n v="6029"/>
    <x v="1"/>
    <x v="0"/>
    <s v="Ventus c 17,6m (voda)"/>
    <s v="GE"/>
    <s v=""/>
    <m/>
  </r>
  <r>
    <x v="175"/>
    <x v="6"/>
    <x v="0"/>
    <x v="53"/>
    <x v="1"/>
    <s v="Safari Cup 2025 - Kombi"/>
    <s v="CZ"/>
    <n v="2025"/>
    <n v="6"/>
    <n v="2223"/>
    <n v="0.755"/>
    <n v="6875"/>
    <n v="5191"/>
    <x v="1"/>
    <x v="0"/>
    <s v="KKB 18E+ (FES)"/>
    <s v="AC"/>
    <s v=""/>
    <m/>
  </r>
  <r>
    <x v="194"/>
    <x v="22"/>
    <x v="0"/>
    <x v="9"/>
    <x v="1"/>
    <s v="Safari Cup 2025 - Kombi"/>
    <s v="CZ"/>
    <n v="2025"/>
    <n v="7"/>
    <n v="2222"/>
    <n v="0.755"/>
    <n v="6539"/>
    <n v="4937"/>
    <x v="1"/>
    <x v="0"/>
    <s v="LAK-17B FES 18m (voda)"/>
    <s v="TF"/>
    <s v=""/>
    <m/>
  </r>
  <r>
    <x v="1056"/>
    <x v="4"/>
    <x v="1"/>
    <x v="278"/>
    <x v="3"/>
    <s v="Safari Cup 2025 - Kombi"/>
    <s v="CZ"/>
    <n v="2025"/>
    <n v="8"/>
    <n v="2198"/>
    <n v="0.755"/>
    <n v="6146"/>
    <n v="4640"/>
    <x v="0"/>
    <x v="0"/>
    <s v="Ventus 2b 15m (voda)"/>
    <s v="Ac4"/>
    <s v="Není v databázi"/>
    <m/>
  </r>
  <r>
    <x v="195"/>
    <x v="6"/>
    <x v="0"/>
    <x v="54"/>
    <x v="1"/>
    <s v="Safari Cup 2025 - Kombi"/>
    <s v="CZ"/>
    <n v="2025"/>
    <n v="9"/>
    <n v="2066"/>
    <n v="0.755"/>
    <n v="5484"/>
    <n v="4140"/>
    <x v="1"/>
    <x v="0"/>
    <s v="DG-400 17m (voda)"/>
    <s v="ST"/>
    <s v=""/>
    <m/>
  </r>
  <r>
    <x v="109"/>
    <x v="25"/>
    <x v="0"/>
    <x v="27"/>
    <x v="2"/>
    <s v="Safari Cup 2025 - Kombi"/>
    <s v="CZ"/>
    <n v="2025"/>
    <n v="10"/>
    <n v="1732"/>
    <n v="0.755"/>
    <n v="4318"/>
    <n v="3260"/>
    <x v="1"/>
    <x v="0"/>
    <s v="DG-400 17m (voda)"/>
    <s v="MR"/>
    <s v=""/>
    <m/>
  </r>
  <r>
    <x v="723"/>
    <x v="60"/>
    <x v="0"/>
    <x v="46"/>
    <x v="0"/>
    <s v="Toužim Cup 2025 - Klub"/>
    <s v="CZ"/>
    <n v="2025"/>
    <n v="1"/>
    <n v="2136"/>
    <n v="0.88"/>
    <n v="10000"/>
    <n v="8800"/>
    <x v="1"/>
    <x v="0"/>
    <s v="H-201b Std. Libelle WL"/>
    <n v="442"/>
    <s v=""/>
    <m/>
  </r>
  <r>
    <x v="198"/>
    <x v="11"/>
    <x v="0"/>
    <x v="17"/>
    <x v="0"/>
    <s v="Toužim Cup 2025 - Klub"/>
    <s v="CZ"/>
    <n v="2025"/>
    <n v="2"/>
    <n v="2050"/>
    <n v="0.88"/>
    <n v="9598"/>
    <n v="8446"/>
    <x v="1"/>
    <x v="0"/>
    <s v="ASW-19B WL"/>
    <s v="JL"/>
    <s v=""/>
    <m/>
  </r>
  <r>
    <x v="153"/>
    <x v="50"/>
    <x v="0"/>
    <x v="8"/>
    <x v="2"/>
    <s v="Toužim Cup 2025 - Klub"/>
    <s v="CZ"/>
    <n v="2025"/>
    <n v="3"/>
    <n v="1964"/>
    <n v="0.88"/>
    <n v="9196"/>
    <n v="8092"/>
    <x v="1"/>
    <x v="0"/>
    <s v="LS-1f"/>
    <s v="FD"/>
    <s v="Junior v roce 2026"/>
    <m/>
  </r>
  <r>
    <x v="148"/>
    <x v="48"/>
    <x v="0"/>
    <x v="46"/>
    <x v="0"/>
    <s v="Toužim Cup 2025 - Klub"/>
    <s v="CZ"/>
    <n v="2025"/>
    <n v="4"/>
    <n v="1963"/>
    <n v="0.88"/>
    <n v="9073"/>
    <n v="7984"/>
    <x v="1"/>
    <x v="0"/>
    <s v="ASW-19B"/>
    <s v="HB"/>
    <s v=""/>
    <m/>
  </r>
  <r>
    <x v="83"/>
    <x v="5"/>
    <x v="0"/>
    <x v="2"/>
    <x v="0"/>
    <s v="Toužim Cup 2025 - Klub"/>
    <s v="CZ"/>
    <n v="2025"/>
    <n v="5"/>
    <n v="1878"/>
    <n v="0.88"/>
    <n v="8674"/>
    <n v="7633"/>
    <x v="1"/>
    <x v="0"/>
    <s v="Janus CM (FG) (fix gear=pevný podvozek)"/>
    <s v="J59"/>
    <s v=""/>
    <m/>
  </r>
  <r>
    <x v="178"/>
    <x v="50"/>
    <x v="0"/>
    <x v="42"/>
    <x v="0"/>
    <s v="Toužim Cup 2025 - Klub"/>
    <s v="CZ"/>
    <n v="2025"/>
    <n v="6"/>
    <n v="1854"/>
    <n v="0.88"/>
    <n v="8476"/>
    <n v="7459"/>
    <x v="1"/>
    <x v="0"/>
    <s v="Std. Cirrus"/>
    <s v="TI"/>
    <s v="Junior v roce 2026"/>
    <m/>
  </r>
  <r>
    <x v="690"/>
    <x v="9"/>
    <x v="0"/>
    <x v="2"/>
    <x v="0"/>
    <s v="Toužim Cup 2025 - Klub"/>
    <s v="CZ"/>
    <n v="2025"/>
    <n v="7"/>
    <n v="1793"/>
    <n v="0.88"/>
    <n v="8156"/>
    <n v="7177"/>
    <x v="1"/>
    <x v="0"/>
    <s v="Janus C (FG)"/>
    <s v="DF"/>
    <s v=""/>
    <m/>
  </r>
  <r>
    <x v="161"/>
    <x v="51"/>
    <x v="2"/>
    <x v="41"/>
    <x v="0"/>
    <s v="Toužim Cup 2025 - Klub"/>
    <s v="CZ"/>
    <n v="2025"/>
    <n v="8"/>
    <n v="1790"/>
    <n v="0.88"/>
    <n v="8026"/>
    <n v="7063"/>
    <x v="1"/>
    <x v="1"/>
    <s v="DG-101 G"/>
    <s v="JE"/>
    <s v="Junior v roce 2026"/>
    <m/>
  </r>
  <r>
    <x v="199"/>
    <x v="19"/>
    <x v="0"/>
    <x v="17"/>
    <x v="0"/>
    <s v="Toužim Cup 2025 - Klub"/>
    <s v="CZ"/>
    <n v="2025"/>
    <n v="9"/>
    <n v="1750"/>
    <n v="0.88"/>
    <n v="7775"/>
    <n v="6842"/>
    <x v="1"/>
    <x v="0"/>
    <s v="ASW-15B"/>
    <s v="T1"/>
    <s v=""/>
    <m/>
  </r>
  <r>
    <x v="770"/>
    <x v="28"/>
    <x v="0"/>
    <x v="42"/>
    <x v="0"/>
    <s v="Toužim Cup 2025 - Klub"/>
    <s v="CZ"/>
    <n v="2025"/>
    <n v="10"/>
    <n v="1742"/>
    <n v="0.88"/>
    <n v="7629"/>
    <n v="6714"/>
    <x v="1"/>
    <x v="0"/>
    <s v="Std. Cirrus WL"/>
    <s v="IT"/>
    <s v=""/>
    <m/>
  </r>
  <r>
    <x v="202"/>
    <x v="45"/>
    <x v="0"/>
    <x v="17"/>
    <x v="0"/>
    <s v="Toužim Cup 2025 - Klub"/>
    <s v="CZ"/>
    <n v="2025"/>
    <n v="10"/>
    <n v="1742"/>
    <n v="0.88"/>
    <n v="7629"/>
    <n v="6714"/>
    <x v="1"/>
    <x v="0"/>
    <s v="Std. Cirrus"/>
    <s v="LD"/>
    <s v=""/>
    <m/>
  </r>
  <r>
    <x v="1057"/>
    <x v="43"/>
    <x v="0"/>
    <x v="17"/>
    <x v="0"/>
    <s v="Toužim Cup 2025 - Klub"/>
    <s v="CZ"/>
    <n v="2025"/>
    <n v="12"/>
    <n v="1462"/>
    <n v="0.88"/>
    <n v="6471"/>
    <n v="5694"/>
    <x v="1"/>
    <x v="0"/>
    <s v="Std. Cirrus"/>
    <s v="AL"/>
    <s v=""/>
    <m/>
  </r>
  <r>
    <x v="96"/>
    <x v="2"/>
    <x v="0"/>
    <x v="2"/>
    <x v="0"/>
    <s v="Toužim Cup 2025 - Klub"/>
    <s v="CZ"/>
    <n v="2025"/>
    <n v="13"/>
    <n v="1388"/>
    <n v="0.88"/>
    <n v="6109"/>
    <n v="5376"/>
    <x v="1"/>
    <x v="0"/>
    <s v="LS-1d"/>
    <s v="CLI"/>
    <s v=""/>
    <m/>
  </r>
  <r>
    <x v="201"/>
    <x v="1"/>
    <x v="0"/>
    <x v="21"/>
    <x v="0"/>
    <s v="Toužim Cup 2025 - Klub"/>
    <s v="CZ"/>
    <n v="2025"/>
    <n v="14"/>
    <n v="1353"/>
    <n v="0.88"/>
    <n v="5874"/>
    <n v="5169"/>
    <x v="1"/>
    <x v="0"/>
    <s v="ASW-19B"/>
    <s v="AH"/>
    <s v=""/>
    <m/>
  </r>
  <r>
    <x v="1058"/>
    <x v="7"/>
    <x v="0"/>
    <x v="216"/>
    <x v="1"/>
    <s v="Toužim Cup 2025 - Klub"/>
    <s v="CZ"/>
    <n v="2025"/>
    <n v="15"/>
    <n v="1297"/>
    <n v="0.88"/>
    <n v="5570"/>
    <n v="4902"/>
    <x v="1"/>
    <x v="0"/>
    <s v="ASW-15B"/>
    <s v="X"/>
    <s v="Junior v roce 2026"/>
    <m/>
  </r>
  <r>
    <x v="159"/>
    <x v="50"/>
    <x v="0"/>
    <x v="8"/>
    <x v="2"/>
    <s v="Toužim Cup 2025 - Klub"/>
    <s v="CZ"/>
    <n v="2025"/>
    <n v="16"/>
    <n v="1265"/>
    <n v="0.88"/>
    <n v="5346"/>
    <n v="4704"/>
    <x v="0"/>
    <x v="0"/>
    <s v="Std. Cirrus WL"/>
    <s v="CX"/>
    <s v="Junior v roce 2026"/>
    <m/>
  </r>
  <r>
    <x v="715"/>
    <x v="51"/>
    <x v="0"/>
    <x v="61"/>
    <x v="1"/>
    <s v="Toužim Cup 2025 - Klub"/>
    <s v="CZ"/>
    <n v="2025"/>
    <n v="17"/>
    <n v="1206"/>
    <n v="0.88"/>
    <n v="5032"/>
    <n v="4428"/>
    <x v="1"/>
    <x v="0"/>
    <s v="ASW-15B"/>
    <s v="2P"/>
    <s v="Junior v roce 2026"/>
    <m/>
  </r>
  <r>
    <x v="725"/>
    <x v="6"/>
    <x v="0"/>
    <x v="2"/>
    <x v="0"/>
    <s v="Toužim Cup 2025 - Klub"/>
    <s v="CZ"/>
    <n v="2025"/>
    <n v="18"/>
    <n v="1054"/>
    <n v="0.88"/>
    <n v="4414"/>
    <n v="3884"/>
    <x v="1"/>
    <x v="0"/>
    <s v="LS-1c"/>
    <s v="CI"/>
    <s v=""/>
    <m/>
  </r>
  <r>
    <x v="206"/>
    <x v="33"/>
    <x v="0"/>
    <x v="0"/>
    <x v="0"/>
    <s v="Toužim Cup 2025 - Klub"/>
    <s v="CZ"/>
    <n v="2025"/>
    <n v="19"/>
    <n v="954"/>
    <n v="0.88"/>
    <n v="3966"/>
    <n v="3490"/>
    <x v="1"/>
    <x v="0"/>
    <s v="G-103 Twin Astir dvojí (zatahovací podvozek)"/>
    <s v="RB"/>
    <s v=""/>
    <m/>
  </r>
  <r>
    <x v="726"/>
    <x v="42"/>
    <x v="0"/>
    <x v="52"/>
    <x v="0"/>
    <s v="Toužim Cup 2025 - Klub"/>
    <s v="CZ"/>
    <n v="2025"/>
    <n v="20"/>
    <n v="728"/>
    <n v="0.88"/>
    <n v="3106"/>
    <n v="2733"/>
    <x v="1"/>
    <x v="0"/>
    <s v="Std. Cirrus"/>
    <n v="4"/>
    <s v=""/>
    <m/>
  </r>
  <r>
    <x v="684"/>
    <x v="19"/>
    <x v="2"/>
    <x v="8"/>
    <x v="2"/>
    <s v="Toužim Cup 2025 - Klub"/>
    <s v="CZ"/>
    <n v="2025"/>
    <n v="21"/>
    <n v="650"/>
    <n v="0.88"/>
    <n v="2730"/>
    <n v="2402"/>
    <x v="1"/>
    <x v="1"/>
    <s v="DG-300 Club ELAN (RG) (zatahovací podvozek)"/>
    <s v="ER"/>
    <s v=""/>
    <m/>
  </r>
  <r>
    <x v="207"/>
    <x v="29"/>
    <x v="0"/>
    <x v="2"/>
    <x v="0"/>
    <s v="Toužim Cup 2025 - Klub"/>
    <s v="CZ"/>
    <n v="2025"/>
    <n v="22"/>
    <n v="635"/>
    <n v="0.88"/>
    <n v="2561"/>
    <n v="2254"/>
    <x v="1"/>
    <x v="0"/>
    <s v="G-104 Speed Astir II b"/>
    <s v="Y3"/>
    <s v=""/>
    <m/>
  </r>
  <r>
    <x v="238"/>
    <x v="15"/>
    <x v="0"/>
    <x v="64"/>
    <x v="0"/>
    <s v="Toužim Cup 2025 - Klub"/>
    <s v="CZ"/>
    <n v="2025"/>
    <n v="23"/>
    <n v="620"/>
    <n v="0.88"/>
    <n v="2392"/>
    <n v="2105"/>
    <x v="0"/>
    <x v="0"/>
    <s v="ASW-15B"/>
    <s v="LF"/>
    <s v=""/>
    <m/>
  </r>
  <r>
    <x v="208"/>
    <x v="37"/>
    <x v="0"/>
    <x v="24"/>
    <x v="1"/>
    <s v="Toužim Cup 2025 - Klub"/>
    <s v="CZ"/>
    <n v="2025"/>
    <n v="24"/>
    <n v="613"/>
    <n v="0.88"/>
    <n v="2249"/>
    <n v="1979"/>
    <x v="0"/>
    <x v="0"/>
    <s v="ASW-19B"/>
    <s v="FR"/>
    <s v=""/>
    <m/>
  </r>
  <r>
    <x v="166"/>
    <x v="48"/>
    <x v="2"/>
    <x v="52"/>
    <x v="0"/>
    <s v="Toužim Cup 2025 - Klub"/>
    <s v="CZ"/>
    <n v="2025"/>
    <n v="25"/>
    <n v="447"/>
    <n v="0.88"/>
    <n v="1585"/>
    <n v="1395"/>
    <x v="1"/>
    <x v="1"/>
    <s v="Discus b"/>
    <s v="IJK"/>
    <s v=""/>
    <m/>
  </r>
  <r>
    <x v="209"/>
    <x v="54"/>
    <x v="0"/>
    <x v="0"/>
    <x v="0"/>
    <s v="Toužim Cup 2025 - Klub"/>
    <s v="CZ"/>
    <n v="2025"/>
    <n v="26"/>
    <n v="23"/>
    <n v="0.88"/>
    <n v="75"/>
    <n v="66"/>
    <x v="1"/>
    <x v="0"/>
    <s v="ASW-19B"/>
    <s v="O2"/>
    <s v=""/>
    <m/>
  </r>
  <r>
    <x v="222"/>
    <x v="19"/>
    <x v="0"/>
    <x v="2"/>
    <x v="0"/>
    <s v="Toužim Cup 2025 - Kombi"/>
    <s v="CZ"/>
    <n v="2025"/>
    <n v="1"/>
    <n v="2240"/>
    <n v="0.92"/>
    <n v="10000"/>
    <n v="9200"/>
    <x v="1"/>
    <x v="0"/>
    <s v="Ventus c /17,6m"/>
    <s v="PC"/>
    <s v=""/>
    <m/>
  </r>
  <r>
    <x v="33"/>
    <x v="6"/>
    <x v="0"/>
    <x v="22"/>
    <x v="0"/>
    <s v="Toužim Cup 2025 - Kombi"/>
    <s v="CZ"/>
    <n v="2025"/>
    <n v="2"/>
    <n v="2225"/>
    <n v="0.92"/>
    <n v="9862"/>
    <n v="9073"/>
    <x v="1"/>
    <x v="0"/>
    <s v="ASG-29E /18m"/>
    <s v="GO"/>
    <s v=""/>
    <m/>
  </r>
  <r>
    <x v="216"/>
    <x v="58"/>
    <x v="0"/>
    <x v="60"/>
    <x v="2"/>
    <s v="Toužim Cup 2025 - Kombi"/>
    <s v="CZ"/>
    <n v="2025"/>
    <n v="3"/>
    <n v="2216"/>
    <n v="0.92"/>
    <n v="9743"/>
    <n v="8964"/>
    <x v="1"/>
    <x v="0"/>
    <s v="Discus 2a /15m"/>
    <s v="GX"/>
    <s v=""/>
    <m/>
  </r>
  <r>
    <x v="214"/>
    <x v="26"/>
    <x v="0"/>
    <x v="2"/>
    <x v="0"/>
    <s v="Toužim Cup 2025 - Kombi"/>
    <s v="CZ"/>
    <n v="2025"/>
    <n v="4"/>
    <n v="2202"/>
    <n v="0.92"/>
    <n v="9609"/>
    <n v="8840"/>
    <x v="1"/>
    <x v="0"/>
    <s v="Ventus c /17,6m"/>
    <s v="CS"/>
    <s v=""/>
    <m/>
  </r>
  <r>
    <x v="230"/>
    <x v="14"/>
    <x v="0"/>
    <x v="2"/>
    <x v="0"/>
    <s v="Toužim Cup 2025 - Kombi"/>
    <s v="CZ"/>
    <n v="2025"/>
    <n v="5"/>
    <n v="2097"/>
    <n v="0.92"/>
    <n v="9189"/>
    <n v="8454"/>
    <x v="1"/>
    <x v="0"/>
    <s v="HpH 304MS SHARK /18m (560 kg)"/>
    <s v="LK"/>
    <s v=""/>
    <m/>
  </r>
  <r>
    <x v="11"/>
    <x v="9"/>
    <x v="0"/>
    <x v="0"/>
    <x v="0"/>
    <s v="Toužim Cup 2025 - Kombi"/>
    <s v="CZ"/>
    <n v="2025"/>
    <n v="6"/>
    <n v="2092"/>
    <n v="0.92"/>
    <n v="9083"/>
    <n v="8356"/>
    <x v="1"/>
    <x v="0"/>
    <s v="Ventus c /17,6m"/>
    <s v="CL"/>
    <s v=""/>
    <m/>
  </r>
  <r>
    <x v="2"/>
    <x v="2"/>
    <x v="0"/>
    <x v="2"/>
    <x v="0"/>
    <s v="Toužim Cup 2025 - Kombi"/>
    <s v="CZ"/>
    <n v="2025"/>
    <n v="7"/>
    <n v="2037"/>
    <n v="0.92"/>
    <n v="8820"/>
    <n v="8114"/>
    <x v="0"/>
    <x v="0"/>
    <s v="Nimbus 4DM"/>
    <s v="MM"/>
    <s v=""/>
    <m/>
  </r>
  <r>
    <x v="236"/>
    <x v="1"/>
    <x v="0"/>
    <x v="24"/>
    <x v="1"/>
    <s v="Toužim Cup 2025 - Kombi"/>
    <s v="CZ"/>
    <n v="2025"/>
    <n v="8"/>
    <n v="2034"/>
    <n v="0.92"/>
    <n v="8720"/>
    <n v="8022"/>
    <x v="1"/>
    <x v="0"/>
    <s v="Ventus c /17,6m"/>
    <s v="XE"/>
    <s v=""/>
    <m/>
  </r>
  <r>
    <x v="205"/>
    <x v="43"/>
    <x v="0"/>
    <x v="17"/>
    <x v="0"/>
    <s v="Toužim Cup 2025 - Kombi"/>
    <s v="CZ"/>
    <n v="2025"/>
    <n v="9"/>
    <n v="1997"/>
    <n v="0.92"/>
    <n v="8513"/>
    <n v="7832"/>
    <x v="1"/>
    <x v="0"/>
    <s v="Nimbus 2M WL"/>
    <s v="NB"/>
    <s v=""/>
    <m/>
  </r>
  <r>
    <x v="42"/>
    <x v="19"/>
    <x v="2"/>
    <x v="24"/>
    <x v="1"/>
    <s v="Toužim Cup 2025 - Kombi"/>
    <s v="CZ"/>
    <n v="2025"/>
    <n v="10"/>
    <n v="1961"/>
    <n v="0.92"/>
    <n v="8310"/>
    <n v="7645"/>
    <x v="0"/>
    <x v="0"/>
    <s v="JS3-18m"/>
    <s v="XM"/>
    <s v=""/>
    <m/>
  </r>
  <r>
    <x v="218"/>
    <x v="31"/>
    <x v="0"/>
    <x v="52"/>
    <x v="0"/>
    <s v="Toužim Cup 2025 - Kombi"/>
    <s v="CZ"/>
    <n v="2025"/>
    <n v="11"/>
    <n v="1920"/>
    <n v="0.92"/>
    <n v="8091"/>
    <n v="7444"/>
    <x v="1"/>
    <x v="0"/>
    <s v="DG-400 17m"/>
    <s v="FF"/>
    <s v=""/>
    <m/>
  </r>
  <r>
    <x v="219"/>
    <x v="6"/>
    <x v="0"/>
    <x v="61"/>
    <x v="1"/>
    <s v="Toužim Cup 2025 - Kombi"/>
    <s v="CZ"/>
    <n v="2025"/>
    <n v="12"/>
    <n v="1916"/>
    <n v="0.92"/>
    <n v="7988"/>
    <n v="7349"/>
    <x v="1"/>
    <x v="0"/>
    <s v="Nimbus 4DM"/>
    <n v="7"/>
    <s v=""/>
    <m/>
  </r>
  <r>
    <x v="729"/>
    <x v="4"/>
    <x v="1"/>
    <x v="221"/>
    <x v="3"/>
    <s v="Toužim Cup 2025 - Kombi"/>
    <s v="CZ"/>
    <n v="2025"/>
    <n v="13"/>
    <n v="1849"/>
    <n v="0.92"/>
    <n v="7687"/>
    <n v="7072"/>
    <x v="0"/>
    <x v="0"/>
    <s v="Duo Discus (700 kg)"/>
    <s v="K2"/>
    <s v="Není v databázi"/>
    <m/>
  </r>
  <r>
    <x v="220"/>
    <x v="23"/>
    <x v="0"/>
    <x v="17"/>
    <x v="0"/>
    <s v="Toužim Cup 2025 - Kombi"/>
    <s v="CZ"/>
    <n v="2025"/>
    <n v="14"/>
    <n v="1835"/>
    <n v="0.92"/>
    <n v="7553"/>
    <n v="6949"/>
    <x v="1"/>
    <x v="0"/>
    <s v="JS3-18m"/>
    <s v="BS"/>
    <s v=""/>
    <m/>
  </r>
  <r>
    <x v="227"/>
    <x v="31"/>
    <x v="0"/>
    <x v="8"/>
    <x v="2"/>
    <s v="Toužim Cup 2025 - Kombi"/>
    <s v="CZ"/>
    <n v="2025"/>
    <n v="15"/>
    <n v="1828"/>
    <n v="0.92"/>
    <n v="7440"/>
    <n v="6845"/>
    <x v="1"/>
    <x v="0"/>
    <s v="Ventus c /17,6m"/>
    <s v="PD"/>
    <s v=""/>
    <m/>
  </r>
  <r>
    <x v="221"/>
    <x v="13"/>
    <x v="0"/>
    <x v="62"/>
    <x v="1"/>
    <s v="Toužim Cup 2025 - Kombi"/>
    <s v="CZ"/>
    <n v="2025"/>
    <n v="16"/>
    <n v="1824"/>
    <n v="0.92"/>
    <n v="7336"/>
    <n v="6749"/>
    <x v="1"/>
    <x v="0"/>
    <s v="Ventus bt /16,6m"/>
    <s v="SK"/>
    <s v=""/>
    <m/>
  </r>
  <r>
    <x v="43"/>
    <x v="8"/>
    <x v="0"/>
    <x v="25"/>
    <x v="1"/>
    <s v="Toužim Cup 2025 - Kombi"/>
    <s v="CZ"/>
    <n v="2025"/>
    <n v="17"/>
    <n v="1778"/>
    <n v="0.92"/>
    <n v="7102"/>
    <n v="6534"/>
    <x v="0"/>
    <x v="0"/>
    <s v="ASG-29E /18m"/>
    <s v="XZ"/>
    <s v=""/>
    <m/>
  </r>
  <r>
    <x v="200"/>
    <x v="19"/>
    <x v="0"/>
    <x v="8"/>
    <x v="2"/>
    <s v="Toužim Cup 2025 - Kombi"/>
    <s v="CZ"/>
    <n v="2025"/>
    <n v="18"/>
    <n v="1769"/>
    <n v="0.92"/>
    <n v="6983"/>
    <n v="6424"/>
    <x v="1"/>
    <x v="0"/>
    <s v="Duo Discus X"/>
    <s v="MD"/>
    <s v=""/>
    <m/>
  </r>
  <r>
    <x v="203"/>
    <x v="29"/>
    <x v="0"/>
    <x v="17"/>
    <x v="0"/>
    <s v="Toužim Cup 2025 - Kombi"/>
    <s v="CZ"/>
    <n v="2025"/>
    <n v="19"/>
    <n v="1716"/>
    <n v="0.92"/>
    <n v="6726"/>
    <n v="6188"/>
    <x v="1"/>
    <x v="0"/>
    <s v="DG-400 17m"/>
    <s v="DM"/>
    <s v=""/>
    <m/>
  </r>
  <r>
    <x v="34"/>
    <x v="22"/>
    <x v="0"/>
    <x v="8"/>
    <x v="2"/>
    <s v="Toužim Cup 2025 - Kombi"/>
    <s v="CZ"/>
    <n v="2025"/>
    <n v="20"/>
    <n v="1436"/>
    <n v="0.92"/>
    <n v="5760"/>
    <n v="5299"/>
    <x v="1"/>
    <x v="0"/>
    <s v="ASG-32 -850 kg"/>
    <s v="DX"/>
    <s v=""/>
    <m/>
  </r>
  <r>
    <x v="659"/>
    <x v="27"/>
    <x v="0"/>
    <x v="64"/>
    <x v="0"/>
    <s v="Toužim Cup 2025 - Kombi"/>
    <s v="CZ"/>
    <n v="2025"/>
    <n v="21"/>
    <n v="1387"/>
    <n v="0.92"/>
    <n v="5516"/>
    <n v="5075"/>
    <x v="0"/>
    <x v="0"/>
    <s v="JS3-18m"/>
    <s v="NS"/>
    <s v=""/>
    <m/>
  </r>
  <r>
    <x v="114"/>
    <x v="25"/>
    <x v="2"/>
    <x v="36"/>
    <x v="2"/>
    <s v="Toužim Cup 2025 - Kombi"/>
    <s v="CZ"/>
    <n v="2025"/>
    <n v="22"/>
    <n v="1294"/>
    <n v="0.92"/>
    <n v="5135"/>
    <n v="4724"/>
    <x v="1"/>
    <x v="1"/>
    <s v="LS-6c /18m WL"/>
    <s v="MMI"/>
    <s v=""/>
    <m/>
  </r>
  <r>
    <x v="224"/>
    <x v="25"/>
    <x v="0"/>
    <x v="17"/>
    <x v="0"/>
    <s v="Toužim Cup 2025 - Kombi"/>
    <s v="CZ"/>
    <n v="2025"/>
    <n v="23"/>
    <n v="1240"/>
    <n v="0.92"/>
    <n v="4875"/>
    <n v="4485"/>
    <x v="1"/>
    <x v="0"/>
    <s v="LS-8-18 /18m"/>
    <n v="301"/>
    <s v=""/>
    <m/>
  </r>
  <r>
    <x v="204"/>
    <x v="24"/>
    <x v="0"/>
    <x v="17"/>
    <x v="0"/>
    <s v="Toužim Cup 2025 - Kombi"/>
    <s v="CZ"/>
    <n v="2025"/>
    <n v="24"/>
    <n v="1197"/>
    <n v="0.92"/>
    <n v="4650"/>
    <n v="4278"/>
    <x v="1"/>
    <x v="0"/>
    <s v="Nimbus 2c WL"/>
    <s v="MK"/>
    <s v=""/>
    <m/>
  </r>
  <r>
    <x v="232"/>
    <x v="27"/>
    <x v="0"/>
    <x v="2"/>
    <x v="0"/>
    <s v="Toužim Cup 2025 - Kombi"/>
    <s v="CZ"/>
    <n v="2025"/>
    <n v="25"/>
    <n v="851"/>
    <n v="0.92"/>
    <n v="3478"/>
    <n v="3200"/>
    <x v="1"/>
    <x v="0"/>
    <s v="DG-400 17m"/>
    <s v="TK"/>
    <s v=""/>
    <m/>
  </r>
  <r>
    <x v="1059"/>
    <x v="58"/>
    <x v="0"/>
    <x v="17"/>
    <x v="0"/>
    <s v="Toužim Cup 2025 - Kombi"/>
    <s v="CZ"/>
    <n v="2025"/>
    <n v="26"/>
    <n v="765"/>
    <n v="0.92"/>
    <n v="3118"/>
    <n v="2869"/>
    <x v="1"/>
    <x v="0"/>
    <s v="Nimbus 2 WL"/>
    <s v="LCN"/>
    <s v=""/>
    <m/>
  </r>
  <r>
    <x v="58"/>
    <x v="21"/>
    <x v="0"/>
    <x v="0"/>
    <x v="0"/>
    <s v="Toužim Cup 2025 - Kombi"/>
    <s v="CZ"/>
    <n v="2025"/>
    <n v="27"/>
    <n v="547"/>
    <n v="0.92"/>
    <n v="2346"/>
    <n v="2158"/>
    <x v="0"/>
    <x v="0"/>
    <s v="EB-29R"/>
    <s v="EX"/>
    <s v=""/>
    <m/>
  </r>
  <r>
    <x v="217"/>
    <x v="47"/>
    <x v="0"/>
    <x v="38"/>
    <x v="1"/>
    <s v="Toužim Cup 2025 - Kombi"/>
    <s v="CZ"/>
    <n v="2025"/>
    <n v="28"/>
    <n v="429"/>
    <n v="0.92"/>
    <n v="1886"/>
    <n v="1735"/>
    <x v="0"/>
    <x v="0"/>
    <s v="HpH 304 TS Twin Shark MS (850 kg)"/>
    <s v="LP"/>
    <s v=""/>
    <m/>
  </r>
  <r>
    <x v="223"/>
    <x v="32"/>
    <x v="0"/>
    <x v="17"/>
    <x v="0"/>
    <s v="Toužim Cup 2025 - Kombi"/>
    <s v="CZ"/>
    <n v="2025"/>
    <n v="29"/>
    <n v="420"/>
    <n v="0.92"/>
    <n v="1767"/>
    <n v="1626"/>
    <x v="1"/>
    <x v="0"/>
    <s v="Duo Discus T (700kg)"/>
    <s v="ZS"/>
    <s v=""/>
    <m/>
  </r>
  <r>
    <x v="74"/>
    <x v="36"/>
    <x v="0"/>
    <x v="18"/>
    <x v="2"/>
    <s v="Toužim Cup 2025 - Kombi"/>
    <s v="CZ"/>
    <n v="2025"/>
    <n v="30"/>
    <n v="393"/>
    <n v="0.92"/>
    <n v="1592"/>
    <n v="1465"/>
    <x v="0"/>
    <x v="0"/>
    <s v="ASG-29E /18m"/>
    <s v="ŠNeK"/>
    <s v=""/>
    <m/>
  </r>
  <r>
    <x v="76"/>
    <x v="40"/>
    <x v="0"/>
    <x v="30"/>
    <x v="2"/>
    <s v="Toužim Cup 2025 - Kombi"/>
    <s v="CZ"/>
    <n v="2025"/>
    <n v="31"/>
    <n v="281"/>
    <n v="0.92"/>
    <n v="1151"/>
    <n v="1059"/>
    <x v="0"/>
    <x v="0"/>
    <s v="LAK 17 AT 18m"/>
    <s v="GL"/>
    <s v=""/>
    <m/>
  </r>
  <r>
    <x v="44"/>
    <x v="29"/>
    <x v="0"/>
    <x v="10"/>
    <x v="0"/>
    <s v="Toužim Cup 2025 - Kombi"/>
    <s v="CZ"/>
    <n v="2025"/>
    <n v="32"/>
    <n v="224"/>
    <n v="0.92"/>
    <n v="882"/>
    <n v="811"/>
    <x v="0"/>
    <x v="0"/>
    <s v="HpH 304MS SHARK"/>
    <s v="DJ"/>
    <s v=""/>
    <m/>
  </r>
  <r>
    <x v="267"/>
    <x v="2"/>
    <x v="0"/>
    <x v="23"/>
    <x v="0"/>
    <s v="Toužim Cup 2025 - Kombi"/>
    <s v="CZ"/>
    <n v="2025"/>
    <n v="33"/>
    <n v="105"/>
    <n v="0.92"/>
    <n v="419"/>
    <n v="385"/>
    <x v="1"/>
    <x v="0"/>
    <s v="LS-6c /18m WL"/>
    <s v="F5"/>
    <s v=""/>
    <m/>
  </r>
  <r>
    <x v="228"/>
    <x v="25"/>
    <x v="0"/>
    <x v="21"/>
    <x v="0"/>
    <s v="Toužim Cup 2025 - Kombi"/>
    <s v="CZ"/>
    <n v="2025"/>
    <n v="34"/>
    <n v="93"/>
    <n v="0.92"/>
    <n v="291"/>
    <n v="268"/>
    <x v="0"/>
    <x v="0"/>
    <s v="Ventus c /17,6m"/>
    <s v="PUP"/>
    <s v=""/>
    <m/>
  </r>
  <r>
    <x v="67"/>
    <x v="6"/>
    <x v="0"/>
    <x v="18"/>
    <x v="2"/>
    <s v="Toužim Cup 2025 - Kombi"/>
    <s v="CZ"/>
    <n v="2025"/>
    <n v="34"/>
    <n v="93"/>
    <n v="0.92"/>
    <n v="291"/>
    <n v="268"/>
    <x v="0"/>
    <x v="0"/>
    <s v="HpH 304 TS Twin Shark S 850kg"/>
    <s v="FNC"/>
    <s v=""/>
    <m/>
  </r>
  <r>
    <x v="100"/>
    <x v="44"/>
    <x v="0"/>
    <x v="30"/>
    <x v="2"/>
    <s v="PPV 2025 - Klub"/>
    <s v="CZ"/>
    <n v="2025"/>
    <n v="1"/>
    <n v="3503"/>
    <n v="0.9"/>
    <n v="10000"/>
    <n v="9000"/>
    <x v="1"/>
    <x v="0"/>
    <s v="ASW 19 B"/>
    <n v="34"/>
    <s v="Junior v roce 2026"/>
    <m/>
  </r>
  <r>
    <x v="152"/>
    <x v="34"/>
    <x v="0"/>
    <x v="14"/>
    <x v="0"/>
    <s v="PPV 2025 - Klub"/>
    <s v="CZ"/>
    <n v="2025"/>
    <n v="2"/>
    <n v="3440"/>
    <n v="0.9"/>
    <n v="9774"/>
    <n v="8797"/>
    <x v="1"/>
    <x v="0"/>
    <s v="Discus b WL"/>
    <s v="LD"/>
    <s v="Junior v roce 2026"/>
    <m/>
  </r>
  <r>
    <x v="255"/>
    <x v="45"/>
    <x v="0"/>
    <x v="19"/>
    <x v="1"/>
    <s v="PPV 2025 - Klub"/>
    <s v="CZ"/>
    <n v="2025"/>
    <n v="3"/>
    <n v="3406"/>
    <n v="0.9"/>
    <n v="9606"/>
    <n v="8645"/>
    <x v="1"/>
    <x v="0"/>
    <s v="Std. Cirrus"/>
    <s v="MS"/>
    <s v=""/>
    <m/>
  </r>
  <r>
    <x v="251"/>
    <x v="43"/>
    <x v="0"/>
    <x v="23"/>
    <x v="0"/>
    <s v="PPV 2025 - Klub"/>
    <s v="CZ"/>
    <n v="2025"/>
    <n v="4"/>
    <n v="3391"/>
    <n v="0.9"/>
    <n v="9476"/>
    <n v="8528"/>
    <x v="1"/>
    <x v="0"/>
    <s v="Mosquito"/>
    <s v="LC"/>
    <s v=""/>
    <m/>
  </r>
  <r>
    <x v="672"/>
    <x v="4"/>
    <x v="1"/>
    <x v="207"/>
    <x v="3"/>
    <s v="PPV 2025 - Klub"/>
    <s v="CZ"/>
    <n v="2025"/>
    <n v="5"/>
    <n v="3351"/>
    <n v="0.9"/>
    <n v="9296"/>
    <n v="8366"/>
    <x v="0"/>
    <x v="0"/>
    <s v="ASW 24"/>
    <n v="69"/>
    <s v="Není v databázi"/>
    <m/>
  </r>
  <r>
    <x v="673"/>
    <x v="4"/>
    <x v="1"/>
    <x v="207"/>
    <x v="3"/>
    <s v="PPV 2025 - Klub"/>
    <s v="CZ"/>
    <n v="2025"/>
    <n v="6"/>
    <n v="3288"/>
    <n v="0.9"/>
    <n v="9070"/>
    <n v="8163"/>
    <x v="0"/>
    <x v="0"/>
    <s v="Glasflugel 304"/>
    <s v="IMW"/>
    <s v="Není v databázi"/>
    <m/>
  </r>
  <r>
    <x v="252"/>
    <x v="27"/>
    <x v="0"/>
    <x v="13"/>
    <x v="1"/>
    <s v="PPV 2025 - Klub"/>
    <s v="CZ"/>
    <n v="2025"/>
    <n v="7"/>
    <n v="3284"/>
    <n v="0.9"/>
    <n v="8962"/>
    <n v="8066"/>
    <x v="1"/>
    <x v="0"/>
    <s v="Std. Cirrus"/>
    <s v="IF"/>
    <s v=""/>
    <m/>
  </r>
  <r>
    <x v="253"/>
    <x v="24"/>
    <x v="0"/>
    <x v="23"/>
    <x v="0"/>
    <s v="PPV 2025 - Klub"/>
    <s v="CZ"/>
    <n v="2025"/>
    <n v="8"/>
    <n v="3206"/>
    <n v="0.9"/>
    <n v="8707"/>
    <n v="7836"/>
    <x v="1"/>
    <x v="0"/>
    <s v="ASW 15 B"/>
    <s v="BA4"/>
    <s v=""/>
    <m/>
  </r>
  <r>
    <x v="244"/>
    <x v="35"/>
    <x v="0"/>
    <x v="25"/>
    <x v="1"/>
    <s v="PPV 2025 - Klub"/>
    <s v="CZ"/>
    <n v="2025"/>
    <n v="9"/>
    <n v="3165"/>
    <n v="0.9"/>
    <n v="8525"/>
    <n v="7673"/>
    <x v="1"/>
    <x v="0"/>
    <s v="Std. Cirrus"/>
    <s v="AR"/>
    <s v=""/>
    <m/>
  </r>
  <r>
    <x v="89"/>
    <x v="5"/>
    <x v="0"/>
    <x v="28"/>
    <x v="2"/>
    <s v="PPV 2025 - Klub"/>
    <s v="CZ"/>
    <n v="2025"/>
    <n v="10"/>
    <n v="3102"/>
    <n v="0.9"/>
    <n v="8299"/>
    <n v="7469"/>
    <x v="1"/>
    <x v="0"/>
    <s v="LS 3a"/>
    <s v="S20"/>
    <s v=""/>
    <m/>
  </r>
  <r>
    <x v="86"/>
    <x v="27"/>
    <x v="0"/>
    <x v="23"/>
    <x v="0"/>
    <s v="PPV 2025 - Klub"/>
    <s v="CZ"/>
    <n v="2025"/>
    <n v="11"/>
    <n v="2959"/>
    <n v="0.9"/>
    <n v="7913"/>
    <n v="7122"/>
    <x v="1"/>
    <x v="0"/>
    <s v="ASW 15 B"/>
    <s v="JJ"/>
    <s v=""/>
    <m/>
  </r>
  <r>
    <x v="133"/>
    <x v="24"/>
    <x v="0"/>
    <x v="39"/>
    <x v="0"/>
    <s v="PPV 2025 - Klub"/>
    <s v="CZ"/>
    <n v="2025"/>
    <n v="12"/>
    <n v="2893"/>
    <n v="0.9"/>
    <n v="7681"/>
    <n v="6913"/>
    <x v="1"/>
    <x v="0"/>
    <s v="DG 100"/>
    <n v="78"/>
    <s v=""/>
    <m/>
  </r>
  <r>
    <x v="131"/>
    <x v="16"/>
    <x v="0"/>
    <x v="39"/>
    <x v="0"/>
    <s v="PPV 2025 - Klub"/>
    <s v="CZ"/>
    <n v="2025"/>
    <n v="13"/>
    <n v="2738"/>
    <n v="0.9"/>
    <n v="7271"/>
    <n v="6544"/>
    <x v="1"/>
    <x v="0"/>
    <s v="ASW 15 B"/>
    <s v="HH"/>
    <s v=""/>
    <m/>
  </r>
  <r>
    <x v="238"/>
    <x v="15"/>
    <x v="0"/>
    <x v="64"/>
    <x v="0"/>
    <s v="PPV 2025 - Klub"/>
    <s v="CZ"/>
    <n v="2025"/>
    <n v="14"/>
    <n v="2625"/>
    <n v="0.9"/>
    <n v="6946"/>
    <n v="6251"/>
    <x v="0"/>
    <x v="0"/>
    <s v="ASW 15 B"/>
    <s v="LF"/>
    <s v=""/>
    <m/>
  </r>
  <r>
    <x v="77"/>
    <x v="41"/>
    <x v="0"/>
    <x v="30"/>
    <x v="2"/>
    <s v="PPV 2025 - Klub"/>
    <s v="CZ"/>
    <n v="2025"/>
    <n v="15"/>
    <n v="2495"/>
    <n v="0.9"/>
    <n v="6586"/>
    <n v="5927"/>
    <x v="0"/>
    <x v="0"/>
    <s v="Discus bM WL"/>
    <s v="OL"/>
    <s v=""/>
    <m/>
  </r>
  <r>
    <x v="693"/>
    <x v="31"/>
    <x v="0"/>
    <x v="216"/>
    <x v="1"/>
    <s v="PPV 2025 - Klub"/>
    <s v="CZ"/>
    <n v="2025"/>
    <n v="16"/>
    <n v="2440"/>
    <n v="0.9"/>
    <n v="6376"/>
    <n v="5738"/>
    <x v="1"/>
    <x v="0"/>
    <s v="Std. Cirrus"/>
    <s v="A"/>
    <s v=""/>
    <m/>
  </r>
  <r>
    <x v="254"/>
    <x v="2"/>
    <x v="0"/>
    <x v="66"/>
    <x v="1"/>
    <s v="PPV 2025 - Klub"/>
    <s v="CZ"/>
    <n v="2025"/>
    <n v="17"/>
    <n v="2255"/>
    <n v="0.9"/>
    <n v="5906"/>
    <n v="5315"/>
    <x v="1"/>
    <x v="0"/>
    <s v="VSO-10"/>
    <n v="6"/>
    <s v=""/>
    <m/>
  </r>
  <r>
    <x v="134"/>
    <x v="21"/>
    <x v="0"/>
    <x v="39"/>
    <x v="0"/>
    <s v="PPV 2025 - Klub"/>
    <s v="CZ"/>
    <n v="2025"/>
    <n v="18"/>
    <n v="2198"/>
    <n v="0.9"/>
    <n v="5692"/>
    <n v="5123"/>
    <x v="1"/>
    <x v="0"/>
    <s v="DG 200"/>
    <s v="EK"/>
    <s v=""/>
    <m/>
  </r>
  <r>
    <x v="261"/>
    <x v="0"/>
    <x v="0"/>
    <x v="23"/>
    <x v="0"/>
    <s v="PPV 2025 - Klub"/>
    <s v="CZ"/>
    <n v="2025"/>
    <n v="19"/>
    <n v="2161"/>
    <n v="0.9"/>
    <n v="5518"/>
    <n v="4966"/>
    <x v="1"/>
    <x v="0"/>
    <s v="Discus b"/>
    <s v="LH"/>
    <s v=""/>
    <m/>
  </r>
  <r>
    <x v="675"/>
    <x v="1"/>
    <x v="0"/>
    <x v="64"/>
    <x v="0"/>
    <s v="PPV 2025 - Klub"/>
    <s v="CZ"/>
    <n v="2025"/>
    <n v="20"/>
    <n v="2143"/>
    <n v="0.9"/>
    <n v="5382"/>
    <n v="4844"/>
    <x v="1"/>
    <x v="0"/>
    <s v="Std. Cirrus"/>
    <s v="IMI"/>
    <s v=""/>
    <m/>
  </r>
  <r>
    <x v="135"/>
    <x v="9"/>
    <x v="0"/>
    <x v="39"/>
    <x v="0"/>
    <s v="PPV 2025 - Klub"/>
    <s v="CZ"/>
    <n v="2025"/>
    <n v="21"/>
    <n v="2095"/>
    <n v="0.9"/>
    <n v="5186"/>
    <n v="4667"/>
    <x v="1"/>
    <x v="0"/>
    <s v="ASW 19"/>
    <s v="BO"/>
    <s v=""/>
    <m/>
  </r>
  <r>
    <x v="127"/>
    <x v="36"/>
    <x v="0"/>
    <x v="39"/>
    <x v="0"/>
    <s v="PPV 2025 - Klub"/>
    <s v="CZ"/>
    <n v="2025"/>
    <n v="22"/>
    <n v="1959"/>
    <n v="0.9"/>
    <n v="4815"/>
    <n v="4334"/>
    <x v="1"/>
    <x v="0"/>
    <s v="VSO-10"/>
    <n v="9"/>
    <s v=""/>
    <m/>
  </r>
  <r>
    <x v="258"/>
    <x v="0"/>
    <x v="0"/>
    <x v="60"/>
    <x v="2"/>
    <s v="PPV 2025 - Klub"/>
    <s v="CZ"/>
    <n v="2025"/>
    <n v="23"/>
    <n v="1906"/>
    <n v="0.9"/>
    <n v="4609"/>
    <n v="4148"/>
    <x v="1"/>
    <x v="0"/>
    <s v="DG 100"/>
    <s v="M"/>
    <s v=""/>
    <m/>
  </r>
  <r>
    <x v="1060"/>
    <x v="58"/>
    <x v="0"/>
    <x v="39"/>
    <x v="0"/>
    <s v="PPV 2025 - Klub"/>
    <s v="CZ"/>
    <n v="2025"/>
    <n v="24"/>
    <n v="1691"/>
    <n v="0.9"/>
    <n v="4079"/>
    <n v="3671"/>
    <x v="1"/>
    <x v="0"/>
    <s v="Std. Cirrus"/>
    <n v="77"/>
    <s v=""/>
    <m/>
  </r>
  <r>
    <x v="1061"/>
    <x v="61"/>
    <x v="0"/>
    <x v="6"/>
    <x v="2"/>
    <s v="PPV 2025 - Klub"/>
    <s v="CZ"/>
    <n v="2025"/>
    <n v="25"/>
    <n v="1684"/>
    <n v="0.9"/>
    <n v="3965"/>
    <n v="3569"/>
    <x v="1"/>
    <x v="0"/>
    <s v="DG 200"/>
    <s v="AK"/>
    <s v=""/>
    <m/>
  </r>
  <r>
    <x v="268"/>
    <x v="24"/>
    <x v="0"/>
    <x v="23"/>
    <x v="0"/>
    <s v="PPV 2025 - Klub"/>
    <s v="CZ"/>
    <n v="2025"/>
    <n v="26"/>
    <n v="1581"/>
    <n v="0.9"/>
    <n v="3659"/>
    <n v="3293"/>
    <x v="1"/>
    <x v="0"/>
    <s v="Std. Cirrus WL"/>
    <s v="JE"/>
    <s v=""/>
    <m/>
  </r>
  <r>
    <x v="262"/>
    <x v="6"/>
    <x v="0"/>
    <x v="23"/>
    <x v="0"/>
    <s v="PPV 2025 - Klub"/>
    <s v="CZ"/>
    <n v="2025"/>
    <n v="27"/>
    <n v="1475"/>
    <n v="0.9"/>
    <n v="3347"/>
    <n v="3012"/>
    <x v="1"/>
    <x v="0"/>
    <s v="ASW 20"/>
    <s v="TA"/>
    <s v=""/>
    <m/>
  </r>
  <r>
    <x v="265"/>
    <x v="27"/>
    <x v="0"/>
    <x v="23"/>
    <x v="0"/>
    <s v="PPV 2025 - Klub"/>
    <s v="CZ"/>
    <n v="2025"/>
    <n v="28"/>
    <n v="1208"/>
    <n v="0.9"/>
    <n v="2714"/>
    <n v="2443"/>
    <x v="1"/>
    <x v="0"/>
    <s v="Alpin T"/>
    <s v="AI"/>
    <s v=""/>
    <m/>
  </r>
  <r>
    <x v="1062"/>
    <x v="37"/>
    <x v="0"/>
    <x v="66"/>
    <x v="1"/>
    <s v="PPV 2025 - Klub"/>
    <s v="CZ"/>
    <n v="2025"/>
    <n v="29"/>
    <n v="1078"/>
    <n v="0.9"/>
    <n v="2354"/>
    <n v="2119"/>
    <x v="1"/>
    <x v="0"/>
    <s v="Std. Cirrus"/>
    <s v="2X"/>
    <s v=""/>
    <m/>
  </r>
  <r>
    <x v="271"/>
    <x v="39"/>
    <x v="0"/>
    <x v="19"/>
    <x v="1"/>
    <s v="PPV 2025 - Klub"/>
    <s v="CZ"/>
    <n v="2025"/>
    <n v="30"/>
    <n v="1033"/>
    <n v="0.9"/>
    <n v="2164"/>
    <n v="1948"/>
    <x v="1"/>
    <x v="0"/>
    <s v="VT-16 Orlic 2"/>
    <s v="LI"/>
    <s v=""/>
    <m/>
  </r>
  <r>
    <x v="1063"/>
    <x v="21"/>
    <x v="0"/>
    <x v="1"/>
    <x v="1"/>
    <s v="PPV 2025 - Klub"/>
    <s v="CZ"/>
    <n v="2025"/>
    <n v="31"/>
    <n v="209"/>
    <n v="0.9"/>
    <n v="418"/>
    <n v="376"/>
    <x v="1"/>
    <x v="0"/>
    <s v="Std. Cirrus"/>
    <s v="W"/>
    <s v=""/>
    <m/>
  </r>
  <r>
    <x v="41"/>
    <x v="28"/>
    <x v="0"/>
    <x v="23"/>
    <x v="0"/>
    <s v="PPV 2025 - Kombi"/>
    <s v="CZ"/>
    <n v="2025"/>
    <n v="1"/>
    <n v="3849"/>
    <n v="0.91500000000000004"/>
    <n v="10000"/>
    <n v="9150"/>
    <x v="1"/>
    <x v="0"/>
    <s v="AS 33 Es 18m"/>
    <s v="CAT"/>
    <s v=""/>
    <m/>
  </r>
  <r>
    <x v="35"/>
    <x v="23"/>
    <x v="0"/>
    <x v="15"/>
    <x v="1"/>
    <s v="PPV 2025 - Kombi"/>
    <s v="CZ"/>
    <n v="2025"/>
    <n v="2"/>
    <n v="3613"/>
    <n v="0.91500000000000004"/>
    <n v="9460"/>
    <n v="8656"/>
    <x v="1"/>
    <x v="0"/>
    <s v="ASG 29 E 18m"/>
    <s v="QX"/>
    <s v=""/>
    <m/>
  </r>
  <r>
    <x v="247"/>
    <x v="24"/>
    <x v="0"/>
    <x v="65"/>
    <x v="2"/>
    <s v="PPV 2025 - Kombi"/>
    <s v="CZ"/>
    <n v="2025"/>
    <n v="3"/>
    <n v="3491"/>
    <n v="0.91500000000000004"/>
    <n v="9127"/>
    <n v="8351"/>
    <x v="0"/>
    <x v="0"/>
    <s v="Ventus c 17.6m"/>
    <s v="AD"/>
    <s v=""/>
    <m/>
  </r>
  <r>
    <x v="228"/>
    <x v="25"/>
    <x v="0"/>
    <x v="21"/>
    <x v="0"/>
    <s v="PPV 2025 - Kombi"/>
    <s v="CZ"/>
    <n v="2025"/>
    <n v="4"/>
    <n v="3258"/>
    <n v="0.91500000000000004"/>
    <n v="8592"/>
    <n v="7862"/>
    <x v="1"/>
    <x v="0"/>
    <s v="Ventus c 17.6m"/>
    <s v="PUP"/>
    <s v=""/>
    <m/>
  </r>
  <r>
    <x v="277"/>
    <x v="29"/>
    <x v="0"/>
    <x v="28"/>
    <x v="2"/>
    <s v="PPV 2025 - Kombi"/>
    <s v="CZ"/>
    <n v="2025"/>
    <n v="5"/>
    <n v="3211"/>
    <n v="0.91500000000000004"/>
    <n v="8395"/>
    <n v="7681"/>
    <x v="1"/>
    <x v="0"/>
    <s v="DG 808C Classic 18m"/>
    <s v="W"/>
    <s v=""/>
    <m/>
  </r>
  <r>
    <x v="112"/>
    <x v="25"/>
    <x v="0"/>
    <x v="10"/>
    <x v="0"/>
    <s v="PPV 2025 - Kombi"/>
    <s v="CZ"/>
    <n v="2025"/>
    <n v="6"/>
    <n v="3181"/>
    <n v="0.91500000000000004"/>
    <n v="8230"/>
    <n v="7530"/>
    <x v="1"/>
    <x v="0"/>
    <s v="Ventus cT 17.6m"/>
    <s v="KR"/>
    <s v=""/>
    <m/>
  </r>
  <r>
    <x v="140"/>
    <x v="27"/>
    <x v="0"/>
    <x v="39"/>
    <x v="0"/>
    <s v="PPV 2025 - Kombi"/>
    <s v="CZ"/>
    <n v="2025"/>
    <n v="7"/>
    <n v="3102"/>
    <n v="0.91500000000000004"/>
    <n v="7975"/>
    <n v="7297"/>
    <x v="1"/>
    <x v="0"/>
    <s v="Ventus b 16.6m"/>
    <s v="7F"/>
    <s v=""/>
    <m/>
  </r>
  <r>
    <x v="66"/>
    <x v="27"/>
    <x v="0"/>
    <x v="27"/>
    <x v="2"/>
    <s v="PPV 2025 - Kombi"/>
    <s v="CZ"/>
    <n v="2025"/>
    <n v="8"/>
    <n v="2995"/>
    <n v="0.91500000000000004"/>
    <n v="7669"/>
    <n v="7017"/>
    <x v="1"/>
    <x v="0"/>
    <s v="Ventus cM 17.6m"/>
    <s v="JK"/>
    <s v=""/>
    <m/>
  </r>
  <r>
    <x v="56"/>
    <x v="35"/>
    <x v="0"/>
    <x v="23"/>
    <x v="0"/>
    <s v="PPV 2025 - Kombi"/>
    <s v="CZ"/>
    <n v="2025"/>
    <n v="9"/>
    <n v="2992"/>
    <n v="0.91500000000000004"/>
    <n v="7553"/>
    <n v="6911"/>
    <x v="1"/>
    <x v="0"/>
    <s v="Ventus c 17.6m"/>
    <s v="UC"/>
    <s v=""/>
    <m/>
  </r>
  <r>
    <x v="276"/>
    <x v="21"/>
    <x v="0"/>
    <x v="1"/>
    <x v="1"/>
    <s v="PPV 2025 - Kombi"/>
    <s v="CZ"/>
    <n v="2025"/>
    <n v="10"/>
    <n v="2983"/>
    <n v="0.91500000000000004"/>
    <n v="7425"/>
    <n v="6794"/>
    <x v="1"/>
    <x v="0"/>
    <s v="Ventus 2cM 18m"/>
    <s v="ES"/>
    <s v=""/>
    <m/>
  </r>
  <r>
    <x v="138"/>
    <x v="37"/>
    <x v="0"/>
    <x v="39"/>
    <x v="0"/>
    <s v="PPV 2025 - Kombi"/>
    <s v="CZ"/>
    <n v="2025"/>
    <n v="11"/>
    <n v="2910"/>
    <n v="0.91500000000000004"/>
    <n v="7181"/>
    <n v="6571"/>
    <x v="0"/>
    <x v="0"/>
    <s v="HpH 304 TS Twin Shark"/>
    <s v="TS"/>
    <s v=""/>
    <m/>
  </r>
  <r>
    <x v="278"/>
    <x v="60"/>
    <x v="0"/>
    <x v="10"/>
    <x v="0"/>
    <s v="PPV 2025 - Kombi"/>
    <s v="CZ"/>
    <n v="2025"/>
    <n v="12"/>
    <n v="2909"/>
    <n v="0.91500000000000004"/>
    <n v="7068"/>
    <n v="6467"/>
    <x v="1"/>
    <x v="0"/>
    <s v="Nimbus 3 22.9m"/>
    <s v="HS"/>
    <s v=""/>
    <m/>
  </r>
  <r>
    <x v="45"/>
    <x v="30"/>
    <x v="0"/>
    <x v="15"/>
    <x v="1"/>
    <s v="PPV 2025 - Kombi"/>
    <s v="CZ"/>
    <n v="2025"/>
    <n v="13"/>
    <n v="2856"/>
    <n v="0.91500000000000004"/>
    <n v="6861"/>
    <n v="6278"/>
    <x v="0"/>
    <x v="0"/>
    <s v="Ventus c 17.6m"/>
    <s v="VV"/>
    <s v=""/>
    <m/>
  </r>
  <r>
    <x v="97"/>
    <x v="43"/>
    <x v="0"/>
    <x v="0"/>
    <x v="0"/>
    <s v="PPV 2025 - Kombi"/>
    <s v="CZ"/>
    <n v="2025"/>
    <n v="14"/>
    <n v="2851"/>
    <n v="0.91500000000000004"/>
    <n v="6741"/>
    <n v="6168"/>
    <x v="1"/>
    <x v="0"/>
    <s v="Ventus c 17.6m"/>
    <s v="LS"/>
    <s v=""/>
    <m/>
  </r>
  <r>
    <x v="678"/>
    <x v="4"/>
    <x v="1"/>
    <x v="279"/>
    <x v="3"/>
    <s v="PPV 2025 - Kombi"/>
    <s v="CZ"/>
    <n v="2025"/>
    <n v="15"/>
    <n v="2844"/>
    <n v="0.91500000000000004"/>
    <n v="6617"/>
    <n v="6055"/>
    <x v="0"/>
    <x v="0"/>
    <s v="ASG 29 E 18m"/>
    <s v="LK"/>
    <s v="Není v databázi"/>
    <m/>
  </r>
  <r>
    <x v="44"/>
    <x v="29"/>
    <x v="0"/>
    <x v="10"/>
    <x v="0"/>
    <s v="PPV 2025 - Kombi"/>
    <s v="CZ"/>
    <n v="2025"/>
    <n v="16"/>
    <n v="2821"/>
    <n v="0.91500000000000004"/>
    <n v="6464"/>
    <n v="5915"/>
    <x v="0"/>
    <x v="0"/>
    <s v="HpH 304 MS Shark"/>
    <s v="DJ"/>
    <s v=""/>
    <m/>
  </r>
  <r>
    <x v="143"/>
    <x v="4"/>
    <x v="1"/>
    <x v="235"/>
    <x v="3"/>
    <s v="PPV 2025 - Kombi"/>
    <s v="CZ"/>
    <n v="2025"/>
    <n v="17"/>
    <n v="2441"/>
    <n v="0.91500000000000004"/>
    <n v="5662"/>
    <n v="5181"/>
    <x v="0"/>
    <x v="0"/>
    <s v="LS 6 17.5m"/>
    <s v="N6"/>
    <s v="Není v databázi"/>
    <m/>
  </r>
  <r>
    <x v="1064"/>
    <x v="4"/>
    <x v="1"/>
    <x v="5"/>
    <x v="3"/>
    <s v="PPV 2025 - Kombi"/>
    <s v="CZ"/>
    <n v="2025"/>
    <n v="18"/>
    <n v="2290"/>
    <n v="0.91500000000000004"/>
    <n v="5276"/>
    <n v="4828"/>
    <x v="0"/>
    <x v="0"/>
    <s v="HpH 304 TS Twin Shark"/>
    <s v="LP"/>
    <s v="Není v databázi"/>
    <m/>
  </r>
  <r>
    <x v="74"/>
    <x v="36"/>
    <x v="0"/>
    <x v="18"/>
    <x v="2"/>
    <s v="PPV 2025 - Kombi"/>
    <s v="CZ"/>
    <n v="2025"/>
    <n v="19"/>
    <n v="2283"/>
    <n v="0.91500000000000004"/>
    <n v="5152"/>
    <n v="4714"/>
    <x v="0"/>
    <x v="0"/>
    <s v="ASG 29 E 18m"/>
    <s v="ŠNeK"/>
    <s v=""/>
    <m/>
  </r>
  <r>
    <x v="39"/>
    <x v="27"/>
    <x v="0"/>
    <x v="0"/>
    <x v="0"/>
    <s v="PPV 2025 - Kombi"/>
    <s v="CZ"/>
    <n v="2025"/>
    <n v="20"/>
    <n v="2094"/>
    <n v="0.91500000000000004"/>
    <n v="4697"/>
    <n v="4298"/>
    <x v="1"/>
    <x v="0"/>
    <s v="HpH 304 SJ Shark"/>
    <n v="66"/>
    <s v=""/>
    <m/>
  </r>
  <r>
    <x v="49"/>
    <x v="14"/>
    <x v="0"/>
    <x v="0"/>
    <x v="0"/>
    <s v="PPV 2025 - Kombi"/>
    <s v="CZ"/>
    <n v="2025"/>
    <n v="21"/>
    <n v="1993"/>
    <n v="0.91500000000000004"/>
    <n v="4402"/>
    <n v="4028"/>
    <x v="0"/>
    <x v="0"/>
    <s v="Ventus 2cx 18m"/>
    <s v="IB"/>
    <s v=""/>
    <m/>
  </r>
  <r>
    <x v="280"/>
    <x v="18"/>
    <x v="0"/>
    <x v="23"/>
    <x v="0"/>
    <s v="PPV 2025 - Kombi"/>
    <s v="CZ"/>
    <n v="2025"/>
    <n v="22"/>
    <n v="1846"/>
    <n v="0.91500000000000004"/>
    <n v="4024"/>
    <n v="3682"/>
    <x v="1"/>
    <x v="0"/>
    <s v="LS 6 18m"/>
    <s v="F5"/>
    <s v=""/>
    <m/>
  </r>
  <r>
    <x v="741"/>
    <x v="4"/>
    <x v="1"/>
    <x v="279"/>
    <x v="3"/>
    <s v="PPV 2025 - Kombi"/>
    <s v="CZ"/>
    <n v="2025"/>
    <n v="23"/>
    <n v="1802"/>
    <n v="0.91500000000000004"/>
    <n v="3833"/>
    <n v="3507"/>
    <x v="0"/>
    <x v="0"/>
    <s v="Discus 2cT 18m"/>
    <s v="JH"/>
    <s v="Není v databázi"/>
    <m/>
  </r>
  <r>
    <x v="190"/>
    <x v="16"/>
    <x v="0"/>
    <x v="15"/>
    <x v="1"/>
    <s v="PPV 2025 - Kombi"/>
    <s v="CZ"/>
    <n v="2025"/>
    <n v="24"/>
    <n v="1432"/>
    <n v="0.91500000000000004"/>
    <n v="3049"/>
    <n v="2790"/>
    <x v="0"/>
    <x v="0"/>
    <s v="Ventus c 17.6m"/>
    <s v="GE"/>
    <s v=""/>
    <m/>
  </r>
  <r>
    <x v="904"/>
    <x v="4"/>
    <x v="1"/>
    <x v="279"/>
    <x v="3"/>
    <s v="PPV 2025 - Kombi"/>
    <s v="CZ"/>
    <n v="2025"/>
    <n v="25"/>
    <n v="1413"/>
    <n v="0.91500000000000004"/>
    <n v="2903"/>
    <n v="2656"/>
    <x v="0"/>
    <x v="0"/>
    <s v="ASW 27"/>
    <s v="TZ"/>
    <s v="Není v databázi"/>
    <m/>
  </r>
  <r>
    <x v="76"/>
    <x v="40"/>
    <x v="0"/>
    <x v="30"/>
    <x v="2"/>
    <s v="PPV 2025 - Kombi"/>
    <s v="CZ"/>
    <n v="2025"/>
    <n v="26"/>
    <n v="1247"/>
    <n v="0.91500000000000004"/>
    <n v="2490"/>
    <n v="2278"/>
    <x v="0"/>
    <x v="0"/>
    <s v="LAK-17A T 18m"/>
    <s v="GL"/>
    <s v=""/>
    <m/>
  </r>
  <r>
    <x v="1065"/>
    <x v="4"/>
    <x v="1"/>
    <x v="280"/>
    <x v="3"/>
    <s v="PPV 2025 - Kombi"/>
    <s v="CZ"/>
    <n v="2025"/>
    <n v="27"/>
    <n v="928"/>
    <n v="0.91500000000000004"/>
    <n v="1799"/>
    <n v="1646"/>
    <x v="0"/>
    <x v="0"/>
    <s v="JS1 18m"/>
    <s v="GPS"/>
    <s v="Není v databázi"/>
    <m/>
  </r>
  <r>
    <x v="281"/>
    <x v="2"/>
    <x v="0"/>
    <x v="60"/>
    <x v="2"/>
    <s v="PPV 2025 - Kombi"/>
    <s v="CZ"/>
    <n v="2025"/>
    <n v="28"/>
    <n v="813"/>
    <n v="0.91500000000000004"/>
    <n v="1479"/>
    <n v="1353"/>
    <x v="0"/>
    <x v="0"/>
    <s v="HpH 304 TS Twin Shark"/>
    <s v="PH"/>
    <s v=""/>
    <m/>
  </r>
  <r>
    <x v="744"/>
    <x v="39"/>
    <x v="0"/>
    <x v="62"/>
    <x v="1"/>
    <s v="Ranský pohár 2025 - Klub"/>
    <s v="CZ"/>
    <n v="2025"/>
    <n v="1"/>
    <n v="1047"/>
    <n v="0.75"/>
    <n v="10000"/>
    <n v="7500"/>
    <x v="1"/>
    <x v="0"/>
    <s v="Std. Cirrus"/>
    <s v="FF"/>
    <s v=""/>
    <m/>
  </r>
  <r>
    <x v="694"/>
    <x v="6"/>
    <x v="0"/>
    <x v="24"/>
    <x v="1"/>
    <s v="Ranský pohár 2025 - Klub"/>
    <s v="CZ"/>
    <n v="2025"/>
    <n v="2"/>
    <n v="103"/>
    <n v="0.75"/>
    <n v="3501"/>
    <n v="2626"/>
    <x v="1"/>
    <x v="0"/>
    <s v="ASW 24 E WL"/>
    <s v="JM"/>
    <s v=""/>
    <m/>
  </r>
  <r>
    <x v="126"/>
    <x v="47"/>
    <x v="0"/>
    <x v="38"/>
    <x v="1"/>
    <s v="Ranský pohár 2025 - Klub"/>
    <s v="CZ"/>
    <n v="2025"/>
    <n v="3"/>
    <n v="946"/>
    <n v="0.75"/>
    <n v="8950"/>
    <n v="6713"/>
    <x v="1"/>
    <x v="0"/>
    <s v="ASW 15 B"/>
    <s v="CW"/>
    <s v=""/>
    <m/>
  </r>
  <r>
    <x v="745"/>
    <x v="13"/>
    <x v="0"/>
    <x v="24"/>
    <x v="1"/>
    <s v="Ranský pohár 2025 - Klub"/>
    <s v="CZ"/>
    <n v="2025"/>
    <n v="4"/>
    <n v="866"/>
    <n v="0.75"/>
    <n v="8227"/>
    <n v="6170"/>
    <x v="1"/>
    <x v="0"/>
    <s v="Std. Cirrus"/>
    <s v="GP"/>
    <s v=""/>
    <m/>
  </r>
  <r>
    <x v="748"/>
    <x v="27"/>
    <x v="0"/>
    <x v="38"/>
    <x v="1"/>
    <s v="Ranský pohár 2025 - Klub"/>
    <s v="CZ"/>
    <n v="2025"/>
    <n v="5"/>
    <n v="789"/>
    <n v="0.75"/>
    <n v="7525"/>
    <n v="5644"/>
    <x v="1"/>
    <x v="0"/>
    <s v="Std. Cirrus"/>
    <s v="CI"/>
    <s v=""/>
    <m/>
  </r>
  <r>
    <x v="697"/>
    <x v="24"/>
    <x v="0"/>
    <x v="217"/>
    <x v="0"/>
    <s v="Ranský pohár 2025 - Klub"/>
    <s v="CZ"/>
    <n v="2025"/>
    <n v="6"/>
    <n v="728"/>
    <n v="0.75"/>
    <n v="6930"/>
    <n v="5198"/>
    <x v="1"/>
    <x v="0"/>
    <s v="ASW 15 B"/>
    <s v="XE"/>
    <s v=""/>
    <m/>
  </r>
  <r>
    <x v="701"/>
    <x v="35"/>
    <x v="0"/>
    <x v="217"/>
    <x v="0"/>
    <s v="Ranský pohár 2025 - Klub"/>
    <s v="CZ"/>
    <n v="2025"/>
    <n v="7"/>
    <n v="725"/>
    <n v="0.75"/>
    <n v="6722"/>
    <n v="5042"/>
    <x v="1"/>
    <x v="0"/>
    <s v="LS 3a"/>
    <s v="2G"/>
    <s v=""/>
    <m/>
  </r>
  <r>
    <x v="1066"/>
    <x v="25"/>
    <x v="0"/>
    <x v="217"/>
    <x v="0"/>
    <s v="Ranský pohár 2025 - Klub"/>
    <s v="CZ"/>
    <n v="2025"/>
    <n v="8"/>
    <n v="666"/>
    <n v="0.75"/>
    <n v="6140"/>
    <n v="4605"/>
    <x v="1"/>
    <x v="0"/>
    <s v="LS 3a 15m"/>
    <s v="O4"/>
    <s v=""/>
    <m/>
  </r>
  <r>
    <x v="750"/>
    <x v="21"/>
    <x v="0"/>
    <x v="24"/>
    <x v="1"/>
    <s v="Ranský pohár 2025 - Klub"/>
    <s v="CZ"/>
    <n v="2025"/>
    <n v="9"/>
    <n v="631"/>
    <n v="0.75"/>
    <n v="5719"/>
    <n v="4289"/>
    <x v="1"/>
    <x v="0"/>
    <s v="ASW 19"/>
    <s v="FR"/>
    <s v=""/>
    <m/>
  </r>
  <r>
    <x v="125"/>
    <x v="9"/>
    <x v="0"/>
    <x v="22"/>
    <x v="0"/>
    <s v="Ranský pohár 2025 - Klub"/>
    <s v="CZ"/>
    <n v="2025"/>
    <n v="10"/>
    <n v="598"/>
    <n v="0.75"/>
    <n v="5311"/>
    <n v="3983"/>
    <x v="1"/>
    <x v="0"/>
    <s v="KKB-15"/>
    <s v="N1"/>
    <s v=""/>
    <m/>
  </r>
  <r>
    <x v="751"/>
    <x v="0"/>
    <x v="2"/>
    <x v="24"/>
    <x v="1"/>
    <s v="Ranský pohár 2025 - Klub"/>
    <s v="CZ"/>
    <n v="2025"/>
    <n v="11"/>
    <n v="549"/>
    <n v="0.75"/>
    <n v="4795"/>
    <n v="3596"/>
    <x v="1"/>
    <x v="1"/>
    <s v="LS 1-0"/>
    <s v="AL"/>
    <s v=""/>
    <m/>
  </r>
  <r>
    <x v="101"/>
    <x v="18"/>
    <x v="0"/>
    <x v="28"/>
    <x v="2"/>
    <s v="Ranský pohár 2025 - Klub"/>
    <s v="CZ"/>
    <n v="2025"/>
    <n v="12"/>
    <n v="403"/>
    <n v="0.75"/>
    <n v="3632"/>
    <n v="2724"/>
    <x v="0"/>
    <x v="0"/>
    <s v="ASW 15 B"/>
    <n v="15"/>
    <s v=""/>
    <m/>
  </r>
  <r>
    <x v="746"/>
    <x v="50"/>
    <x v="0"/>
    <x v="24"/>
    <x v="1"/>
    <s v="Ranský pohár 2025 - Klub"/>
    <s v="CZ"/>
    <n v="2025"/>
    <n v="13"/>
    <n v="274"/>
    <n v="0.75"/>
    <n v="2582"/>
    <n v="1937"/>
    <x v="1"/>
    <x v="0"/>
    <s v="VSO-10"/>
    <n v="59"/>
    <s v="Junior v roce 2026"/>
    <m/>
  </r>
  <r>
    <x v="749"/>
    <x v="21"/>
    <x v="0"/>
    <x v="24"/>
    <x v="1"/>
    <s v="Ranský pohár 2025 - Klub"/>
    <s v="CZ"/>
    <n v="2025"/>
    <n v="14"/>
    <n v="203"/>
    <n v="0.75"/>
    <n v="1920"/>
    <n v="1440"/>
    <x v="0"/>
    <x v="0"/>
    <s v="Janus A"/>
    <s v="RA"/>
    <s v=""/>
    <m/>
  </r>
  <r>
    <x v="752"/>
    <x v="6"/>
    <x v="2"/>
    <x v="28"/>
    <x v="2"/>
    <s v="Ranský pohár 2025 - Klub"/>
    <s v="CZ"/>
    <n v="2025"/>
    <n v="15"/>
    <n v="138"/>
    <n v="0.75"/>
    <n v="1298"/>
    <n v="974"/>
    <x v="0"/>
    <x v="0"/>
    <s v="ASW 15 B"/>
    <s v="R5"/>
    <s v=""/>
    <m/>
  </r>
  <r>
    <x v="1067"/>
    <x v="0"/>
    <x v="0"/>
    <x v="38"/>
    <x v="1"/>
    <s v="Ranský pohár 2025 - Klub"/>
    <s v="CZ"/>
    <n v="2025"/>
    <n v="16"/>
    <n v="116"/>
    <n v="0.75"/>
    <n v="963"/>
    <n v="722"/>
    <x v="1"/>
    <x v="0"/>
    <s v="Std. Cirrus"/>
    <s v="CV"/>
    <s v=""/>
    <m/>
  </r>
  <r>
    <x v="208"/>
    <x v="37"/>
    <x v="0"/>
    <x v="24"/>
    <x v="1"/>
    <s v="Ranský pohár 2025 - Klub"/>
    <s v="CZ"/>
    <n v="2025"/>
    <n v="17"/>
    <n v="54"/>
    <n v="0.75"/>
    <n v="361"/>
    <n v="271"/>
    <x v="0"/>
    <x v="0"/>
    <s v="DG 100"/>
    <s v="E2"/>
    <s v=""/>
    <m/>
  </r>
  <r>
    <x v="251"/>
    <x v="43"/>
    <x v="0"/>
    <x v="23"/>
    <x v="0"/>
    <s v="PMRg 2025 - Klub"/>
    <s v="CZ"/>
    <n v="2025"/>
    <n v="1"/>
    <n v="2112"/>
    <n v="0.9"/>
    <n v="10000"/>
    <n v="9000"/>
    <x v="1"/>
    <x v="0"/>
    <s v="303 Mosquito"/>
    <s v="LC"/>
    <s v=""/>
    <m/>
  </r>
  <r>
    <x v="770"/>
    <x v="28"/>
    <x v="0"/>
    <x v="42"/>
    <x v="0"/>
    <s v="PMRg 2025 - Klub"/>
    <s v="CZ"/>
    <n v="2025"/>
    <n v="2"/>
    <n v="1887"/>
    <n v="0.9"/>
    <n v="8921"/>
    <n v="8029"/>
    <x v="1"/>
    <x v="0"/>
    <s v="Std. Cirrus WL"/>
    <s v="IT"/>
    <s v=""/>
    <m/>
  </r>
  <r>
    <x v="675"/>
    <x v="1"/>
    <x v="0"/>
    <x v="64"/>
    <x v="0"/>
    <s v="PMRg 2025 - Klub"/>
    <s v="CZ"/>
    <n v="2025"/>
    <n v="3"/>
    <n v="1765"/>
    <n v="0.9"/>
    <n v="8183"/>
    <n v="7365"/>
    <x v="1"/>
    <x v="0"/>
    <s v="Std. Cirrus"/>
    <s v="IMI"/>
    <s v=""/>
    <m/>
  </r>
  <r>
    <x v="128"/>
    <x v="21"/>
    <x v="0"/>
    <x v="3"/>
    <x v="2"/>
    <s v="PMRg 2025 - Klub"/>
    <s v="CZ"/>
    <n v="2025"/>
    <n v="4"/>
    <n v="1655"/>
    <n v="0.9"/>
    <n v="7485"/>
    <n v="6737"/>
    <x v="1"/>
    <x v="0"/>
    <s v="Std. Cirrus"/>
    <s v="ZL"/>
    <s v=""/>
    <m/>
  </r>
  <r>
    <x v="286"/>
    <x v="2"/>
    <x v="2"/>
    <x v="28"/>
    <x v="2"/>
    <s v="PMRg 2025 - Klub"/>
    <s v="CZ"/>
    <n v="2025"/>
    <n v="5"/>
    <n v="1554"/>
    <n v="0.9"/>
    <n v="6817"/>
    <n v="6135"/>
    <x v="1"/>
    <x v="1"/>
    <s v="SZD-48 Jantar Std."/>
    <s v="SU"/>
    <s v=""/>
    <m/>
  </r>
  <r>
    <x v="716"/>
    <x v="34"/>
    <x v="0"/>
    <x v="41"/>
    <x v="0"/>
    <s v="PMRg 2025 - Klub"/>
    <s v="CZ"/>
    <n v="2025"/>
    <n v="6"/>
    <n v="1087"/>
    <n v="0.9"/>
    <n v="4936"/>
    <n v="4442"/>
    <x v="1"/>
    <x v="0"/>
    <s v="VSO-10"/>
    <s v="L3"/>
    <s v="Junior v roce 2026"/>
    <m/>
  </r>
  <r>
    <x v="1068"/>
    <x v="25"/>
    <x v="0"/>
    <x v="41"/>
    <x v="0"/>
    <s v="PMRg 2025 - Klub"/>
    <s v="CZ"/>
    <n v="2025"/>
    <n v="7"/>
    <n v="330"/>
    <n v="0.9"/>
    <n v="2094"/>
    <n v="1885"/>
    <x v="1"/>
    <x v="0"/>
    <s v="VSO-10"/>
    <s v="C6"/>
    <s v=""/>
    <m/>
  </r>
  <r>
    <x v="1069"/>
    <x v="0"/>
    <x v="0"/>
    <x v="41"/>
    <x v="0"/>
    <s v="PMRg 2025 - Klub"/>
    <s v="CZ"/>
    <n v="2025"/>
    <n v="8"/>
    <n v="249"/>
    <n v="0.9"/>
    <n v="1492"/>
    <n v="1343"/>
    <x v="1"/>
    <x v="0"/>
    <s v="Std. Cirrus"/>
    <s v="ST"/>
    <s v=""/>
    <m/>
  </r>
  <r>
    <x v="1070"/>
    <x v="21"/>
    <x v="0"/>
    <x v="41"/>
    <x v="0"/>
    <s v="PMRg 2025 - Klub"/>
    <s v="CZ"/>
    <n v="2025"/>
    <n v="9"/>
    <n v="3"/>
    <n v="0.9"/>
    <n v="343"/>
    <n v="309"/>
    <x v="1"/>
    <x v="0"/>
    <s v="LS 3"/>
    <s v="XX"/>
    <s v=""/>
    <m/>
  </r>
  <r>
    <x v="132"/>
    <x v="24"/>
    <x v="0"/>
    <x v="39"/>
    <x v="0"/>
    <s v="PMRg 2025 - Klub"/>
    <s v="CZ"/>
    <n v="2025"/>
    <n v="10"/>
    <n v="2"/>
    <n v="0.9"/>
    <n v="7"/>
    <n v="6"/>
    <x v="1"/>
    <x v="0"/>
    <s v="ASW 19B"/>
    <s v="OWL"/>
    <s v=""/>
    <m/>
  </r>
  <r>
    <x v="3"/>
    <x v="3"/>
    <x v="0"/>
    <x v="3"/>
    <x v="2"/>
    <s v="PMRg 2025 - Kombi"/>
    <s v="CZ"/>
    <n v="2025"/>
    <n v="1"/>
    <n v="1933"/>
    <n v="0.91500000000000004"/>
    <n v="10000"/>
    <n v="9150"/>
    <x v="0"/>
    <x v="0"/>
    <s v="LS 8"/>
    <s v="AU"/>
    <s v="Junior v roce 2026"/>
    <m/>
  </r>
  <r>
    <x v="833"/>
    <x v="10"/>
    <x v="0"/>
    <x v="60"/>
    <x v="2"/>
    <s v="PMRg 2025 - Kombi"/>
    <s v="CZ"/>
    <n v="2025"/>
    <n v="2"/>
    <n v="1799"/>
    <n v="0.91500000000000004"/>
    <n v="9181"/>
    <n v="8401"/>
    <x v="1"/>
    <x v="0"/>
    <s v="ASG 29 E 18m"/>
    <s v="2L"/>
    <s v=""/>
    <m/>
  </r>
  <r>
    <x v="10"/>
    <x v="8"/>
    <x v="0"/>
    <x v="10"/>
    <x v="0"/>
    <s v="PMRg 2025 - Kombi"/>
    <s v="CZ"/>
    <n v="2025"/>
    <n v="3"/>
    <n v="1755"/>
    <n v="0.91500000000000004"/>
    <n v="8689"/>
    <n v="7950"/>
    <x v="1"/>
    <x v="0"/>
    <s v="ASW 27b"/>
    <s v="MF"/>
    <s v=""/>
    <m/>
  </r>
  <r>
    <x v="43"/>
    <x v="8"/>
    <x v="0"/>
    <x v="25"/>
    <x v="1"/>
    <s v="PMRg 2025 - Kombi"/>
    <s v="CZ"/>
    <n v="2025"/>
    <n v="4"/>
    <n v="1609"/>
    <n v="0.91500000000000004"/>
    <n v="7827"/>
    <n v="7162"/>
    <x v="1"/>
    <x v="0"/>
    <s v="ASG 29 E 18m"/>
    <s v="XZ"/>
    <s v=""/>
    <m/>
  </r>
  <r>
    <x v="217"/>
    <x v="47"/>
    <x v="0"/>
    <x v="38"/>
    <x v="1"/>
    <s v="PMRg 2025 - Kombi"/>
    <s v="CZ"/>
    <n v="2025"/>
    <n v="5"/>
    <n v="1538"/>
    <n v="0.91500000000000004"/>
    <n v="7236"/>
    <n v="6621"/>
    <x v="0"/>
    <x v="0"/>
    <s v="Ventus 3 FES Sport"/>
    <s v="LB"/>
    <s v=""/>
    <m/>
  </r>
  <r>
    <x v="349"/>
    <x v="0"/>
    <x v="0"/>
    <x v="9"/>
    <x v="1"/>
    <s v="PMRg 2025 - Kombi"/>
    <s v="CZ"/>
    <n v="2025"/>
    <n v="6"/>
    <n v="1367"/>
    <n v="0.91500000000000004"/>
    <n v="6284"/>
    <n v="5750"/>
    <x v="0"/>
    <x v="0"/>
    <s v="JS1 EVO JET"/>
    <s v="IGC"/>
    <s v=""/>
    <m/>
  </r>
  <r>
    <x v="47"/>
    <x v="32"/>
    <x v="0"/>
    <x v="0"/>
    <x v="0"/>
    <s v="PMRg 2025 - Kombi"/>
    <s v="CZ"/>
    <n v="2025"/>
    <n v="7"/>
    <n v="1361"/>
    <n v="0.91500000000000004"/>
    <n v="5929"/>
    <n v="5425"/>
    <x v="1"/>
    <x v="0"/>
    <s v="HpH 304 MS Shark"/>
    <s v="MS"/>
    <s v=""/>
    <m/>
  </r>
  <r>
    <x v="142"/>
    <x v="27"/>
    <x v="0"/>
    <x v="42"/>
    <x v="0"/>
    <s v="PMRg 2025 - Kombi"/>
    <s v="CZ"/>
    <n v="2025"/>
    <n v="8"/>
    <n v="1213"/>
    <n v="0.91500000000000004"/>
    <n v="5059"/>
    <n v="4629"/>
    <x v="1"/>
    <x v="0"/>
    <s v="DuoDiscus XT"/>
    <s v="BB"/>
    <s v=""/>
    <m/>
  </r>
  <r>
    <x v="141"/>
    <x v="36"/>
    <x v="0"/>
    <x v="41"/>
    <x v="0"/>
    <s v="PMRg 2025 - Kombi"/>
    <s v="CZ"/>
    <n v="2025"/>
    <n v="9"/>
    <n v="551"/>
    <n v="0.91500000000000004"/>
    <n v="2329"/>
    <n v="2131"/>
    <x v="1"/>
    <x v="0"/>
    <s v="Duo Discus XT"/>
    <s v="DD"/>
    <s v=""/>
    <m/>
  </r>
  <r>
    <x v="1071"/>
    <x v="57"/>
    <x v="0"/>
    <x v="281"/>
    <x v="0"/>
    <s v="PMRg 2025 - Kombi"/>
    <s v="CZ"/>
    <n v="2025"/>
    <n v="10"/>
    <n v="0"/>
    <n v="0.91500000000000004"/>
    <n v="0"/>
    <n v="0"/>
    <x v="1"/>
    <x v="0"/>
    <s v="Ventus 2cxM 18m"/>
    <s v="EK"/>
    <s v=""/>
    <m/>
  </r>
  <r>
    <x v="8"/>
    <x v="3"/>
    <x v="0"/>
    <x v="8"/>
    <x v="2"/>
    <s v="PMČRj 2025 - Klub"/>
    <s v="CZ"/>
    <n v="2025"/>
    <n v="1"/>
    <n v="1706"/>
    <n v="0.91"/>
    <n v="10000"/>
    <n v="9100"/>
    <x v="0"/>
    <x v="0"/>
    <s v="ASW 20A"/>
    <s v="A3"/>
    <s v="Junior v roce 2026"/>
    <m/>
  </r>
  <r>
    <x v="146"/>
    <x v="17"/>
    <x v="0"/>
    <x v="44"/>
    <x v="1"/>
    <s v="PMČRj 2025 - Klub"/>
    <s v="CZ"/>
    <n v="2025"/>
    <n v="2"/>
    <n v="1654"/>
    <n v="0.91"/>
    <n v="9671"/>
    <n v="8801"/>
    <x v="1"/>
    <x v="0"/>
    <s v="ASW 20"/>
    <s v="OX"/>
    <s v=""/>
    <m/>
  </r>
  <r>
    <x v="100"/>
    <x v="44"/>
    <x v="0"/>
    <x v="30"/>
    <x v="2"/>
    <s v="PMČRj 2025 - Klub"/>
    <s v="CZ"/>
    <n v="2025"/>
    <n v="3"/>
    <n v="1612"/>
    <n v="0.91"/>
    <n v="9384"/>
    <n v="8539"/>
    <x v="1"/>
    <x v="0"/>
    <s v="ASW 19B"/>
    <n v="34"/>
    <s v="Junior v roce 2026"/>
    <m/>
  </r>
  <r>
    <x v="153"/>
    <x v="50"/>
    <x v="0"/>
    <x v="8"/>
    <x v="2"/>
    <s v="PMČRj 2025 - Klub"/>
    <s v="CZ"/>
    <n v="2025"/>
    <n v="4"/>
    <n v="1554"/>
    <n v="0.91"/>
    <n v="9030"/>
    <n v="8217"/>
    <x v="1"/>
    <x v="0"/>
    <s v="LS 1f"/>
    <s v="FD"/>
    <s v="Junior v roce 2026"/>
    <m/>
  </r>
  <r>
    <x v="178"/>
    <x v="50"/>
    <x v="0"/>
    <x v="42"/>
    <x v="0"/>
    <s v="PMČRj 2025 - Klub"/>
    <s v="CZ"/>
    <n v="2025"/>
    <n v="5"/>
    <n v="1489"/>
    <n v="0.91"/>
    <n v="8648"/>
    <n v="7870"/>
    <x v="1"/>
    <x v="0"/>
    <s v="Std. Cirrus"/>
    <s v="TI"/>
    <s v="Junior v roce 2026"/>
    <m/>
  </r>
  <r>
    <x v="161"/>
    <x v="51"/>
    <x v="2"/>
    <x v="41"/>
    <x v="0"/>
    <s v="PMČRj 2025 - Klub"/>
    <s v="CZ"/>
    <n v="2025"/>
    <n v="6"/>
    <n v="1459"/>
    <n v="0.91"/>
    <n v="8410"/>
    <n v="7653"/>
    <x v="1"/>
    <x v="1"/>
    <s v="DG 101G"/>
    <s v="JL"/>
    <s v="Junior v roce 2026"/>
    <m/>
  </r>
  <r>
    <x v="156"/>
    <x v="3"/>
    <x v="0"/>
    <x v="51"/>
    <x v="1"/>
    <s v="PMČRj 2025 - Klub"/>
    <s v="CZ"/>
    <n v="2025"/>
    <n v="7"/>
    <n v="1426"/>
    <n v="0.91"/>
    <n v="8159"/>
    <n v="7425"/>
    <x v="1"/>
    <x v="0"/>
    <s v="ASW 19"/>
    <s v="HB"/>
    <s v="Junior v roce 2026"/>
    <m/>
  </r>
  <r>
    <x v="1050"/>
    <x v="34"/>
    <x v="0"/>
    <x v="25"/>
    <x v="1"/>
    <s v="PMČRj 2025 - Klub"/>
    <s v="CZ"/>
    <n v="2025"/>
    <n v="8"/>
    <n v="1407"/>
    <n v="0.91"/>
    <n v="7965"/>
    <n v="7248"/>
    <x v="1"/>
    <x v="0"/>
    <s v="ASW 19B"/>
    <s v="XP"/>
    <s v="Junior v roce 2026"/>
    <m/>
  </r>
  <r>
    <x v="707"/>
    <x v="62"/>
    <x v="0"/>
    <x v="44"/>
    <x v="1"/>
    <s v="PMČRj 2025 - Klub"/>
    <s v="CZ"/>
    <n v="2025"/>
    <n v="9"/>
    <n v="1397"/>
    <n v="0.91"/>
    <n v="7809"/>
    <n v="7106"/>
    <x v="1"/>
    <x v="0"/>
    <s v="ASW 24 WL"/>
    <s v="SM"/>
    <s v="Junior v roce 2026"/>
    <m/>
  </r>
  <r>
    <x v="158"/>
    <x v="7"/>
    <x v="2"/>
    <x v="18"/>
    <x v="2"/>
    <s v="PMČRj 2025 - Klub"/>
    <s v="CZ"/>
    <n v="2025"/>
    <n v="10"/>
    <n v="1350"/>
    <n v="0.91"/>
    <n v="7501"/>
    <n v="6826"/>
    <x v="1"/>
    <x v="1"/>
    <s v="Discus CS WL"/>
    <s v="HD"/>
    <s v="Junior v roce 2026"/>
    <m/>
  </r>
  <r>
    <x v="152"/>
    <x v="34"/>
    <x v="0"/>
    <x v="14"/>
    <x v="0"/>
    <s v="PMČRj 2025 - Klub"/>
    <s v="CZ"/>
    <n v="2025"/>
    <n v="11"/>
    <n v="1219"/>
    <n v="0.91"/>
    <n v="6848"/>
    <n v="6232"/>
    <x v="0"/>
    <x v="0"/>
    <s v="Discus WL"/>
    <s v="LD"/>
    <s v="Junior v roce 2026"/>
    <m/>
  </r>
  <r>
    <x v="165"/>
    <x v="17"/>
    <x v="0"/>
    <x v="8"/>
    <x v="2"/>
    <s v="PMČRj 2025 - Klub"/>
    <s v="CZ"/>
    <n v="2025"/>
    <n v="12"/>
    <n v="1209"/>
    <n v="0.91"/>
    <n v="6691"/>
    <n v="6089"/>
    <x v="1"/>
    <x v="0"/>
    <s v="Std. Cirrus"/>
    <s v="MP"/>
    <s v=""/>
    <m/>
  </r>
  <r>
    <x v="830"/>
    <x v="51"/>
    <x v="0"/>
    <x v="10"/>
    <x v="0"/>
    <s v="PMČRj 2025 - Klub"/>
    <s v="CZ"/>
    <n v="2025"/>
    <n v="13"/>
    <n v="1172"/>
    <n v="0.91"/>
    <n v="6424"/>
    <n v="5846"/>
    <x v="1"/>
    <x v="0"/>
    <s v="DG 300 ELAN WL(RG)"/>
    <s v="BK"/>
    <s v="Junior v roce 2026"/>
    <m/>
  </r>
  <r>
    <x v="160"/>
    <x v="50"/>
    <x v="0"/>
    <x v="3"/>
    <x v="2"/>
    <s v="PMČRj 2025 - Klub"/>
    <s v="CZ"/>
    <n v="2025"/>
    <n v="14"/>
    <n v="1168"/>
    <n v="0.91"/>
    <n v="6292"/>
    <n v="5726"/>
    <x v="1"/>
    <x v="0"/>
    <s v="ASW 19B"/>
    <s v="A1"/>
    <s v="Junior v roce 2026"/>
    <m/>
  </r>
  <r>
    <x v="157"/>
    <x v="7"/>
    <x v="0"/>
    <x v="3"/>
    <x v="2"/>
    <s v="PMČRj 2025 - Klub"/>
    <s v="CZ"/>
    <n v="2025"/>
    <n v="15"/>
    <n v="1118"/>
    <n v="0.91"/>
    <n v="5972"/>
    <n v="5435"/>
    <x v="1"/>
    <x v="0"/>
    <s v="Std. Cirrus"/>
    <s v="EJ"/>
    <s v="Junior v roce 2026"/>
    <m/>
  </r>
  <r>
    <x v="170"/>
    <x v="51"/>
    <x v="0"/>
    <x v="31"/>
    <x v="0"/>
    <s v="PMČRj 2025 - Klub"/>
    <s v="CZ"/>
    <n v="2025"/>
    <n v="16"/>
    <n v="1105"/>
    <n v="0.91"/>
    <n v="5803"/>
    <n v="5281"/>
    <x v="0"/>
    <x v="0"/>
    <s v="Std. Cirrus"/>
    <n v="57"/>
    <s v="Junior v roce 2026"/>
    <m/>
  </r>
  <r>
    <x v="159"/>
    <x v="50"/>
    <x v="0"/>
    <x v="8"/>
    <x v="2"/>
    <s v="PMČRj 2025 - Klub"/>
    <s v="CZ"/>
    <n v="2025"/>
    <n v="17"/>
    <n v="1100"/>
    <n v="0.91"/>
    <n v="5667"/>
    <n v="5157"/>
    <x v="1"/>
    <x v="0"/>
    <s v="Std. Cirrus WL"/>
    <s v="CX"/>
    <s v="Junior v roce 2026"/>
    <m/>
  </r>
  <r>
    <x v="1072"/>
    <x v="7"/>
    <x v="0"/>
    <x v="8"/>
    <x v="2"/>
    <s v="PMČRj 2025 - Klub"/>
    <s v="CZ"/>
    <n v="2025"/>
    <n v="18"/>
    <n v="1082"/>
    <n v="0.91"/>
    <n v="5478"/>
    <n v="4985"/>
    <x v="1"/>
    <x v="0"/>
    <s v="Std. Cirrus"/>
    <s v="MS"/>
    <s v="Junior v roce 2026"/>
    <m/>
  </r>
  <r>
    <x v="712"/>
    <x v="44"/>
    <x v="0"/>
    <x v="31"/>
    <x v="0"/>
    <s v="PMČRj 2025 - Klub"/>
    <s v="CZ"/>
    <n v="2025"/>
    <n v="18"/>
    <n v="1082"/>
    <n v="0.91"/>
    <n v="5478"/>
    <n v="4985"/>
    <x v="1"/>
    <x v="0"/>
    <s v="VSO-10"/>
    <s v="B1"/>
    <s v="Junior v roce 2026"/>
    <m/>
  </r>
  <r>
    <x v="1073"/>
    <x v="65"/>
    <x v="0"/>
    <x v="17"/>
    <x v="0"/>
    <s v="PMČRj 2025 - Klub"/>
    <s v="CZ"/>
    <n v="2025"/>
    <n v="20"/>
    <n v="978"/>
    <n v="0.91"/>
    <n v="4821"/>
    <n v="4387"/>
    <x v="1"/>
    <x v="0"/>
    <s v="ASW 15B"/>
    <s v="LA"/>
    <s v="Junior v roce 2026"/>
    <m/>
  </r>
  <r>
    <x v="715"/>
    <x v="51"/>
    <x v="0"/>
    <x v="61"/>
    <x v="1"/>
    <s v="PMČRj 2025 - Klub"/>
    <s v="CZ"/>
    <n v="2025"/>
    <n v="21"/>
    <n v="973"/>
    <n v="0.91"/>
    <n v="4685"/>
    <n v="4263"/>
    <x v="1"/>
    <x v="0"/>
    <s v="ASW 15B"/>
    <s v="2P"/>
    <s v="Junior v roce 2026"/>
    <m/>
  </r>
  <r>
    <x v="1074"/>
    <x v="34"/>
    <x v="2"/>
    <x v="23"/>
    <x v="0"/>
    <s v="PMČRj 2025 - Klub"/>
    <s v="CZ"/>
    <n v="2025"/>
    <n v="22"/>
    <n v="925"/>
    <n v="0.91"/>
    <n v="4372"/>
    <n v="3979"/>
    <x v="1"/>
    <x v="1"/>
    <s v="G 102 Astir CS"/>
    <s v="PJ"/>
    <s v="Junior v roce 2026"/>
    <m/>
  </r>
  <r>
    <x v="1053"/>
    <x v="65"/>
    <x v="2"/>
    <x v="25"/>
    <x v="1"/>
    <s v="PMČRj 2025 - Klub"/>
    <s v="CZ"/>
    <n v="2025"/>
    <n v="23"/>
    <n v="860"/>
    <n v="0.91"/>
    <n v="3990"/>
    <n v="3631"/>
    <x v="1"/>
    <x v="1"/>
    <s v="ASW-15b"/>
    <s v="BF"/>
    <s v="Junior v roce 2026"/>
    <m/>
  </r>
  <r>
    <x v="710"/>
    <x v="51"/>
    <x v="0"/>
    <x v="31"/>
    <x v="0"/>
    <s v="PMČRj 2025 - Klub"/>
    <s v="CZ"/>
    <n v="2025"/>
    <n v="24"/>
    <n v="815"/>
    <n v="0.91"/>
    <n v="3690"/>
    <n v="3358"/>
    <x v="1"/>
    <x v="0"/>
    <s v="Std. Cirrus"/>
    <s v="BU"/>
    <s v="Junior v roce 2026"/>
    <m/>
  </r>
  <r>
    <x v="1075"/>
    <x v="51"/>
    <x v="0"/>
    <x v="0"/>
    <x v="0"/>
    <s v="PMČRj 2025 - Klub"/>
    <s v="CZ"/>
    <n v="2025"/>
    <n v="25"/>
    <n v="778"/>
    <n v="0.91"/>
    <n v="3423"/>
    <n v="3115"/>
    <x v="1"/>
    <x v="0"/>
    <s v="ASW 15a"/>
    <s v="WL"/>
    <s v="Junior v roce 2026"/>
    <m/>
  </r>
  <r>
    <x v="1076"/>
    <x v="50"/>
    <x v="0"/>
    <x v="36"/>
    <x v="2"/>
    <s v="PMČRj 2025 - Klub"/>
    <s v="CZ"/>
    <n v="2025"/>
    <n v="26"/>
    <n v="662"/>
    <n v="0.91"/>
    <n v="2832"/>
    <n v="2577"/>
    <x v="1"/>
    <x v="0"/>
    <s v="VSO-10"/>
    <n v="62"/>
    <s v="Junior v roce 2026"/>
    <m/>
  </r>
  <r>
    <x v="1077"/>
    <x v="44"/>
    <x v="2"/>
    <x v="18"/>
    <x v="2"/>
    <s v="PMČRj 2025 - Klub"/>
    <s v="CZ"/>
    <n v="2025"/>
    <n v="27"/>
    <n v="496"/>
    <n v="0.91"/>
    <n v="2035"/>
    <n v="1852"/>
    <x v="1"/>
    <x v="1"/>
    <s v="Cirrus 75"/>
    <s v="XII"/>
    <s v="Junior v roce 2026"/>
    <m/>
  </r>
  <r>
    <x v="406"/>
    <x v="48"/>
    <x v="2"/>
    <x v="48"/>
    <x v="1"/>
    <s v="WWGC 2025 - Klub"/>
    <s v="CZ"/>
    <n v="2025"/>
    <n v="1"/>
    <n v="4134"/>
    <n v="1.03"/>
    <n v="10000"/>
    <n v="10300"/>
    <x v="0"/>
    <x v="1"/>
    <s v="LS4"/>
    <s v="IX"/>
    <s v=""/>
    <m/>
  </r>
  <r>
    <x v="886"/>
    <x v="4"/>
    <x v="1"/>
    <x v="158"/>
    <x v="3"/>
    <s v="WWGC 2025 - Klub"/>
    <s v="CZ"/>
    <n v="2025"/>
    <n v="2"/>
    <n v="3851"/>
    <n v="1.03"/>
    <n v="9396"/>
    <n v="9678"/>
    <x v="0"/>
    <x v="0"/>
    <s v="LS3"/>
    <s v="AN"/>
    <s v="Není v databázi"/>
    <m/>
  </r>
  <r>
    <x v="404"/>
    <x v="44"/>
    <x v="2"/>
    <x v="12"/>
    <x v="1"/>
    <s v="WWGC 2025 - Klub"/>
    <s v="CZ"/>
    <n v="2025"/>
    <n v="3"/>
    <n v="3825"/>
    <n v="1.03"/>
    <n v="9227"/>
    <n v="9504"/>
    <x v="0"/>
    <x v="0"/>
    <s v="LS4"/>
    <s v="6L"/>
    <s v="Junior v roce 2026"/>
    <m/>
  </r>
  <r>
    <x v="413"/>
    <x v="4"/>
    <x v="1"/>
    <x v="148"/>
    <x v="3"/>
    <s v="WWGC 2025 - Klub"/>
    <s v="CZ"/>
    <n v="2025"/>
    <n v="4"/>
    <n v="3819"/>
    <n v="1.03"/>
    <n v="9092"/>
    <n v="9365"/>
    <x v="0"/>
    <x v="0"/>
    <s v="LS7"/>
    <s v="CK"/>
    <s v="Není v databázi"/>
    <m/>
  </r>
  <r>
    <x v="407"/>
    <x v="4"/>
    <x v="1"/>
    <x v="148"/>
    <x v="3"/>
    <s v="WWGC 2025 - Klub"/>
    <s v="CZ"/>
    <n v="2025"/>
    <n v="5"/>
    <n v="3741"/>
    <n v="1.03"/>
    <n v="8835"/>
    <n v="9100"/>
    <x v="0"/>
    <x v="0"/>
    <s v="LS7"/>
    <s v="PG"/>
    <s v="Není v databázi"/>
    <m/>
  </r>
  <r>
    <x v="522"/>
    <x v="4"/>
    <x v="1"/>
    <x v="160"/>
    <x v="3"/>
    <s v="WWGC 2025 - Klub"/>
    <s v="CZ"/>
    <n v="2025"/>
    <n v="6"/>
    <n v="3738"/>
    <n v="1.03"/>
    <n v="8704"/>
    <n v="8965"/>
    <x v="0"/>
    <x v="0"/>
    <s v="LS7"/>
    <s v="HV"/>
    <s v="Není v databázi"/>
    <m/>
  </r>
  <r>
    <x v="333"/>
    <x v="4"/>
    <x v="1"/>
    <x v="158"/>
    <x v="3"/>
    <s v="WWGC 2025 - Klub"/>
    <s v="CZ"/>
    <n v="2025"/>
    <n v="7"/>
    <n v="3550"/>
    <n v="1.03"/>
    <n v="8261"/>
    <n v="8509"/>
    <x v="0"/>
    <x v="0"/>
    <s v="LS3"/>
    <s v="FLS"/>
    <s v="Není v databázi"/>
    <m/>
  </r>
  <r>
    <x v="237"/>
    <x v="24"/>
    <x v="2"/>
    <x v="42"/>
    <x v="0"/>
    <s v="WWGC 2025 - Klub"/>
    <s v="CZ"/>
    <n v="2025"/>
    <n v="8"/>
    <n v="3456"/>
    <n v="1.03"/>
    <n v="7977"/>
    <n v="8216"/>
    <x v="0"/>
    <x v="1"/>
    <s v="ASW 20L"/>
    <s v="NW"/>
    <s v=""/>
    <m/>
  </r>
  <r>
    <x v="409"/>
    <x v="4"/>
    <x v="1"/>
    <x v="149"/>
    <x v="3"/>
    <s v="WWGC 2025 - Klub"/>
    <s v="CZ"/>
    <n v="2025"/>
    <n v="9"/>
    <n v="3386"/>
    <n v="1.03"/>
    <n v="7733"/>
    <n v="7965"/>
    <x v="0"/>
    <x v="0"/>
    <s v="Discus a"/>
    <n v="40"/>
    <s v="Není v databázi"/>
    <m/>
  </r>
  <r>
    <x v="403"/>
    <x v="4"/>
    <x v="1"/>
    <x v="147"/>
    <x v="3"/>
    <s v="WWGC 2025 - Klub"/>
    <s v="CZ"/>
    <n v="2025"/>
    <n v="10"/>
    <n v="3355"/>
    <n v="1.03"/>
    <n v="7556"/>
    <n v="7783"/>
    <x v="0"/>
    <x v="0"/>
    <s v="LS7"/>
    <s v="HG"/>
    <s v="Není v databázi"/>
    <m/>
  </r>
  <r>
    <x v="1078"/>
    <x v="4"/>
    <x v="1"/>
    <x v="165"/>
    <x v="3"/>
    <s v="WWGC 2025 - Klub"/>
    <s v="CZ"/>
    <n v="2025"/>
    <n v="11"/>
    <n v="3313"/>
    <n v="1.03"/>
    <n v="7360"/>
    <n v="7581"/>
    <x v="0"/>
    <x v="0"/>
    <s v="ASW20c"/>
    <s v="J"/>
    <s v="Není v databázi"/>
    <m/>
  </r>
  <r>
    <x v="996"/>
    <x v="4"/>
    <x v="1"/>
    <x v="163"/>
    <x v="3"/>
    <s v="WWGC 2025 - Klub"/>
    <s v="CZ"/>
    <n v="2025"/>
    <n v="12"/>
    <n v="3222"/>
    <n v="1.03"/>
    <n v="7081"/>
    <n v="7293"/>
    <x v="0"/>
    <x v="0"/>
    <s v="ASW20f"/>
    <s v="W4"/>
    <s v="Není v databázi"/>
    <m/>
  </r>
  <r>
    <x v="405"/>
    <x v="4"/>
    <x v="1"/>
    <x v="148"/>
    <x v="3"/>
    <s v="WWGC 2025 - Klub"/>
    <s v="CZ"/>
    <n v="2025"/>
    <n v="13"/>
    <n v="3209"/>
    <n v="1.03"/>
    <n v="6934"/>
    <n v="7142"/>
    <x v="0"/>
    <x v="0"/>
    <s v="LS7"/>
    <s v="FOX"/>
    <s v="Není v databázi"/>
    <m/>
  </r>
  <r>
    <x v="531"/>
    <x v="4"/>
    <x v="1"/>
    <x v="165"/>
    <x v="3"/>
    <s v="WWGC 2025 - Klub"/>
    <s v="CZ"/>
    <n v="2025"/>
    <n v="14"/>
    <n v="3207"/>
    <n v="1.03"/>
    <n v="6805"/>
    <n v="7009"/>
    <x v="0"/>
    <x v="0"/>
    <s v="Glasflugel 304"/>
    <s v="JM"/>
    <s v="Není v databázi"/>
    <m/>
  </r>
  <r>
    <x v="417"/>
    <x v="4"/>
    <x v="1"/>
    <x v="153"/>
    <x v="3"/>
    <s v="WWGC 2025 - Klub"/>
    <s v="CZ"/>
    <n v="2025"/>
    <n v="15"/>
    <n v="2910"/>
    <n v="1.03"/>
    <n v="6177"/>
    <n v="6362"/>
    <x v="0"/>
    <x v="0"/>
    <s v="LS1f"/>
    <s v="SH"/>
    <s v="Není v databázi"/>
    <m/>
  </r>
  <r>
    <x v="418"/>
    <x v="4"/>
    <x v="1"/>
    <x v="154"/>
    <x v="3"/>
    <s v="WWGC 2025 - Klub"/>
    <s v="CZ"/>
    <n v="2025"/>
    <n v="16"/>
    <n v="2866"/>
    <n v="1.03"/>
    <n v="5978"/>
    <n v="6157"/>
    <x v="0"/>
    <x v="0"/>
    <s v="Discus cs"/>
    <s v="B8"/>
    <s v="Není v databázi"/>
    <m/>
  </r>
  <r>
    <x v="1079"/>
    <x v="4"/>
    <x v="1"/>
    <x v="151"/>
    <x v="3"/>
    <s v="WWGC 2025 - Klub"/>
    <s v="CZ"/>
    <n v="2025"/>
    <n v="17"/>
    <n v="2808"/>
    <n v="1.03"/>
    <n v="5755"/>
    <n v="5928"/>
    <x v="0"/>
    <x v="0"/>
    <s v="SZD-55-1"/>
    <n v="100"/>
    <s v="Není v databázi"/>
    <m/>
  </r>
  <r>
    <x v="1080"/>
    <x v="4"/>
    <x v="1"/>
    <x v="151"/>
    <x v="3"/>
    <s v="WWGC 2025 - Klub"/>
    <s v="CZ"/>
    <n v="2025"/>
    <n v="18"/>
    <n v="2705"/>
    <n v="1.03"/>
    <n v="5455"/>
    <n v="5619"/>
    <x v="0"/>
    <x v="0"/>
    <s v="Std. Cirrus"/>
    <n v="680"/>
    <s v="Není v databázi"/>
    <m/>
  </r>
  <r>
    <x v="890"/>
    <x v="4"/>
    <x v="1"/>
    <x v="158"/>
    <x v="3"/>
    <s v="WWGC 2025 - Klub"/>
    <s v="CZ"/>
    <n v="2025"/>
    <n v="19"/>
    <n v="2491"/>
    <n v="1.03"/>
    <n v="4968"/>
    <n v="5117"/>
    <x v="0"/>
    <x v="0"/>
    <s v="ASW 20L"/>
    <n v="311"/>
    <s v="Není v databázi"/>
    <m/>
  </r>
  <r>
    <x v="1081"/>
    <x v="4"/>
    <x v="1"/>
    <x v="151"/>
    <x v="3"/>
    <s v="WWGC 2025 - Klub"/>
    <s v="CZ"/>
    <n v="2025"/>
    <n v="20"/>
    <n v="2487"/>
    <n v="1.03"/>
    <n v="4836"/>
    <n v="4981"/>
    <x v="0"/>
    <x v="0"/>
    <s v="LS4"/>
    <s v="LS4"/>
    <s v="Není v databázi"/>
    <m/>
  </r>
  <r>
    <x v="415"/>
    <x v="4"/>
    <x v="1"/>
    <x v="152"/>
    <x v="3"/>
    <s v="WWGC 2025 - Klub"/>
    <s v="CZ"/>
    <n v="2025"/>
    <n v="21"/>
    <n v="2468"/>
    <n v="1.03"/>
    <n v="4679"/>
    <n v="4819"/>
    <x v="0"/>
    <x v="0"/>
    <s v="LS4"/>
    <s v="FP"/>
    <s v="Není v databázi"/>
    <m/>
  </r>
  <r>
    <x v="997"/>
    <x v="4"/>
    <x v="1"/>
    <x v="163"/>
    <x v="3"/>
    <s v="WWGC 2025 - Klub"/>
    <s v="CZ"/>
    <n v="2025"/>
    <n v="22"/>
    <n v="2375"/>
    <n v="1.03"/>
    <n v="4397"/>
    <n v="4529"/>
    <x v="0"/>
    <x v="0"/>
    <s v="LS3a"/>
    <s v="QT"/>
    <s v="Není v databázi"/>
    <m/>
  </r>
  <r>
    <x v="1082"/>
    <x v="4"/>
    <x v="1"/>
    <x v="282"/>
    <x v="3"/>
    <s v="WWGC 2025 - Klub"/>
    <s v="CZ"/>
    <n v="2025"/>
    <n v="23"/>
    <n v="2085"/>
    <n v="1.03"/>
    <n v="3780"/>
    <n v="3893"/>
    <x v="0"/>
    <x v="0"/>
    <s v="Discus b"/>
    <s v="1X"/>
    <s v="Není v databázi"/>
    <m/>
  </r>
  <r>
    <x v="1083"/>
    <x v="4"/>
    <x v="1"/>
    <x v="147"/>
    <x v="3"/>
    <s v="WWGC 2025 - Klub"/>
    <s v="CZ"/>
    <n v="2025"/>
    <n v="24"/>
    <n v="1995"/>
    <n v="1.03"/>
    <n v="3503"/>
    <n v="3608"/>
    <x v="0"/>
    <x v="0"/>
    <s v="LS7"/>
    <s v="AG"/>
    <s v="Není v databázi"/>
    <m/>
  </r>
  <r>
    <x v="1084"/>
    <x v="4"/>
    <x v="1"/>
    <x v="164"/>
    <x v="3"/>
    <s v="WWGC 2025 - Klub"/>
    <s v="CZ"/>
    <n v="2025"/>
    <n v="25"/>
    <n v="1422"/>
    <n v="1.03"/>
    <n v="2408"/>
    <n v="2480"/>
    <x v="0"/>
    <x v="0"/>
    <s v="LS4"/>
    <s v="RI"/>
    <s v="Není v databázi"/>
    <m/>
  </r>
  <r>
    <x v="1001"/>
    <x v="26"/>
    <x v="2"/>
    <x v="58"/>
    <x v="1"/>
    <s v="WWGC 2025 - Std"/>
    <s v="CZ"/>
    <n v="2025"/>
    <n v="1"/>
    <n v="3689"/>
    <n v="1.0499999999999998"/>
    <n v="10000"/>
    <n v="10500"/>
    <x v="0"/>
    <x v="1"/>
    <s v="LS8"/>
    <s v="W8"/>
    <s v=""/>
    <m/>
  </r>
  <r>
    <x v="1085"/>
    <x v="4"/>
    <x v="1"/>
    <x v="158"/>
    <x v="3"/>
    <s v="WWGC 2025 - Std"/>
    <s v="CZ"/>
    <n v="2025"/>
    <n v="2"/>
    <n v="3563"/>
    <n v="1.0499999999999998"/>
    <n v="9530"/>
    <n v="10007"/>
    <x v="0"/>
    <x v="0"/>
    <s v="LS8"/>
    <s v="ZB"/>
    <s v="Není v databázi"/>
    <m/>
  </r>
  <r>
    <x v="421"/>
    <x v="4"/>
    <x v="1"/>
    <x v="147"/>
    <x v="3"/>
    <s v="WWGC 2025 - Std"/>
    <s v="CZ"/>
    <n v="2025"/>
    <n v="3"/>
    <n v="3560"/>
    <n v="1.0499999999999998"/>
    <n v="9294"/>
    <n v="9759"/>
    <x v="0"/>
    <x v="0"/>
    <s v="Discus 2a"/>
    <s v="JPA"/>
    <s v="Není v databázi"/>
    <m/>
  </r>
  <r>
    <x v="1086"/>
    <x v="4"/>
    <x v="1"/>
    <x v="147"/>
    <x v="3"/>
    <s v="WWGC 2025 - Std"/>
    <s v="CZ"/>
    <n v="2025"/>
    <n v="4"/>
    <n v="3545"/>
    <n v="1.0499999999999998"/>
    <n v="9034"/>
    <n v="9486"/>
    <x v="0"/>
    <x v="0"/>
    <s v="Discus 2a"/>
    <s v="AX"/>
    <s v="Není v databázi"/>
    <m/>
  </r>
  <r>
    <x v="301"/>
    <x v="60"/>
    <x v="2"/>
    <x v="33"/>
    <x v="2"/>
    <s v="WWGC 2025 - Std"/>
    <s v="CZ"/>
    <n v="2025"/>
    <n v="5"/>
    <n v="3506"/>
    <n v="1.0499999999999998"/>
    <n v="8730"/>
    <n v="9167"/>
    <x v="0"/>
    <x v="1"/>
    <s v="LS8"/>
    <s v="FX"/>
    <s v=""/>
    <m/>
  </r>
  <r>
    <x v="315"/>
    <x v="61"/>
    <x v="2"/>
    <x v="0"/>
    <x v="0"/>
    <s v="WWGC 2025 - Std"/>
    <s v="CZ"/>
    <n v="2025"/>
    <n v="6"/>
    <n v="3498"/>
    <n v="1.0499999999999998"/>
    <n v="8484"/>
    <n v="8908"/>
    <x v="0"/>
    <x v="1"/>
    <s v="LS8"/>
    <s v="JB"/>
    <s v=""/>
    <m/>
  </r>
  <r>
    <x v="1087"/>
    <x v="4"/>
    <x v="1"/>
    <x v="158"/>
    <x v="3"/>
    <s v="WWGC 2025 - Std"/>
    <s v="CZ"/>
    <n v="2025"/>
    <n v="7"/>
    <n v="3446"/>
    <n v="1.0499999999999998"/>
    <n v="8154"/>
    <n v="8562"/>
    <x v="0"/>
    <x v="0"/>
    <s v="LS8"/>
    <s v="LOT"/>
    <s v="Není v databázi"/>
    <m/>
  </r>
  <r>
    <x v="426"/>
    <x v="4"/>
    <x v="1"/>
    <x v="156"/>
    <x v="3"/>
    <s v="WWGC 2025 - Std"/>
    <s v="CZ"/>
    <n v="2025"/>
    <n v="8"/>
    <n v="3081"/>
    <n v="1.0499999999999998"/>
    <n v="7231"/>
    <n v="7593"/>
    <x v="0"/>
    <x v="0"/>
    <s v="Discus 2a"/>
    <s v="L"/>
    <s v="Není v databázi"/>
    <m/>
  </r>
  <r>
    <x v="430"/>
    <x v="4"/>
    <x v="1"/>
    <x v="159"/>
    <x v="3"/>
    <s v="WWGC 2025 - Std"/>
    <s v="CZ"/>
    <n v="2025"/>
    <n v="9"/>
    <n v="3021"/>
    <n v="1.0499999999999998"/>
    <n v="6886"/>
    <n v="7230"/>
    <x v="0"/>
    <x v="0"/>
    <s v="LS8"/>
    <s v="BK"/>
    <s v="Není v databázi"/>
    <m/>
  </r>
  <r>
    <x v="1088"/>
    <x v="4"/>
    <x v="1"/>
    <x v="148"/>
    <x v="3"/>
    <s v="WWGC 2025 - Std"/>
    <s v="CZ"/>
    <n v="2025"/>
    <n v="10"/>
    <n v="2972"/>
    <n v="1.0499999999999998"/>
    <n v="6563"/>
    <n v="6891"/>
    <x v="0"/>
    <x v="0"/>
    <s v="Discus 2a"/>
    <s v="V7"/>
    <s v="Není v databázi"/>
    <m/>
  </r>
  <r>
    <x v="423"/>
    <x v="4"/>
    <x v="1"/>
    <x v="148"/>
    <x v="3"/>
    <s v="WWGC 2025 - Std"/>
    <s v="CZ"/>
    <n v="2025"/>
    <n v="11"/>
    <n v="2964"/>
    <n v="1.0499999999999998"/>
    <n v="6317"/>
    <n v="6633"/>
    <x v="0"/>
    <x v="0"/>
    <s v="LS8"/>
    <s v="BB"/>
    <s v="Není v databázi"/>
    <m/>
  </r>
  <r>
    <x v="425"/>
    <x v="4"/>
    <x v="1"/>
    <x v="148"/>
    <x v="3"/>
    <s v="WWGC 2025 - Std"/>
    <s v="CZ"/>
    <n v="2025"/>
    <n v="12"/>
    <n v="2708"/>
    <n v="1.0499999999999998"/>
    <n v="5600"/>
    <n v="5880"/>
    <x v="0"/>
    <x v="0"/>
    <s v="LS8"/>
    <s v="3S"/>
    <s v="Není v databázi"/>
    <m/>
  </r>
  <r>
    <x v="1089"/>
    <x v="4"/>
    <x v="1"/>
    <x v="151"/>
    <x v="3"/>
    <s v="WWGC 2025 - Std"/>
    <s v="CZ"/>
    <n v="2025"/>
    <n v="13"/>
    <n v="2346"/>
    <n v="1.0499999999999998"/>
    <n v="4682"/>
    <n v="4916"/>
    <x v="0"/>
    <x v="0"/>
    <s v="LS8"/>
    <n v="161"/>
    <s v="Není v databázi"/>
    <m/>
  </r>
  <r>
    <x v="428"/>
    <x v="4"/>
    <x v="1"/>
    <x v="157"/>
    <x v="3"/>
    <s v="WWGC 2025 - Std"/>
    <s v="CZ"/>
    <n v="2025"/>
    <n v="14"/>
    <n v="2341"/>
    <n v="1.0499999999999998"/>
    <n v="4442"/>
    <n v="4664"/>
    <x v="0"/>
    <x v="0"/>
    <s v="LS8"/>
    <s v="HT"/>
    <s v="Není v databázi"/>
    <m/>
  </r>
  <r>
    <x v="37"/>
    <x v="25"/>
    <x v="2"/>
    <x v="0"/>
    <x v="0"/>
    <s v="WWGC 2025 - 18m"/>
    <s v="CZ"/>
    <n v="2025"/>
    <n v="1"/>
    <n v="3601"/>
    <n v="1.0499999999999998"/>
    <n v="10000"/>
    <n v="10500"/>
    <x v="0"/>
    <x v="1"/>
    <s v="JS3 RES"/>
    <s v="A7"/>
    <s v=""/>
    <m/>
  </r>
  <r>
    <x v="422"/>
    <x v="4"/>
    <x v="1"/>
    <x v="147"/>
    <x v="3"/>
    <s v="WWGC 2025 - 18m"/>
    <s v="CZ"/>
    <n v="2025"/>
    <n v="2"/>
    <n v="3324"/>
    <n v="1.0499999999999998"/>
    <n v="9162"/>
    <n v="9620"/>
    <x v="0"/>
    <x v="0"/>
    <s v="JS3 JET"/>
    <s v="2L"/>
    <s v="Není v databázi"/>
    <m/>
  </r>
  <r>
    <x v="53"/>
    <x v="34"/>
    <x v="2"/>
    <x v="2"/>
    <x v="0"/>
    <s v="WWGC 2025 - 18m"/>
    <s v="CZ"/>
    <n v="2025"/>
    <n v="3"/>
    <n v="3275"/>
    <n v="1.0499999999999998"/>
    <n v="8766"/>
    <n v="9204"/>
    <x v="0"/>
    <x v="1"/>
    <s v="AS33es"/>
    <s v="EA"/>
    <s v="Junior v roce 2026"/>
    <m/>
  </r>
  <r>
    <x v="1090"/>
    <x v="4"/>
    <x v="1"/>
    <x v="169"/>
    <x v="3"/>
    <s v="WWGC 2025 - 18m"/>
    <s v="CZ"/>
    <n v="2025"/>
    <n v="4"/>
    <n v="3251"/>
    <n v="1.0499999999999998"/>
    <n v="8420"/>
    <n v="8841"/>
    <x v="0"/>
    <x v="0"/>
    <s v="AS33es"/>
    <s v="EZ"/>
    <s v="Není v databázi"/>
    <m/>
  </r>
  <r>
    <x v="42"/>
    <x v="19"/>
    <x v="2"/>
    <x v="24"/>
    <x v="1"/>
    <s v="WWGC 2025 - 18m"/>
    <s v="CZ"/>
    <n v="2025"/>
    <n v="5"/>
    <n v="3224"/>
    <n v="1.0499999999999998"/>
    <n v="8067"/>
    <n v="8470"/>
    <x v="0"/>
    <x v="1"/>
    <s v="JS3 JET"/>
    <s v="XM"/>
    <s v=""/>
    <m/>
  </r>
  <r>
    <x v="51"/>
    <x v="16"/>
    <x v="2"/>
    <x v="24"/>
    <x v="1"/>
    <s v="WWGC 2025 - 18m"/>
    <s v="CZ"/>
    <n v="2025"/>
    <n v="6"/>
    <n v="3120"/>
    <n v="1.0499999999999998"/>
    <n v="7565"/>
    <n v="7943"/>
    <x v="0"/>
    <x v="1"/>
    <s v="JS3 JET"/>
    <s v="ZE"/>
    <s v=""/>
    <m/>
  </r>
  <r>
    <x v="437"/>
    <x v="4"/>
    <x v="1"/>
    <x v="148"/>
    <x v="3"/>
    <s v="WWGC 2025 - 18m"/>
    <s v="CZ"/>
    <n v="2025"/>
    <n v="7"/>
    <n v="2769"/>
    <n v="1.0499999999999998"/>
    <n v="6583"/>
    <n v="6912"/>
    <x v="0"/>
    <x v="0"/>
    <s v="ASG 29"/>
    <s v="LEO"/>
    <s v="Není v databázi"/>
    <m/>
  </r>
  <r>
    <x v="1091"/>
    <x v="4"/>
    <x v="1"/>
    <x v="148"/>
    <x v="3"/>
    <s v="WWGC 2025 - 18m"/>
    <s v="CZ"/>
    <n v="2025"/>
    <n v="8"/>
    <n v="2755"/>
    <n v="1.0499999999999998"/>
    <n v="6255"/>
    <n v="6568"/>
    <x v="0"/>
    <x v="0"/>
    <s v="ASG 29e"/>
    <s v="LY"/>
    <s v="Není v databázi"/>
    <m/>
  </r>
  <r>
    <x v="440"/>
    <x v="4"/>
    <x v="1"/>
    <x v="151"/>
    <x v="3"/>
    <s v="WWGC 2025 - 18m"/>
    <s v="CZ"/>
    <n v="2025"/>
    <n v="9"/>
    <n v="2632"/>
    <n v="1.0499999999999998"/>
    <n v="5716"/>
    <n v="6002"/>
    <x v="0"/>
    <x v="0"/>
    <s v="JS3 JET"/>
    <s v="J7"/>
    <s v="Není v databázi"/>
    <m/>
  </r>
  <r>
    <x v="436"/>
    <x v="4"/>
    <x v="1"/>
    <x v="151"/>
    <x v="3"/>
    <s v="WWGC 2025 - 18m"/>
    <s v="CZ"/>
    <n v="2025"/>
    <n v="10"/>
    <n v="2628"/>
    <n v="1.0499999999999998"/>
    <n v="5409"/>
    <n v="5679"/>
    <x v="0"/>
    <x v="0"/>
    <s v="ASG 29"/>
    <n v="0"/>
    <s v="Není v databázi"/>
    <m/>
  </r>
  <r>
    <x v="1092"/>
    <x v="4"/>
    <x v="1"/>
    <x v="148"/>
    <x v="3"/>
    <s v="WWGC 2025 - 18m"/>
    <s v="CZ"/>
    <n v="2025"/>
    <n v="11"/>
    <n v="1988"/>
    <n v="1.0499999999999998"/>
    <m/>
    <m/>
    <x v="0"/>
    <x v="0"/>
    <s v="ASG 29"/>
    <s v="J3"/>
    <s v="Není v databázi"/>
    <m/>
  </r>
  <r>
    <x v="255"/>
    <x v="45"/>
    <x v="0"/>
    <x v="19"/>
    <x v="1"/>
    <s v="HOP 2025 - Klub"/>
    <s v="CZ"/>
    <n v="2025"/>
    <n v="1"/>
    <n v="3469"/>
    <n v="0.755"/>
    <n v="10000"/>
    <n v="7550"/>
    <x v="1"/>
    <x v="0"/>
    <s v="VT-116"/>
    <n v="6446"/>
    <s v=""/>
    <m/>
  </r>
  <r>
    <x v="174"/>
    <x v="23"/>
    <x v="0"/>
    <x v="9"/>
    <x v="1"/>
    <s v="HOP 2025 - Klub"/>
    <s v="CZ"/>
    <n v="2025"/>
    <n v="2"/>
    <n v="3035"/>
    <n v="0.755"/>
    <n v="8974"/>
    <n v="6775"/>
    <x v="1"/>
    <x v="0"/>
    <s v="VT-116"/>
    <n v="6445"/>
    <s v=""/>
    <m/>
  </r>
  <r>
    <x v="1093"/>
    <x v="18"/>
    <x v="0"/>
    <x v="58"/>
    <x v="1"/>
    <s v="HOP 2025 - Klub"/>
    <s v="CZ"/>
    <n v="2025"/>
    <n v="3"/>
    <n v="2964"/>
    <n v="0.755"/>
    <n v="8681"/>
    <n v="6554"/>
    <x v="1"/>
    <x v="0"/>
    <s v="VT-116"/>
    <n v="4310"/>
    <s v=""/>
    <m/>
  </r>
  <r>
    <x v="1094"/>
    <x v="21"/>
    <x v="0"/>
    <x v="283"/>
    <x v="1"/>
    <s v="HOP 2025 - Klub"/>
    <s v="CZ"/>
    <n v="2025"/>
    <n v="4"/>
    <n v="2737"/>
    <n v="0.755"/>
    <n v="8073"/>
    <n v="6095"/>
    <x v="1"/>
    <x v="0"/>
    <s v="VT-16"/>
    <n v="2909"/>
    <s v=""/>
    <m/>
  </r>
  <r>
    <x v="1095"/>
    <x v="36"/>
    <x v="0"/>
    <x v="61"/>
    <x v="1"/>
    <s v="HOP 2025 - Klub"/>
    <s v="CZ"/>
    <n v="2025"/>
    <n v="5"/>
    <n v="2436"/>
    <n v="0.755"/>
    <n v="7316"/>
    <n v="5524"/>
    <x v="1"/>
    <x v="0"/>
    <s v="VT-116"/>
    <n v="6922"/>
    <s v=""/>
    <m/>
  </r>
  <r>
    <x v="1096"/>
    <x v="38"/>
    <x v="0"/>
    <x v="37"/>
    <x v="1"/>
    <s v="HOP 2025 - Klub"/>
    <s v="CZ"/>
    <n v="2025"/>
    <n v="6"/>
    <n v="2419"/>
    <n v="0.755"/>
    <n v="7131"/>
    <n v="5384"/>
    <x v="1"/>
    <x v="0"/>
    <s v="VT-116"/>
    <n v="8412"/>
    <s v=""/>
    <m/>
  </r>
  <r>
    <x v="1097"/>
    <x v="29"/>
    <x v="0"/>
    <x v="29"/>
    <x v="2"/>
    <s v="HOP 2025 - Klub"/>
    <s v="CZ"/>
    <n v="2025"/>
    <n v="7"/>
    <n v="2318"/>
    <n v="0.755"/>
    <n v="6777"/>
    <n v="5117"/>
    <x v="1"/>
    <x v="0"/>
    <s v="VT-116"/>
    <n v="8431"/>
    <s v=""/>
    <m/>
  </r>
  <r>
    <x v="1098"/>
    <x v="36"/>
    <x v="0"/>
    <x v="22"/>
    <x v="0"/>
    <s v="HOP 2025 - Klub"/>
    <s v="CZ"/>
    <n v="2025"/>
    <n v="8"/>
    <n v="2267"/>
    <n v="0.755"/>
    <n v="6525"/>
    <n v="4926"/>
    <x v="1"/>
    <x v="0"/>
    <s v="VT-16"/>
    <n v="2924"/>
    <s v=""/>
    <m/>
  </r>
  <r>
    <x v="1099"/>
    <x v="36"/>
    <x v="0"/>
    <x v="284"/>
    <x v="1"/>
    <s v="HOP 2025 - Klub"/>
    <s v="CZ"/>
    <n v="2025"/>
    <n v="9"/>
    <n v="2256"/>
    <n v="0.755"/>
    <n v="6352"/>
    <n v="4796"/>
    <x v="1"/>
    <x v="0"/>
    <s v="VT-116"/>
    <n v="6429"/>
    <s v=""/>
    <m/>
  </r>
  <r>
    <x v="752"/>
    <x v="6"/>
    <x v="2"/>
    <x v="28"/>
    <x v="2"/>
    <s v="HOP 2025 - Klub"/>
    <s v="CZ"/>
    <n v="2025"/>
    <n v="10"/>
    <n v="2217"/>
    <n v="0.755"/>
    <n v="6124"/>
    <n v="4624"/>
    <x v="1"/>
    <x v="1"/>
    <s v="VT-116"/>
    <n v="7445"/>
    <s v=""/>
    <m/>
  </r>
  <r>
    <x v="749"/>
    <x v="21"/>
    <x v="0"/>
    <x v="24"/>
    <x v="1"/>
    <s v="HOP 2025 - Klub"/>
    <s v="CZ"/>
    <n v="2025"/>
    <n v="11"/>
    <n v="2125"/>
    <n v="0.755"/>
    <n v="5788"/>
    <n v="4370"/>
    <x v="1"/>
    <x v="0"/>
    <s v="VT-116"/>
    <n v="8401"/>
    <s v=""/>
    <m/>
  </r>
  <r>
    <x v="171"/>
    <x v="53"/>
    <x v="0"/>
    <x v="53"/>
    <x v="1"/>
    <s v="HOP 2025 - Klub"/>
    <s v="CZ"/>
    <n v="2025"/>
    <n v="12"/>
    <n v="2064"/>
    <n v="0.755"/>
    <n v="5515"/>
    <n v="4164"/>
    <x v="0"/>
    <x v="0"/>
    <s v="VT-116"/>
    <n v="8425"/>
    <s v=""/>
    <m/>
  </r>
  <r>
    <x v="271"/>
    <x v="39"/>
    <x v="0"/>
    <x v="19"/>
    <x v="1"/>
    <s v="HOP 2025 - Klub"/>
    <s v="CZ"/>
    <n v="2025"/>
    <n v="13"/>
    <n v="1959"/>
    <n v="0.755"/>
    <n v="5153"/>
    <n v="3891"/>
    <x v="1"/>
    <x v="0"/>
    <s v="VT-116"/>
    <n v="6434"/>
    <s v=""/>
    <m/>
  </r>
  <r>
    <x v="715"/>
    <x v="51"/>
    <x v="0"/>
    <x v="61"/>
    <x v="1"/>
    <s v="HOP 2025 - Klub"/>
    <s v="CZ"/>
    <n v="2025"/>
    <n v="14"/>
    <n v="1782"/>
    <n v="0.755"/>
    <n v="4646"/>
    <n v="3508"/>
    <x v="1"/>
    <x v="0"/>
    <s v="VT-116"/>
    <n v="7402"/>
    <s v="Junior v roce 2026"/>
    <m/>
  </r>
  <r>
    <x v="1100"/>
    <x v="6"/>
    <x v="0"/>
    <x v="284"/>
    <x v="1"/>
    <s v="HOP 2025 - Klub"/>
    <s v="CZ"/>
    <n v="2025"/>
    <n v="15"/>
    <n v="1738"/>
    <n v="0.755"/>
    <n v="4407"/>
    <n v="3327"/>
    <x v="1"/>
    <x v="0"/>
    <s v="M-35"/>
    <n v="2901"/>
    <s v=""/>
    <m/>
  </r>
  <r>
    <x v="1101"/>
    <x v="27"/>
    <x v="0"/>
    <x v="8"/>
    <x v="2"/>
    <s v="HOP 2025 - Klub"/>
    <s v="CZ"/>
    <n v="2025"/>
    <n v="16"/>
    <n v="1721"/>
    <n v="0.755"/>
    <n v="4223"/>
    <n v="3188"/>
    <x v="1"/>
    <x v="0"/>
    <s v="VT-116"/>
    <n v="4321"/>
    <s v=""/>
    <m/>
  </r>
  <r>
    <x v="1102"/>
    <x v="21"/>
    <x v="0"/>
    <x v="8"/>
    <x v="2"/>
    <s v="HOP 2025 - Klub"/>
    <s v="CZ"/>
    <n v="2025"/>
    <n v="17"/>
    <n v="1708"/>
    <n v="0.755"/>
    <n v="4047"/>
    <n v="3055"/>
    <x v="1"/>
    <x v="0"/>
    <s v="VT-116"/>
    <n v="4307"/>
    <s v=""/>
    <m/>
  </r>
  <r>
    <x v="1103"/>
    <x v="13"/>
    <x v="0"/>
    <x v="10"/>
    <x v="0"/>
    <s v="HOP 2025 - Klub"/>
    <s v="CZ"/>
    <n v="2025"/>
    <n v="18"/>
    <n v="1601"/>
    <n v="0.755"/>
    <n v="3681"/>
    <n v="2779"/>
    <x v="1"/>
    <x v="0"/>
    <s v="VT-116"/>
    <n v="8430"/>
    <s v=""/>
    <m/>
  </r>
  <r>
    <x v="751"/>
    <x v="0"/>
    <x v="2"/>
    <x v="24"/>
    <x v="1"/>
    <s v="HOP 2025 - Klub"/>
    <s v="CZ"/>
    <n v="2025"/>
    <n v="19"/>
    <n v="1440"/>
    <n v="0.755"/>
    <n v="3206"/>
    <n v="2421"/>
    <x v="1"/>
    <x v="1"/>
    <s v="VT-116"/>
    <n v="7425"/>
    <s v=""/>
    <m/>
  </r>
  <r>
    <x v="101"/>
    <x v="18"/>
    <x v="0"/>
    <x v="28"/>
    <x v="2"/>
    <s v="HOP 2025 - Klub"/>
    <s v="CZ"/>
    <n v="2025"/>
    <n v="20"/>
    <n v="1244"/>
    <n v="0.755"/>
    <n v="2660"/>
    <n v="2008"/>
    <x v="0"/>
    <x v="0"/>
    <s v="VT-116"/>
    <n v="8436"/>
    <s v=""/>
    <m/>
  </r>
  <r>
    <x v="1104"/>
    <x v="27"/>
    <x v="0"/>
    <x v="284"/>
    <x v="1"/>
    <s v="HOP 2025 - Klub"/>
    <s v="CZ"/>
    <n v="2025"/>
    <n v="21"/>
    <n v="857"/>
    <n v="0.755"/>
    <n v="1729"/>
    <n v="1305"/>
    <x v="1"/>
    <x v="0"/>
    <s v="VT-16"/>
    <n v="2412"/>
    <s v=""/>
    <m/>
  </r>
  <r>
    <x v="338"/>
    <x v="61"/>
    <x v="0"/>
    <x v="58"/>
    <x v="1"/>
    <s v="HOP 2025 - Kombi"/>
    <s v="CZ"/>
    <n v="2025"/>
    <n v="1"/>
    <n v="3687"/>
    <n v="0.755"/>
    <n v="10000"/>
    <n v="7550"/>
    <x v="0"/>
    <x v="0"/>
    <s v="HpH 304 TS Twin Shark MS(bez vody)"/>
    <s v="FNC"/>
    <s v=""/>
    <m/>
  </r>
  <r>
    <x v="1105"/>
    <x v="4"/>
    <x v="1"/>
    <x v="285"/>
    <x v="3"/>
    <s v="HOP 2025 - Kombi"/>
    <s v="CZ"/>
    <n v="2025"/>
    <n v="2"/>
    <n v="3608"/>
    <n v="0.755"/>
    <n v="9619"/>
    <n v="7262"/>
    <x v="0"/>
    <x v="0"/>
    <s v="ASW 22/24 m (bez vody)"/>
    <s v="IGJ"/>
    <s v="Není v databázi"/>
    <m/>
  </r>
  <r>
    <x v="74"/>
    <x v="36"/>
    <x v="0"/>
    <x v="18"/>
    <x v="2"/>
    <s v="HOP 2025 - Kombi"/>
    <s v="CZ"/>
    <n v="2025"/>
    <n v="3"/>
    <n v="3373"/>
    <n v="0.755"/>
    <n v="8942"/>
    <n v="6751"/>
    <x v="1"/>
    <x v="0"/>
    <s v="ASG 29 E 18m (bez vody)"/>
    <s v="SNeK"/>
    <s v=""/>
    <m/>
  </r>
  <r>
    <x v="219"/>
    <x v="6"/>
    <x v="0"/>
    <x v="61"/>
    <x v="1"/>
    <s v="HOP 2025 - Kombi"/>
    <s v="CZ"/>
    <n v="2025"/>
    <n v="4"/>
    <n v="2819"/>
    <n v="0.755"/>
    <n v="7660"/>
    <n v="5783"/>
    <x v="0"/>
    <x v="0"/>
    <s v="Nimbus 4DM (bez vody)"/>
    <n v="7"/>
    <s v=""/>
    <m/>
  </r>
  <r>
    <x v="1106"/>
    <x v="28"/>
    <x v="0"/>
    <x v="61"/>
    <x v="1"/>
    <s v="HOP 2025 - Kombi"/>
    <s v="CZ"/>
    <n v="2025"/>
    <n v="5"/>
    <n v="2818"/>
    <n v="0.755"/>
    <n v="7427"/>
    <n v="5607"/>
    <x v="1"/>
    <x v="0"/>
    <s v="Ventus c 17,6 (bez vody)"/>
    <s v="JN"/>
    <s v=""/>
    <m/>
  </r>
  <r>
    <x v="1107"/>
    <x v="21"/>
    <x v="0"/>
    <x v="61"/>
    <x v="1"/>
    <s v="HOP 2025 - Kombi"/>
    <s v="CZ"/>
    <n v="2025"/>
    <n v="6"/>
    <n v="2727"/>
    <n v="0.755"/>
    <n v="7024"/>
    <n v="5303"/>
    <x v="1"/>
    <x v="0"/>
    <s v="Nimbus 2 b WL (bez vody)"/>
    <s v="VK"/>
    <s v=""/>
    <m/>
  </r>
  <r>
    <x v="1108"/>
    <x v="16"/>
    <x v="0"/>
    <x v="58"/>
    <x v="1"/>
    <s v="HOP 2025 - Kombi"/>
    <s v="CZ"/>
    <n v="2025"/>
    <n v="7"/>
    <n v="2704"/>
    <n v="0.755"/>
    <n v="6749"/>
    <n v="5095"/>
    <x v="1"/>
    <x v="0"/>
    <s v="Arcus M (bez vody)"/>
    <s v="AR"/>
    <s v=""/>
    <m/>
  </r>
  <r>
    <x v="1109"/>
    <x v="0"/>
    <x v="0"/>
    <x v="216"/>
    <x v="1"/>
    <s v="HOP 2025 - Kombi"/>
    <s v="CZ"/>
    <n v="2025"/>
    <n v="8"/>
    <n v="2654"/>
    <n v="0.755"/>
    <n v="6423"/>
    <n v="4849"/>
    <x v="1"/>
    <x v="0"/>
    <s v="ASW 15 B (bez vody)"/>
    <s v="XE"/>
    <s v=""/>
    <m/>
  </r>
  <r>
    <x v="1110"/>
    <x v="27"/>
    <x v="0"/>
    <x v="216"/>
    <x v="1"/>
    <s v="HOP 2025 - Kombi"/>
    <s v="CZ"/>
    <n v="2025"/>
    <n v="9"/>
    <n v="2456"/>
    <n v="0.755"/>
    <n v="5817"/>
    <n v="4392"/>
    <x v="1"/>
    <x v="0"/>
    <s v="Mosquito b (bez vody)"/>
    <s v="PF"/>
    <s v=""/>
    <m/>
  </r>
  <r>
    <x v="197"/>
    <x v="53"/>
    <x v="0"/>
    <x v="58"/>
    <x v="1"/>
    <s v="HOP 2025 - Kombi"/>
    <s v="CZ"/>
    <n v="2025"/>
    <n v="10"/>
    <n v="2380"/>
    <n v="0.755"/>
    <n v="5442"/>
    <n v="4109"/>
    <x v="1"/>
    <x v="0"/>
    <s v="Nimbus 2 WL (bez vody)"/>
    <s v="PM"/>
    <s v=""/>
    <m/>
  </r>
  <r>
    <x v="146"/>
    <x v="17"/>
    <x v="0"/>
    <x v="44"/>
    <x v="1"/>
    <s v="HOP 2025 - Kombi"/>
    <s v="CZ"/>
    <n v="2025"/>
    <n v="11"/>
    <n v="2104"/>
    <n v="0.755"/>
    <n v="4687"/>
    <n v="3539"/>
    <x v="0"/>
    <x v="0"/>
    <s v="Janus 18.2m (bez vody)"/>
    <s v="V1"/>
    <s v=""/>
    <m/>
  </r>
  <r>
    <x v="1111"/>
    <x v="4"/>
    <x v="1"/>
    <x v="285"/>
    <x v="3"/>
    <s v="HOP 2025 - Kombi"/>
    <s v="CZ"/>
    <n v="2025"/>
    <n v="12"/>
    <n v="1331"/>
    <n v="0.755"/>
    <n v="2989"/>
    <n v="2257"/>
    <x v="0"/>
    <x v="0"/>
    <s v="Janus 18.2m (bez vody)"/>
    <s v="GJ"/>
    <s v="Není v databázi"/>
    <m/>
  </r>
  <r>
    <x v="1112"/>
    <x v="32"/>
    <x v="0"/>
    <x v="31"/>
    <x v="0"/>
    <s v="HOP 2025 - Kombi"/>
    <s v="CZ"/>
    <n v="2025"/>
    <n v="13"/>
    <n v="1167"/>
    <n v="0.755"/>
    <n v="2446"/>
    <n v="1847"/>
    <x v="1"/>
    <x v="0"/>
    <s v="ASW 15 B (bez vody)"/>
    <s v="LT2"/>
    <s v=""/>
    <m/>
  </r>
  <r>
    <x v="1113"/>
    <x v="27"/>
    <x v="0"/>
    <x v="216"/>
    <x v="1"/>
    <s v="HOP 2025 - Kombi"/>
    <s v="CZ"/>
    <n v="2025"/>
    <n v="14"/>
    <n v="502"/>
    <n v="0.755"/>
    <n v="953"/>
    <n v="720"/>
    <x v="1"/>
    <x v="0"/>
    <s v="Ventus C 17,6 (bez vody)"/>
    <s v="MC"/>
    <s v=""/>
    <m/>
  </r>
  <r>
    <x v="124"/>
    <x v="30"/>
    <x v="0"/>
    <x v="21"/>
    <x v="0"/>
    <s v="GGP MB 2025 - Klub GP"/>
    <s v="CZ"/>
    <n v="2025"/>
    <n v="1"/>
    <n v="44"/>
    <n v="0.755"/>
    <n v="10000"/>
    <n v="7550"/>
    <x v="1"/>
    <x v="0"/>
    <s v="ASW 19"/>
    <s v="XS"/>
    <s v=""/>
    <m/>
  </r>
  <r>
    <x v="178"/>
    <x v="50"/>
    <x v="0"/>
    <x v="42"/>
    <x v="0"/>
    <s v="GGP MB 2025 - Klub GP"/>
    <s v="CZ"/>
    <n v="2025"/>
    <n v="2"/>
    <n v="27"/>
    <n v="0.755"/>
    <n v="9231"/>
    <n v="6969"/>
    <x v="0"/>
    <x v="0"/>
    <s v="Std. Cirrus"/>
    <s v="TI"/>
    <s v="Junior v roce 2026"/>
    <m/>
  </r>
  <r>
    <x v="237"/>
    <x v="24"/>
    <x v="2"/>
    <x v="42"/>
    <x v="0"/>
    <s v="GGP MB 2025 - Klub GP"/>
    <s v="CZ"/>
    <n v="2025"/>
    <n v="3"/>
    <n v="21"/>
    <n v="0.755"/>
    <n v="8462"/>
    <n v="6389"/>
    <x v="1"/>
    <x v="0"/>
    <s v="Std. Cirrus"/>
    <s v="KAC"/>
    <s v=""/>
    <m/>
  </r>
  <r>
    <x v="161"/>
    <x v="51"/>
    <x v="2"/>
    <x v="41"/>
    <x v="0"/>
    <s v="GGP MB 2025 - Klub GP"/>
    <s v="CZ"/>
    <n v="2025"/>
    <n v="4"/>
    <n v="18"/>
    <n v="0.755"/>
    <n v="7692"/>
    <n v="5807"/>
    <x v="0"/>
    <x v="0"/>
    <s v="DG 101 G"/>
    <s v="JL"/>
    <s v="Junior v roce 2026"/>
    <m/>
  </r>
  <r>
    <x v="170"/>
    <x v="51"/>
    <x v="0"/>
    <x v="31"/>
    <x v="0"/>
    <s v="GGP MB 2025 - Klub GP"/>
    <s v="CZ"/>
    <n v="2025"/>
    <n v="4"/>
    <n v="18"/>
    <n v="0.755"/>
    <n v="7692"/>
    <n v="5807"/>
    <x v="1"/>
    <x v="0"/>
    <s v="Std. Cirrus"/>
    <n v="57"/>
    <s v="Junior v roce 2026"/>
    <m/>
  </r>
  <r>
    <x v="155"/>
    <x v="49"/>
    <x v="0"/>
    <x v="25"/>
    <x v="1"/>
    <s v="GGP MB 2025 - Klub GP"/>
    <s v="CZ"/>
    <n v="2025"/>
    <n v="6"/>
    <n v="16"/>
    <n v="0.755"/>
    <n v="6154"/>
    <n v="4646"/>
    <x v="1"/>
    <x v="0"/>
    <s v="ASW 19 B"/>
    <s v="XP"/>
    <s v=""/>
    <m/>
  </r>
  <r>
    <x v="770"/>
    <x v="28"/>
    <x v="0"/>
    <x v="42"/>
    <x v="0"/>
    <s v="GGP MB 2025 - Klub GP"/>
    <s v="CZ"/>
    <n v="2025"/>
    <n v="6"/>
    <n v="16"/>
    <n v="0.755"/>
    <n v="6154"/>
    <n v="4646"/>
    <x v="1"/>
    <x v="0"/>
    <s v="Std. Cirrus"/>
    <s v="IT"/>
    <s v=""/>
    <m/>
  </r>
  <r>
    <x v="831"/>
    <x v="8"/>
    <x v="0"/>
    <x v="21"/>
    <x v="0"/>
    <s v="GGP MB 2025 - Klub GP"/>
    <s v="CZ"/>
    <n v="2025"/>
    <n v="8"/>
    <n v="11"/>
    <n v="0.755"/>
    <n v="4615"/>
    <n v="3484"/>
    <x v="1"/>
    <x v="0"/>
    <s v="Std. Cirrus"/>
    <s v="BW"/>
    <s v=""/>
    <m/>
  </r>
  <r>
    <x v="1114"/>
    <x v="30"/>
    <x v="0"/>
    <x v="21"/>
    <x v="0"/>
    <s v="GGP MB 2025 - Klub GP"/>
    <s v="CZ"/>
    <n v="2025"/>
    <n v="9"/>
    <n v="6"/>
    <n v="0.755"/>
    <n v="3846"/>
    <n v="2904"/>
    <x v="1"/>
    <x v="0"/>
    <s v="Std. Cirrus"/>
    <s v="WI"/>
    <s v=""/>
    <m/>
  </r>
  <r>
    <x v="274"/>
    <x v="0"/>
    <x v="0"/>
    <x v="14"/>
    <x v="0"/>
    <s v="GGP MB 2025 - Klub GP"/>
    <s v="CZ"/>
    <n v="2025"/>
    <n v="10"/>
    <n v="2"/>
    <n v="0.755"/>
    <n v="3077"/>
    <n v="2323"/>
    <x v="1"/>
    <x v="0"/>
    <s v="ASW 19 B"/>
    <s v="NO"/>
    <s v=""/>
    <m/>
  </r>
  <r>
    <x v="1115"/>
    <x v="11"/>
    <x v="0"/>
    <x v="13"/>
    <x v="1"/>
    <s v="GGP MB 2025 - Klub GP"/>
    <s v="CZ"/>
    <n v="2025"/>
    <n v="11"/>
    <n v="1"/>
    <n v="0.755"/>
    <n v="2308"/>
    <n v="1743"/>
    <x v="1"/>
    <x v="0"/>
    <s v="Std. Cirrus"/>
    <s v="G0"/>
    <s v=""/>
    <m/>
  </r>
  <r>
    <x v="832"/>
    <x v="28"/>
    <x v="0"/>
    <x v="21"/>
    <x v="0"/>
    <s v="GGP MB 2025 - Klub GP"/>
    <s v="CZ"/>
    <n v="2025"/>
    <n v="11"/>
    <n v="1"/>
    <n v="0.755"/>
    <n v="2308"/>
    <n v="1743"/>
    <x v="1"/>
    <x v="0"/>
    <s v="ASW 15 B"/>
    <s v="MB"/>
    <s v=""/>
    <m/>
  </r>
  <r>
    <x v="1075"/>
    <x v="51"/>
    <x v="0"/>
    <x v="0"/>
    <x v="0"/>
    <s v="GGP MB 2025 - Klub GP"/>
    <s v="CZ"/>
    <n v="2025"/>
    <n v="11"/>
    <n v="1"/>
    <n v="0.755"/>
    <n v="2308"/>
    <n v="1743"/>
    <x v="1"/>
    <x v="0"/>
    <s v="ASW 15 B"/>
    <s v="WL"/>
    <s v="Junior v roce 2026"/>
    <m/>
  </r>
  <r>
    <x v="1062"/>
    <x v="37"/>
    <x v="0"/>
    <x v="66"/>
    <x v="1"/>
    <s v="GGP MB 2025 - Klub GP"/>
    <s v="CZ"/>
    <n v="2025"/>
    <n v="14"/>
    <n v="0"/>
    <n v="0.755"/>
    <n v="0"/>
    <n v="0"/>
    <x v="0"/>
    <x v="0"/>
    <s v="Std. Cirrus"/>
    <s v="2X"/>
    <s v=""/>
    <m/>
  </r>
  <r>
    <x v="1116"/>
    <x v="51"/>
    <x v="0"/>
    <x v="32"/>
    <x v="2"/>
    <s v="GGP MB 2025 - Klub GP"/>
    <s v="CZ"/>
    <n v="2025"/>
    <n v="14"/>
    <n v="0"/>
    <n v="0.755"/>
    <n v="0"/>
    <n v="0"/>
    <x v="0"/>
    <x v="0"/>
    <s v="G 102 Astir CS"/>
    <s v="O5"/>
    <s v="Junior v roce 2026"/>
    <m/>
  </r>
  <r>
    <x v="38"/>
    <x v="26"/>
    <x v="0"/>
    <x v="21"/>
    <x v="0"/>
    <s v="GGP MB 2025 - Pohár MV - Kombi"/>
    <s v="CZ"/>
    <n v="2025"/>
    <n v="1"/>
    <n v="3547"/>
    <n v="0.755"/>
    <n v="10000"/>
    <n v="7550"/>
    <x v="0"/>
    <x v="0"/>
    <s v="JS1C 21m"/>
    <s v="JX"/>
    <s v=""/>
    <m/>
  </r>
  <r>
    <x v="42"/>
    <x v="19"/>
    <x v="2"/>
    <x v="24"/>
    <x v="1"/>
    <s v="GGP MB 2025 - Pohár MV - Kombi"/>
    <s v="CZ"/>
    <n v="2025"/>
    <n v="2"/>
    <n v="3435"/>
    <n v="0.755"/>
    <n v="9446"/>
    <n v="7132"/>
    <x v="0"/>
    <x v="0"/>
    <s v="JS3 18m"/>
    <s v="XM"/>
    <s v=""/>
    <m/>
  </r>
  <r>
    <x v="43"/>
    <x v="8"/>
    <x v="0"/>
    <x v="25"/>
    <x v="1"/>
    <s v="GGP MB 2025 - Pohár MV - Kombi"/>
    <s v="CZ"/>
    <n v="2025"/>
    <n v="3"/>
    <n v="2702"/>
    <n v="0.755"/>
    <n v="7666"/>
    <n v="5788"/>
    <x v="0"/>
    <x v="0"/>
    <s v="DG 500M 22m"/>
    <s v="YA"/>
    <s v=""/>
    <m/>
  </r>
  <r>
    <x v="682"/>
    <x v="24"/>
    <x v="0"/>
    <x v="25"/>
    <x v="1"/>
    <s v="GGP MB 2025 - Pohár MV - Kombi"/>
    <s v="CZ"/>
    <n v="2025"/>
    <n v="4"/>
    <n v="2610"/>
    <n v="0.755"/>
    <n v="7151"/>
    <n v="5399"/>
    <x v="1"/>
    <x v="0"/>
    <s v="ASG 29 18m"/>
    <s v="XZ"/>
    <s v=""/>
    <m/>
  </r>
  <r>
    <x v="243"/>
    <x v="31"/>
    <x v="0"/>
    <x v="21"/>
    <x v="0"/>
    <s v="GGP MB 2025 - Pohár MV - Kombi"/>
    <s v="CZ"/>
    <n v="2025"/>
    <n v="5"/>
    <n v="2528"/>
    <n v="0.755"/>
    <n v="6656"/>
    <n v="5025"/>
    <x v="1"/>
    <x v="0"/>
    <s v="Duo Discus 700kg"/>
    <n v="777"/>
    <s v=""/>
    <m/>
  </r>
  <r>
    <x v="239"/>
    <x v="9"/>
    <x v="0"/>
    <x v="13"/>
    <x v="1"/>
    <s v="GGP MB 2025 - Pohár MV - Kombi"/>
    <s v="CZ"/>
    <n v="2025"/>
    <n v="6"/>
    <n v="2445"/>
    <n v="0.755"/>
    <n v="6159"/>
    <n v="4650"/>
    <x v="1"/>
    <x v="0"/>
    <s v="Ventus c 17,6m"/>
    <s v="WP"/>
    <s v=""/>
    <m/>
  </r>
  <r>
    <x v="10"/>
    <x v="8"/>
    <x v="0"/>
    <x v="10"/>
    <x v="0"/>
    <s v="GGP MB 2025 - Pohár MV - Kombi"/>
    <s v="CZ"/>
    <n v="2025"/>
    <n v="7"/>
    <n v="2436"/>
    <n v="0.755"/>
    <n v="5807"/>
    <n v="4384"/>
    <x v="0"/>
    <x v="0"/>
    <s v="HpH 304 TS Twin Shark"/>
    <s v="B2"/>
    <s v=""/>
    <m/>
  </r>
  <r>
    <x v="175"/>
    <x v="6"/>
    <x v="0"/>
    <x v="53"/>
    <x v="1"/>
    <s v="GGP MB 2025 - Pohár MV - Kombi"/>
    <s v="CZ"/>
    <n v="2025"/>
    <n v="8"/>
    <n v="2242"/>
    <n v="0.755"/>
    <n v="5091"/>
    <n v="3844"/>
    <x v="0"/>
    <x v="0"/>
    <s v="KKB 18 Fes"/>
    <s v="AC"/>
    <s v=""/>
    <m/>
  </r>
  <r>
    <x v="54"/>
    <x v="2"/>
    <x v="2"/>
    <x v="21"/>
    <x v="0"/>
    <s v="GGP MB 2025 - Pohár MV - Kombi"/>
    <s v="CZ"/>
    <n v="2025"/>
    <n v="9"/>
    <n v="2142"/>
    <n v="0.755"/>
    <n v="4561"/>
    <n v="3444"/>
    <x v="0"/>
    <x v="0"/>
    <s v="LS 8 18m"/>
    <s v="ID"/>
    <s v=""/>
    <m/>
  </r>
  <r>
    <x v="835"/>
    <x v="36"/>
    <x v="0"/>
    <x v="32"/>
    <x v="2"/>
    <s v="GGP MB 2025 - Pohár MV - Kombi"/>
    <s v="CZ"/>
    <n v="2025"/>
    <n v="10"/>
    <n v="1519"/>
    <n v="0.755"/>
    <n v="2998"/>
    <n v="2263"/>
    <x v="1"/>
    <x v="0"/>
    <s v="HpH 304 TS Twin Shark"/>
    <s v="KEG"/>
    <s v=""/>
    <m/>
  </r>
  <r>
    <x v="743"/>
    <x v="45"/>
    <x v="0"/>
    <x v="24"/>
    <x v="1"/>
    <s v="Ulf Memorial 2025 - Klub"/>
    <s v="CZ"/>
    <n v="2025"/>
    <n v="1"/>
    <n v="1217"/>
    <n v="0.75"/>
    <n v="10000"/>
    <n v="7500"/>
    <x v="1"/>
    <x v="0"/>
    <s v="ASK 13"/>
    <n v="13"/>
    <s v=""/>
    <m/>
  </r>
  <r>
    <x v="1104"/>
    <x v="27"/>
    <x v="0"/>
    <x v="284"/>
    <x v="1"/>
    <s v="Ulf Memorial 2025 - Klub"/>
    <s v="CZ"/>
    <n v="2025"/>
    <n v="2"/>
    <n v="1055"/>
    <n v="0.75"/>
    <n v="8768"/>
    <n v="6576"/>
    <x v="1"/>
    <x v="0"/>
    <s v="Bergfalke IV"/>
    <s v="R2"/>
    <s v=""/>
    <m/>
  </r>
  <r>
    <x v="1117"/>
    <x v="14"/>
    <x v="0"/>
    <x v="24"/>
    <x v="1"/>
    <s v="Ulf Memorial 2025 - Klub"/>
    <s v="CZ"/>
    <n v="2025"/>
    <n v="3"/>
    <n v="909"/>
    <n v="0.75"/>
    <n v="7628"/>
    <n v="5721"/>
    <x v="1"/>
    <x v="0"/>
    <s v="Ka 6"/>
    <s v="Y7"/>
    <s v=""/>
    <m/>
  </r>
  <r>
    <x v="1098"/>
    <x v="36"/>
    <x v="0"/>
    <x v="22"/>
    <x v="0"/>
    <s v="Ulf Memorial 2025 - Klub"/>
    <s v="CZ"/>
    <n v="2025"/>
    <n v="4"/>
    <n v="692"/>
    <n v="0.75"/>
    <n v="6080"/>
    <n v="4560"/>
    <x v="1"/>
    <x v="0"/>
    <s v="VT-125 Sohaj"/>
    <n v="68"/>
    <s v=""/>
    <m/>
  </r>
  <r>
    <x v="752"/>
    <x v="6"/>
    <x v="2"/>
    <x v="28"/>
    <x v="2"/>
    <s v="Ulf Memorial 2025 - Klub"/>
    <s v="CZ"/>
    <n v="2025"/>
    <n v="5"/>
    <n v="664"/>
    <n v="0.75"/>
    <n v="5619"/>
    <n v="4214"/>
    <x v="1"/>
    <x v="1"/>
    <s v="Ka 6"/>
    <n v="22"/>
    <s v=""/>
    <m/>
  </r>
  <r>
    <x v="749"/>
    <x v="21"/>
    <x v="0"/>
    <x v="24"/>
    <x v="1"/>
    <s v="Ulf Memorial 2025 - Klub"/>
    <s v="CZ"/>
    <n v="2025"/>
    <n v="6"/>
    <n v="632"/>
    <n v="0.75"/>
    <n v="5135"/>
    <n v="3851"/>
    <x v="1"/>
    <x v="0"/>
    <s v="VT-425 Sohaj"/>
    <n v="99"/>
    <s v=""/>
    <m/>
  </r>
  <r>
    <x v="1118"/>
    <x v="6"/>
    <x v="0"/>
    <x v="8"/>
    <x v="2"/>
    <s v="Ulf Memorial 2025 - Klub"/>
    <s v="CZ"/>
    <n v="2025"/>
    <n v="6"/>
    <n v="632"/>
    <n v="0.75"/>
    <n v="5135"/>
    <n v="3851"/>
    <x v="1"/>
    <x v="0"/>
    <s v="Ka 6 E"/>
    <s v="2W"/>
    <s v=""/>
    <m/>
  </r>
  <r>
    <x v="1119"/>
    <x v="57"/>
    <x v="0"/>
    <x v="24"/>
    <x v="1"/>
    <s v="Ulf Memorial 2025 - Klub"/>
    <s v="CZ"/>
    <n v="2025"/>
    <n v="8"/>
    <n v="600"/>
    <n v="0.75"/>
    <n v="4351"/>
    <n v="3263"/>
    <x v="1"/>
    <x v="0"/>
    <s v="K 8"/>
    <n v="78"/>
    <s v=""/>
    <m/>
  </r>
  <r>
    <x v="1120"/>
    <x v="43"/>
    <x v="0"/>
    <x v="62"/>
    <x v="1"/>
    <s v="Ulf Memorial 2025 - Klub"/>
    <s v="CZ"/>
    <n v="2025"/>
    <n v="9"/>
    <n v="358"/>
    <n v="0.75"/>
    <n v="2659"/>
    <n v="1994"/>
    <x v="1"/>
    <x v="0"/>
    <s v="VT-125 Sohaj"/>
    <n v="37"/>
    <s v=""/>
    <m/>
  </r>
  <r>
    <x v="1121"/>
    <x v="37"/>
    <x v="0"/>
    <x v="8"/>
    <x v="2"/>
    <s v="Ulf Memorial 2025 - Klub"/>
    <s v="CZ"/>
    <n v="2025"/>
    <n v="10"/>
    <n v="241"/>
    <n v="0.75"/>
    <n v="1686"/>
    <n v="1265"/>
    <x v="1"/>
    <x v="0"/>
    <s v="VT-425 Sohaj"/>
    <n v="77"/>
    <s v=""/>
    <m/>
  </r>
  <r>
    <x v="1122"/>
    <x v="22"/>
    <x v="0"/>
    <x v="24"/>
    <x v="1"/>
    <s v="Ulf Memorial 2025 - Klub"/>
    <s v="CZ"/>
    <n v="2025"/>
    <n v="11"/>
    <n v="228"/>
    <n v="0.75"/>
    <n v="1311"/>
    <n v="983"/>
    <x v="1"/>
    <x v="0"/>
    <s v="LG-130 Kmotr"/>
    <s v="K"/>
    <s v=""/>
    <m/>
  </r>
  <r>
    <x v="590"/>
    <x v="4"/>
    <x v="1"/>
    <x v="55"/>
    <x v="3"/>
    <s v="FCC 2025 - Klub"/>
    <s v="SK"/>
    <n v="2025"/>
    <n v="1"/>
    <n v="6380"/>
    <n v="0.94000000000000006"/>
    <n v="10000"/>
    <n v="9400"/>
    <x v="0"/>
    <x v="0"/>
    <s v="LS 7 neo"/>
    <s v="LK"/>
    <s v="Není v databázi"/>
    <m/>
  </r>
  <r>
    <x v="338"/>
    <x v="61"/>
    <x v="0"/>
    <x v="58"/>
    <x v="1"/>
    <s v="FCC 2025 - Klub"/>
    <s v="SK"/>
    <n v="2025"/>
    <n v="2"/>
    <n v="6354"/>
    <n v="0.94000000000000006"/>
    <n v="9881"/>
    <n v="9288"/>
    <x v="1"/>
    <x v="0"/>
    <s v="ASW 20l"/>
    <s v="JK"/>
    <s v=""/>
    <m/>
  </r>
  <r>
    <x v="147"/>
    <x v="4"/>
    <x v="1"/>
    <x v="55"/>
    <x v="3"/>
    <s v="FCC 2025 - Klub"/>
    <s v="SK"/>
    <n v="2025"/>
    <n v="3"/>
    <n v="6243"/>
    <n v="0.94000000000000006"/>
    <n v="9668"/>
    <n v="9088"/>
    <x v="0"/>
    <x v="0"/>
    <s v="LS7 NEO"/>
    <s v="AG"/>
    <s v="Není v databázi"/>
    <m/>
  </r>
  <r>
    <x v="841"/>
    <x v="4"/>
    <x v="1"/>
    <x v="55"/>
    <x v="3"/>
    <s v="FCC 2025 - Klub"/>
    <s v="SK"/>
    <n v="2025"/>
    <n v="4"/>
    <n v="6007"/>
    <n v="0.94000000000000006"/>
    <n v="9318"/>
    <n v="8759"/>
    <x v="0"/>
    <x v="0"/>
    <s v="LS 7 wl"/>
    <s v="FLO"/>
    <s v="Není v databázi"/>
    <m/>
  </r>
  <r>
    <x v="294"/>
    <x v="4"/>
    <x v="1"/>
    <x v="55"/>
    <x v="3"/>
    <s v="FCC 2025 - Klub"/>
    <s v="SK"/>
    <n v="2025"/>
    <n v="5"/>
    <n v="5991"/>
    <n v="0.94000000000000006"/>
    <n v="9210"/>
    <n v="8657"/>
    <x v="0"/>
    <x v="0"/>
    <s v="LS 3 wl"/>
    <s v="XW"/>
    <s v="Není v databázi"/>
    <m/>
  </r>
  <r>
    <x v="1123"/>
    <x v="4"/>
    <x v="1"/>
    <x v="55"/>
    <x v="3"/>
    <s v="FCC 2025 - Klub"/>
    <s v="SK"/>
    <n v="2025"/>
    <n v="6"/>
    <n v="5862"/>
    <n v="0.94000000000000006"/>
    <n v="8977"/>
    <n v="8438"/>
    <x v="0"/>
    <x v="0"/>
    <s v="Mosquito 303"/>
    <n v="33"/>
    <s v="Není v databázi"/>
    <m/>
  </r>
  <r>
    <x v="1124"/>
    <x v="4"/>
    <x v="1"/>
    <x v="55"/>
    <x v="3"/>
    <s v="FCC 2025 - Klub"/>
    <s v="SK"/>
    <n v="2025"/>
    <n v="7"/>
    <n v="5861"/>
    <n v="0.94000000000000006"/>
    <n v="8885"/>
    <n v="8352"/>
    <x v="0"/>
    <x v="0"/>
    <s v="LS3"/>
    <n v="16"/>
    <s v="Není v databázi"/>
    <m/>
  </r>
  <r>
    <x v="7"/>
    <x v="6"/>
    <x v="0"/>
    <x v="7"/>
    <x v="2"/>
    <s v="FCC 2025 - Klub"/>
    <s v="SK"/>
    <n v="2025"/>
    <n v="8"/>
    <n v="5832"/>
    <n v="0.94000000000000006"/>
    <n v="8762"/>
    <n v="8236"/>
    <x v="0"/>
    <x v="0"/>
    <s v="ASW 20 a"/>
    <s v="LL"/>
    <s v=""/>
    <m/>
  </r>
  <r>
    <x v="302"/>
    <x v="4"/>
    <x v="1"/>
    <x v="55"/>
    <x v="3"/>
    <s v="FCC 2025 - Klub"/>
    <s v="SK"/>
    <n v="2025"/>
    <n v="9"/>
    <n v="5749"/>
    <n v="0.94000000000000006"/>
    <n v="8580"/>
    <n v="8065"/>
    <x v="0"/>
    <x v="0"/>
    <s v="LS 4a neo"/>
    <s v="Y3"/>
    <s v="Není v databázi"/>
    <m/>
  </r>
  <r>
    <x v="685"/>
    <x v="4"/>
    <x v="1"/>
    <x v="55"/>
    <x v="3"/>
    <s v="FCC 2025 - Klub"/>
    <s v="SK"/>
    <n v="2025"/>
    <n v="10"/>
    <n v="5740"/>
    <n v="0.94000000000000006"/>
    <n v="8480"/>
    <n v="7971"/>
    <x v="0"/>
    <x v="0"/>
    <s v="ASW20 cl"/>
    <s v="VL"/>
    <s v="Není v databázi"/>
    <m/>
  </r>
  <r>
    <x v="282"/>
    <x v="4"/>
    <x v="1"/>
    <x v="55"/>
    <x v="3"/>
    <s v="FCC 2025 - Klub"/>
    <s v="SK"/>
    <n v="2025"/>
    <n v="11"/>
    <n v="5722"/>
    <n v="0.94000000000000006"/>
    <n v="8369"/>
    <n v="7867"/>
    <x v="0"/>
    <x v="0"/>
    <s v="ASW 24 wl"/>
    <s v="ZSI"/>
    <s v="Není v databázi"/>
    <m/>
  </r>
  <r>
    <x v="296"/>
    <x v="4"/>
    <x v="1"/>
    <x v="55"/>
    <x v="3"/>
    <s v="FCC 2025 - Klub"/>
    <s v="SK"/>
    <n v="2025"/>
    <n v="12"/>
    <n v="5447"/>
    <n v="0.94000000000000006"/>
    <n v="7976"/>
    <n v="7497"/>
    <x v="0"/>
    <x v="0"/>
    <s v="LS 4 a neo"/>
    <s v="Y2"/>
    <s v="Není v databázi"/>
    <m/>
  </r>
  <r>
    <x v="151"/>
    <x v="4"/>
    <x v="1"/>
    <x v="55"/>
    <x v="3"/>
    <s v="FCC 2025 - Klub"/>
    <s v="SK"/>
    <n v="2025"/>
    <n v="13"/>
    <n v="5332"/>
    <n v="0.94000000000000006"/>
    <n v="7759"/>
    <n v="7293"/>
    <x v="0"/>
    <x v="0"/>
    <s v="LS 4 WL"/>
    <s v="E10"/>
    <s v="Není v databázi"/>
    <m/>
  </r>
  <r>
    <x v="1125"/>
    <x v="4"/>
    <x v="1"/>
    <x v="55"/>
    <x v="3"/>
    <s v="FCC 2025 - Klub"/>
    <s v="SK"/>
    <n v="2025"/>
    <n v="14"/>
    <n v="5264"/>
    <n v="0.94000000000000006"/>
    <n v="7594"/>
    <n v="7138"/>
    <x v="0"/>
    <x v="0"/>
    <s v="ASW20"/>
    <n v="212"/>
    <s v="Není v databázi"/>
    <m/>
  </r>
  <r>
    <x v="1126"/>
    <x v="4"/>
    <x v="1"/>
    <x v="55"/>
    <x v="3"/>
    <s v="FCC 2025 - Klub"/>
    <s v="SK"/>
    <n v="2025"/>
    <n v="15"/>
    <n v="5244"/>
    <n v="0.94000000000000006"/>
    <n v="7481"/>
    <n v="7032"/>
    <x v="0"/>
    <x v="0"/>
    <s v="Mosquito 303 WL"/>
    <s v="YM"/>
    <s v="Není v databázi"/>
    <m/>
  </r>
  <r>
    <x v="299"/>
    <x v="23"/>
    <x v="0"/>
    <x v="32"/>
    <x v="2"/>
    <s v="FCC 2025 - Klub"/>
    <s v="SK"/>
    <n v="2025"/>
    <n v="16"/>
    <n v="5156"/>
    <n v="0.94000000000000006"/>
    <n v="7293"/>
    <n v="6855"/>
    <x v="1"/>
    <x v="0"/>
    <s v="Discus CS WL"/>
    <s v="KAL"/>
    <s v=""/>
    <m/>
  </r>
  <r>
    <x v="295"/>
    <x v="4"/>
    <x v="1"/>
    <x v="55"/>
    <x v="3"/>
    <s v="FCC 2025 - Klub"/>
    <s v="SK"/>
    <n v="2025"/>
    <n v="17"/>
    <n v="4952"/>
    <n v="0.94000000000000006"/>
    <n v="6979"/>
    <n v="6560"/>
    <x v="0"/>
    <x v="0"/>
    <s v="Mini Nimbus b"/>
    <s v="RX"/>
    <s v="Není v databázi"/>
    <m/>
  </r>
  <r>
    <x v="1127"/>
    <x v="4"/>
    <x v="1"/>
    <x v="55"/>
    <x v="3"/>
    <s v="FCC 2025 - Klub"/>
    <s v="SK"/>
    <n v="2025"/>
    <n v="18"/>
    <n v="4889"/>
    <n v="0.94000000000000006"/>
    <n v="6819"/>
    <n v="6410"/>
    <x v="0"/>
    <x v="0"/>
    <s v="mini LAK FES"/>
    <s v="VR"/>
    <s v="Není v databázi"/>
    <m/>
  </r>
  <r>
    <x v="303"/>
    <x v="4"/>
    <x v="1"/>
    <x v="55"/>
    <x v="3"/>
    <s v="FCC 2025 - Klub"/>
    <s v="SK"/>
    <n v="2025"/>
    <n v="19"/>
    <n v="4851"/>
    <n v="0.94000000000000006"/>
    <n v="6686"/>
    <n v="6285"/>
    <x v="0"/>
    <x v="0"/>
    <s v="Jantar std 2 WL"/>
    <s v="LI"/>
    <s v="Není v databázi"/>
    <m/>
  </r>
  <r>
    <x v="1128"/>
    <x v="4"/>
    <x v="1"/>
    <x v="55"/>
    <x v="3"/>
    <s v="FCC 2025 - Klub"/>
    <s v="SK"/>
    <n v="2025"/>
    <n v="20"/>
    <n v="4832"/>
    <n v="0.94000000000000006"/>
    <n v="6574"/>
    <n v="6180"/>
    <x v="0"/>
    <x v="0"/>
    <s v="ASW 20"/>
    <s v="X56"/>
    <s v="Není v databázi"/>
    <m/>
  </r>
  <r>
    <x v="1129"/>
    <x v="4"/>
    <x v="1"/>
    <x v="55"/>
    <x v="3"/>
    <s v="FCC 2025 - Klub"/>
    <s v="SK"/>
    <n v="2025"/>
    <n v="21"/>
    <n v="4756"/>
    <n v="0.94000000000000006"/>
    <n v="6400"/>
    <n v="6016"/>
    <x v="0"/>
    <x v="0"/>
    <s v="Mini Nimbus b"/>
    <s v="FLY"/>
    <s v="Není v databázi"/>
    <m/>
  </r>
  <r>
    <x v="1130"/>
    <x v="4"/>
    <x v="1"/>
    <x v="55"/>
    <x v="3"/>
    <s v="FCC 2025 - Klub"/>
    <s v="SK"/>
    <n v="2025"/>
    <n v="22"/>
    <n v="4721"/>
    <n v="0.94000000000000006"/>
    <n v="6271"/>
    <n v="5895"/>
    <x v="0"/>
    <x v="0"/>
    <s v="LS 3a"/>
    <s v="9B"/>
    <s v="Není v databázi"/>
    <m/>
  </r>
  <r>
    <x v="1131"/>
    <x v="4"/>
    <x v="1"/>
    <x v="55"/>
    <x v="3"/>
    <s v="FCC 2025 - Klub"/>
    <s v="SK"/>
    <n v="2025"/>
    <n v="23"/>
    <n v="4719"/>
    <n v="0.94000000000000006"/>
    <n v="6178"/>
    <n v="5807"/>
    <x v="0"/>
    <x v="0"/>
    <s v="LS 4"/>
    <s v="MO"/>
    <s v="Není v databázi"/>
    <m/>
  </r>
  <r>
    <x v="1132"/>
    <x v="4"/>
    <x v="1"/>
    <x v="55"/>
    <x v="3"/>
    <s v="FCC 2025 - Klub"/>
    <s v="SK"/>
    <n v="2025"/>
    <n v="24"/>
    <n v="4330"/>
    <n v="0.94000000000000006"/>
    <n v="5660"/>
    <n v="5320"/>
    <x v="0"/>
    <x v="0"/>
    <s v="Janus C"/>
    <s v="DD"/>
    <s v="Není v databázi"/>
    <m/>
  </r>
  <r>
    <x v="306"/>
    <x v="4"/>
    <x v="1"/>
    <x v="55"/>
    <x v="3"/>
    <s v="FCC 2025 - Klub"/>
    <s v="SK"/>
    <n v="2025"/>
    <n v="25"/>
    <n v="3992"/>
    <n v="0.94000000000000006"/>
    <n v="5198"/>
    <n v="4886"/>
    <x v="0"/>
    <x v="0"/>
    <s v="SZD 55"/>
    <s v="W07"/>
    <s v="Není v databázi"/>
    <m/>
  </r>
  <r>
    <x v="847"/>
    <x v="4"/>
    <x v="1"/>
    <x v="55"/>
    <x v="3"/>
    <s v="FCC 2025 - Klub"/>
    <s v="SK"/>
    <n v="2025"/>
    <n v="26"/>
    <n v="3979"/>
    <n v="0.94000000000000006"/>
    <n v="5093"/>
    <n v="4787"/>
    <x v="0"/>
    <x v="0"/>
    <s v="ASW20 F"/>
    <s v="X11"/>
    <s v="Není v databázi"/>
    <m/>
  </r>
  <r>
    <x v="300"/>
    <x v="4"/>
    <x v="1"/>
    <x v="55"/>
    <x v="3"/>
    <s v="FCC 2025 - Klub"/>
    <s v="SK"/>
    <n v="2025"/>
    <n v="27"/>
    <n v="3822"/>
    <n v="0.94000000000000006"/>
    <n v="4830"/>
    <n v="4540"/>
    <x v="0"/>
    <x v="0"/>
    <s v="Mini Nimbus"/>
    <s v="VI"/>
    <s v="Není v databázi"/>
    <m/>
  </r>
  <r>
    <x v="297"/>
    <x v="4"/>
    <x v="1"/>
    <x v="55"/>
    <x v="3"/>
    <s v="FCC 2025 - Klub"/>
    <s v="SK"/>
    <n v="2025"/>
    <n v="28"/>
    <n v="3711"/>
    <n v="0.94000000000000006"/>
    <n v="4617"/>
    <n v="4340"/>
    <x v="0"/>
    <x v="0"/>
    <s v="SZD 55"/>
    <s v="TK"/>
    <s v="Není v databázi"/>
    <m/>
  </r>
  <r>
    <x v="308"/>
    <x v="4"/>
    <x v="1"/>
    <x v="55"/>
    <x v="3"/>
    <s v="FCC 2025 - Klub"/>
    <s v="SK"/>
    <n v="2025"/>
    <n v="29"/>
    <n v="3119"/>
    <n v="0.94000000000000006"/>
    <n v="3877"/>
    <n v="3644"/>
    <x v="0"/>
    <x v="0"/>
    <s v="LS 4"/>
    <s v="OG"/>
    <s v="Není v databázi"/>
    <m/>
  </r>
  <r>
    <x v="1133"/>
    <x v="4"/>
    <x v="1"/>
    <x v="55"/>
    <x v="3"/>
    <s v="FCC 2025 - Klub"/>
    <s v="SK"/>
    <n v="2025"/>
    <n v="30"/>
    <n v="2493"/>
    <n v="0.94000000000000006"/>
    <n v="3099"/>
    <n v="2913"/>
    <x v="0"/>
    <x v="0"/>
    <s v="ASW 24 wl"/>
    <s v="PLI"/>
    <s v="Není v databázi"/>
    <m/>
  </r>
  <r>
    <x v="1134"/>
    <x v="4"/>
    <x v="1"/>
    <x v="55"/>
    <x v="3"/>
    <s v="FCC 2025 - Klub"/>
    <s v="SK"/>
    <n v="2025"/>
    <n v="31"/>
    <n v="2340"/>
    <n v="0.94000000000000006"/>
    <n v="2840"/>
    <n v="2670"/>
    <x v="0"/>
    <x v="0"/>
    <s v="DG 100 Elan"/>
    <s v="B2"/>
    <s v="Není v databázi"/>
    <m/>
  </r>
  <r>
    <x v="309"/>
    <x v="4"/>
    <x v="1"/>
    <x v="55"/>
    <x v="3"/>
    <s v="FCC 2025 - Klub"/>
    <s v="SK"/>
    <n v="2025"/>
    <n v="32"/>
    <n v="2132"/>
    <n v="0.94000000000000006"/>
    <n v="2521"/>
    <n v="2370"/>
    <x v="0"/>
    <x v="0"/>
    <s v="DG 100"/>
    <n v="30"/>
    <s v="Není v databázi"/>
    <m/>
  </r>
  <r>
    <x v="183"/>
    <x v="4"/>
    <x v="1"/>
    <x v="55"/>
    <x v="3"/>
    <s v="FCC 2025 - Klub"/>
    <s v="SK"/>
    <n v="2025"/>
    <n v="33"/>
    <n v="805"/>
    <n v="0.94000000000000006"/>
    <n v="974"/>
    <n v="916"/>
    <x v="0"/>
    <x v="0"/>
    <s v="LS 4"/>
    <s v="YL"/>
    <s v="Není v databázi"/>
    <m/>
  </r>
  <r>
    <x v="182"/>
    <x v="4"/>
    <x v="1"/>
    <x v="55"/>
    <x v="3"/>
    <s v="FCC 2025 - Klub"/>
    <s v="SK"/>
    <n v="2025"/>
    <n v="34"/>
    <n v="70"/>
    <n v="0.94000000000000006"/>
    <n v="77"/>
    <n v="72"/>
    <x v="0"/>
    <x v="0"/>
    <s v="Jantar Std 2"/>
    <s v="FILP"/>
    <s v="Není v databázi"/>
    <m/>
  </r>
  <r>
    <x v="27"/>
    <x v="19"/>
    <x v="0"/>
    <x v="18"/>
    <x v="2"/>
    <s v="FCC 2025 - Kombi 15m"/>
    <s v="SK"/>
    <n v="2025"/>
    <n v="1"/>
    <n v="6163"/>
    <n v="0.97500000000000009"/>
    <n v="10000"/>
    <n v="9750"/>
    <x v="0"/>
    <x v="0"/>
    <s v="Duo Discus xT 750kg"/>
    <s v="DDI"/>
    <s v=""/>
    <m/>
  </r>
  <r>
    <x v="1135"/>
    <x v="4"/>
    <x v="1"/>
    <x v="55"/>
    <x v="3"/>
    <s v="FCC 2025 - Kombi 15m"/>
    <s v="SK"/>
    <n v="2025"/>
    <n v="2"/>
    <n v="6131"/>
    <n v="0.97500000000000009"/>
    <n v="9875"/>
    <n v="9628"/>
    <x v="0"/>
    <x v="0"/>
    <s v="Duo Discus XLT 750kg"/>
    <s v="POL"/>
    <s v="Není v databázi"/>
    <m/>
  </r>
  <r>
    <x v="1136"/>
    <x v="4"/>
    <x v="1"/>
    <x v="55"/>
    <x v="3"/>
    <s v="FCC 2025 - Kombi 15m"/>
    <s v="SK"/>
    <n v="2025"/>
    <n v="3"/>
    <n v="6112"/>
    <n v="0.97500000000000009"/>
    <n v="9766"/>
    <n v="9522"/>
    <x v="0"/>
    <x v="0"/>
    <s v="Discus 2b 525kg"/>
    <n v="66"/>
    <s v="Není v databázi"/>
    <m/>
  </r>
  <r>
    <x v="1021"/>
    <x v="4"/>
    <x v="1"/>
    <x v="55"/>
    <x v="3"/>
    <s v="FCC 2025 - Kombi 15m"/>
    <s v="SK"/>
    <n v="2025"/>
    <n v="4"/>
    <n v="6048"/>
    <n v="0.97500000000000009"/>
    <n v="9605"/>
    <n v="9365"/>
    <x v="0"/>
    <x v="0"/>
    <s v="LS 8 neo 525kg"/>
    <s v="LOT"/>
    <s v="Není v databázi"/>
    <m/>
  </r>
  <r>
    <x v="1137"/>
    <x v="4"/>
    <x v="1"/>
    <x v="55"/>
    <x v="3"/>
    <s v="FCC 2025 - Kombi 15m"/>
    <s v="SK"/>
    <n v="2025"/>
    <n v="5"/>
    <n v="5949"/>
    <n v="0.97500000000000009"/>
    <n v="9404"/>
    <n v="9169"/>
    <x v="0"/>
    <x v="0"/>
    <s v="LS 8 neo 525kg"/>
    <s v="SB"/>
    <s v="Není v databázi"/>
    <m/>
  </r>
  <r>
    <x v="322"/>
    <x v="4"/>
    <x v="1"/>
    <x v="55"/>
    <x v="3"/>
    <s v="FCC 2025 - Kombi 15m"/>
    <s v="SK"/>
    <n v="2025"/>
    <n v="6"/>
    <n v="5909"/>
    <n v="0.97500000000000009"/>
    <n v="9270"/>
    <n v="9038"/>
    <x v="0"/>
    <x v="0"/>
    <s v="Discus 2a 525kg"/>
    <s v="I"/>
    <s v="Není v databázi"/>
    <m/>
  </r>
  <r>
    <x v="328"/>
    <x v="4"/>
    <x v="1"/>
    <x v="55"/>
    <x v="3"/>
    <s v="FCC 2025 - Kombi 15m"/>
    <s v="SK"/>
    <n v="2025"/>
    <n v="7"/>
    <n v="5736"/>
    <n v="0.97500000000000009"/>
    <n v="8986"/>
    <n v="8761"/>
    <x v="0"/>
    <x v="0"/>
    <s v="Discus 2a 525kg"/>
    <s v="YA"/>
    <s v="Není v databázi"/>
    <m/>
  </r>
  <r>
    <x v="287"/>
    <x v="52"/>
    <x v="0"/>
    <x v="12"/>
    <x v="1"/>
    <s v="FCC 2025 - Kombi 15m"/>
    <s v="SK"/>
    <n v="2025"/>
    <n v="8"/>
    <n v="5697"/>
    <n v="0.97500000000000009"/>
    <n v="8853"/>
    <n v="8632"/>
    <x v="1"/>
    <x v="0"/>
    <s v="LS 8 525kg"/>
    <s v="JB"/>
    <s v=""/>
    <m/>
  </r>
  <r>
    <x v="1138"/>
    <x v="4"/>
    <x v="1"/>
    <x v="55"/>
    <x v="3"/>
    <s v="FCC 2025 - Kombi 15m"/>
    <s v="SK"/>
    <n v="2025"/>
    <n v="9"/>
    <n v="5688"/>
    <n v="0.97500000000000009"/>
    <n v="8755"/>
    <n v="8536"/>
    <x v="0"/>
    <x v="0"/>
    <s v="Duo Discus 700kg"/>
    <s v="DP"/>
    <s v="Není v databázi"/>
    <m/>
  </r>
  <r>
    <x v="313"/>
    <x v="4"/>
    <x v="1"/>
    <x v="55"/>
    <x v="3"/>
    <s v="FCC 2025 - Kombi 15m"/>
    <s v="SK"/>
    <n v="2025"/>
    <n v="10"/>
    <n v="5577"/>
    <n v="0.97500000000000009"/>
    <n v="8540"/>
    <n v="8327"/>
    <x v="0"/>
    <x v="0"/>
    <s v="ASG 29 15m 525kg"/>
    <s v="PL"/>
    <s v="Není v databázi"/>
    <m/>
  </r>
  <r>
    <x v="1139"/>
    <x v="4"/>
    <x v="1"/>
    <x v="55"/>
    <x v="3"/>
    <s v="FCC 2025 - Kombi 15m"/>
    <s v="SK"/>
    <n v="2025"/>
    <n v="11"/>
    <n v="5573"/>
    <n v="0.97500000000000009"/>
    <n v="8448"/>
    <n v="8237"/>
    <x v="0"/>
    <x v="0"/>
    <s v="LS 8 neo 525kg"/>
    <s v="OK"/>
    <s v="Není v databázi"/>
    <m/>
  </r>
  <r>
    <x v="327"/>
    <x v="4"/>
    <x v="1"/>
    <x v="55"/>
    <x v="3"/>
    <s v="FCC 2025 - Kombi 15m"/>
    <s v="SK"/>
    <n v="2025"/>
    <n v="12"/>
    <n v="5545"/>
    <n v="0.97500000000000009"/>
    <n v="8327"/>
    <n v="8119"/>
    <x v="0"/>
    <x v="0"/>
    <s v="Discus 2a 525kg"/>
    <s v="YB"/>
    <s v="Není v databázi"/>
    <m/>
  </r>
  <r>
    <x v="1140"/>
    <x v="4"/>
    <x v="1"/>
    <x v="55"/>
    <x v="3"/>
    <s v="FCC 2025 - Kombi 15m"/>
    <s v="SK"/>
    <n v="2025"/>
    <n v="13"/>
    <n v="5509"/>
    <n v="0.97500000000000009"/>
    <n v="8198"/>
    <n v="7993"/>
    <x v="0"/>
    <x v="0"/>
    <s v="LS 6 525kg"/>
    <s v="AP"/>
    <s v="Není v databázi"/>
    <m/>
  </r>
  <r>
    <x v="843"/>
    <x v="4"/>
    <x v="1"/>
    <x v="55"/>
    <x v="3"/>
    <s v="FCC 2025 - Kombi 15m"/>
    <s v="SK"/>
    <n v="2025"/>
    <n v="14"/>
    <n v="5405"/>
    <n v="0.97500000000000009"/>
    <n v="7992"/>
    <n v="7792"/>
    <x v="0"/>
    <x v="0"/>
    <s v="Discus 2b 525kg"/>
    <s v="PK"/>
    <s v="Není v databázi"/>
    <m/>
  </r>
  <r>
    <x v="323"/>
    <x v="4"/>
    <x v="1"/>
    <x v="55"/>
    <x v="3"/>
    <s v="FCC 2025 - Kombi 15m"/>
    <s v="SK"/>
    <n v="2025"/>
    <n v="15"/>
    <n v="5346"/>
    <n v="0.97500000000000009"/>
    <n v="7837"/>
    <n v="7641"/>
    <x v="0"/>
    <x v="0"/>
    <s v="LS 6a 525KG"/>
    <s v="BB"/>
    <s v="Není v databázi"/>
    <m/>
  </r>
  <r>
    <x v="325"/>
    <x v="4"/>
    <x v="1"/>
    <x v="55"/>
    <x v="3"/>
    <s v="FCC 2025 - Kombi 15m"/>
    <s v="SK"/>
    <n v="2025"/>
    <n v="16"/>
    <n v="5248"/>
    <n v="0.97500000000000009"/>
    <n v="7637"/>
    <n v="7446"/>
    <x v="0"/>
    <x v="0"/>
    <s v="Ventus 2b 525kg"/>
    <s v="BX"/>
    <s v="Není v databázi"/>
    <m/>
  </r>
  <r>
    <x v="890"/>
    <x v="4"/>
    <x v="1"/>
    <x v="55"/>
    <x v="3"/>
    <s v="FCC 2025 - Kombi 15m"/>
    <s v="SK"/>
    <n v="2025"/>
    <n v="17"/>
    <n v="5195"/>
    <n v="0.97500000000000009"/>
    <n v="7489"/>
    <n v="7302"/>
    <x v="0"/>
    <x v="0"/>
    <s v="ASW 27 wl 500kg"/>
    <s v="3W"/>
    <s v="Není v databázi"/>
    <m/>
  </r>
  <r>
    <x v="1141"/>
    <x v="4"/>
    <x v="1"/>
    <x v="55"/>
    <x v="3"/>
    <s v="FCC 2025 - Kombi 15m"/>
    <s v="SK"/>
    <n v="2025"/>
    <n v="17"/>
    <n v="5195"/>
    <n v="0.97500000000000009"/>
    <n v="7489"/>
    <n v="7302"/>
    <x v="0"/>
    <x v="0"/>
    <s v="LS 8 neo 525kg"/>
    <s v="BYI"/>
    <s v="Není v databázi"/>
    <m/>
  </r>
  <r>
    <x v="1142"/>
    <x v="4"/>
    <x v="1"/>
    <x v="55"/>
    <x v="3"/>
    <s v="FCC 2025 - Kombi 15m"/>
    <s v="SK"/>
    <n v="2025"/>
    <n v="19"/>
    <n v="5088"/>
    <n v="0.97500000000000009"/>
    <n v="7191"/>
    <n v="7011"/>
    <x v="0"/>
    <x v="0"/>
    <s v="Discus b WL 525kg"/>
    <s v="AT"/>
    <s v="Není v databázi"/>
    <m/>
  </r>
  <r>
    <x v="589"/>
    <x v="4"/>
    <x v="1"/>
    <x v="55"/>
    <x v="3"/>
    <s v="FCC 2025 - Kombi 15m"/>
    <s v="SK"/>
    <n v="2025"/>
    <n v="20"/>
    <n v="5019"/>
    <n v="0.97500000000000009"/>
    <n v="7024"/>
    <n v="6848"/>
    <x v="0"/>
    <x v="0"/>
    <s v="Discus 2ax 525kg"/>
    <s v="AX"/>
    <s v="Není v databázi"/>
    <m/>
  </r>
  <r>
    <x v="9"/>
    <x v="4"/>
    <x v="1"/>
    <x v="55"/>
    <x v="3"/>
    <s v="FCC 2025 - Kombi 15m"/>
    <s v="SK"/>
    <n v="2025"/>
    <n v="21"/>
    <n v="4960"/>
    <n v="0.97500000000000009"/>
    <n v="6869"/>
    <n v="6697"/>
    <x v="0"/>
    <x v="0"/>
    <s v="LS 8 525kg"/>
    <s v="AU"/>
    <s v="Junior v roce 2026"/>
    <m/>
  </r>
  <r>
    <x v="865"/>
    <x v="4"/>
    <x v="1"/>
    <x v="55"/>
    <x v="3"/>
    <s v="FCC 2025 - Kombi 15m"/>
    <s v="SK"/>
    <n v="2025"/>
    <n v="22"/>
    <n v="4907"/>
    <n v="0.97500000000000009"/>
    <n v="6720"/>
    <n v="6552"/>
    <x v="0"/>
    <x v="0"/>
    <s v="Duo Discus T 700kg"/>
    <s v="EAC"/>
    <s v="Není v databázi"/>
    <m/>
  </r>
  <r>
    <x v="1143"/>
    <x v="4"/>
    <x v="1"/>
    <x v="55"/>
    <x v="3"/>
    <s v="FCC 2025 - Kombi 15m"/>
    <s v="SK"/>
    <n v="2025"/>
    <n v="23"/>
    <n v="4899"/>
    <n v="0.97500000000000009"/>
    <n v="6623"/>
    <n v="6457"/>
    <x v="0"/>
    <x v="0"/>
    <s v="Duo Discus XLT 750kg"/>
    <s v="DUO"/>
    <s v="Není v databázi"/>
    <m/>
  </r>
  <r>
    <x v="1144"/>
    <x v="4"/>
    <x v="1"/>
    <x v="55"/>
    <x v="3"/>
    <s v="FCC 2025 - Kombi 15m"/>
    <s v="SK"/>
    <n v="2025"/>
    <n v="24"/>
    <n v="4546"/>
    <n v="0.97500000000000009"/>
    <n v="6134"/>
    <n v="5981"/>
    <x v="0"/>
    <x v="0"/>
    <s v="LS 8 525kg"/>
    <s v="D7"/>
    <s v="Není v databázi"/>
    <m/>
  </r>
  <r>
    <x v="319"/>
    <x v="4"/>
    <x v="1"/>
    <x v="55"/>
    <x v="3"/>
    <s v="FCC 2025 - Kombi 15m"/>
    <s v="SK"/>
    <n v="2025"/>
    <n v="25"/>
    <n v="4387"/>
    <n v="0.97500000000000009"/>
    <n v="5865"/>
    <n v="5718"/>
    <x v="0"/>
    <x v="0"/>
    <s v="Discus 2a 525kg"/>
    <s v="GX"/>
    <s v="Není v databázi"/>
    <m/>
  </r>
  <r>
    <x v="354"/>
    <x v="4"/>
    <x v="1"/>
    <x v="55"/>
    <x v="3"/>
    <s v="FCC 2025 - Kombi 15m"/>
    <s v="SK"/>
    <n v="2025"/>
    <n v="26"/>
    <n v="4337"/>
    <n v="0.97500000000000009"/>
    <n v="5720"/>
    <n v="5577"/>
    <x v="0"/>
    <x v="0"/>
    <s v="Discus 2a 525kg"/>
    <s v="HUN"/>
    <s v="Není v databázi"/>
    <m/>
  </r>
  <r>
    <x v="301"/>
    <x v="60"/>
    <x v="2"/>
    <x v="33"/>
    <x v="2"/>
    <s v="FCC 2025 - Kombi 15m"/>
    <s v="SK"/>
    <n v="2025"/>
    <n v="27"/>
    <n v="4273"/>
    <n v="0.97500000000000009"/>
    <n v="5559"/>
    <n v="5420"/>
    <x v="1"/>
    <x v="1"/>
    <s v="LS 8 neo 525kg"/>
    <s v="FX"/>
    <s v=""/>
    <m/>
  </r>
  <r>
    <x v="337"/>
    <x v="4"/>
    <x v="1"/>
    <x v="55"/>
    <x v="3"/>
    <s v="FCC 2025 - Kombi 15m"/>
    <s v="SK"/>
    <n v="2025"/>
    <n v="28"/>
    <n v="4272"/>
    <n v="0.97500000000000009"/>
    <n v="5470"/>
    <n v="5333"/>
    <x v="0"/>
    <x v="0"/>
    <s v="Diana 2 FES 500KG"/>
    <s v="AI"/>
    <s v="Není v databázi"/>
    <m/>
  </r>
  <r>
    <x v="326"/>
    <x v="20"/>
    <x v="0"/>
    <x v="67"/>
    <x v="1"/>
    <s v="FCC 2025 - Kombi 15m"/>
    <s v="SK"/>
    <n v="2025"/>
    <n v="29"/>
    <n v="4141"/>
    <n v="0.97500000000000009"/>
    <n v="5233"/>
    <n v="5102"/>
    <x v="1"/>
    <x v="0"/>
    <s v="Duo Discus T 700kg"/>
    <s v="ZS"/>
    <s v=""/>
    <m/>
  </r>
  <r>
    <x v="1145"/>
    <x v="4"/>
    <x v="1"/>
    <x v="55"/>
    <x v="3"/>
    <s v="FCC 2025 - Kombi 15m"/>
    <s v="SK"/>
    <n v="2025"/>
    <n v="30"/>
    <n v="4094"/>
    <n v="0.97500000000000009"/>
    <n v="5091"/>
    <n v="4964"/>
    <x v="0"/>
    <x v="0"/>
    <s v="LS 6b 525kg"/>
    <s v="4L"/>
    <s v="Není v databázi"/>
    <m/>
  </r>
  <r>
    <x v="329"/>
    <x v="4"/>
    <x v="1"/>
    <x v="55"/>
    <x v="3"/>
    <s v="FCC 2025 - Kombi 15m"/>
    <s v="SK"/>
    <n v="2025"/>
    <n v="31"/>
    <n v="4075"/>
    <n v="0.97500000000000009"/>
    <n v="4981"/>
    <n v="4856"/>
    <x v="0"/>
    <x v="0"/>
    <s v="LS 6c WL 525kg"/>
    <s v="KK"/>
    <s v="Není v databázi"/>
    <m/>
  </r>
  <r>
    <x v="1146"/>
    <x v="4"/>
    <x v="1"/>
    <x v="55"/>
    <x v="3"/>
    <s v="FCC 2025 - Kombi 15m"/>
    <s v="SK"/>
    <n v="2025"/>
    <n v="32"/>
    <n v="4012"/>
    <n v="0.97500000000000009"/>
    <n v="4822"/>
    <n v="4701"/>
    <x v="0"/>
    <x v="0"/>
    <s v="Discus 2cT 15m 525kg"/>
    <s v="OLC"/>
    <s v="Není v databázi"/>
    <m/>
  </r>
  <r>
    <x v="332"/>
    <x v="4"/>
    <x v="1"/>
    <x v="55"/>
    <x v="3"/>
    <s v="FCC 2025 - Kombi 15m"/>
    <s v="SK"/>
    <n v="2025"/>
    <n v="33"/>
    <n v="3446"/>
    <n v="0.97500000000000009"/>
    <n v="4090"/>
    <n v="3988"/>
    <x v="0"/>
    <x v="0"/>
    <s v="Ventus 2a 525"/>
    <s v="WD"/>
    <s v="Není v databázi"/>
    <m/>
  </r>
  <r>
    <x v="330"/>
    <x v="20"/>
    <x v="0"/>
    <x v="18"/>
    <x v="2"/>
    <s v="FCC 2025 - Kombi 15m"/>
    <s v="SK"/>
    <n v="2025"/>
    <n v="34"/>
    <n v="2905"/>
    <n v="0.97500000000000009"/>
    <n v="3388"/>
    <n v="3303"/>
    <x v="1"/>
    <x v="0"/>
    <s v="Discus CS 525kg"/>
    <s v="HD"/>
    <s v=""/>
    <m/>
  </r>
  <r>
    <x v="336"/>
    <x v="4"/>
    <x v="1"/>
    <x v="55"/>
    <x v="3"/>
    <s v="FCC 2025 - Kombi 15m"/>
    <s v="SK"/>
    <n v="2025"/>
    <n v="35"/>
    <n v="2237"/>
    <n v="0.97500000000000009"/>
    <n v="2541"/>
    <n v="2477"/>
    <x v="0"/>
    <x v="0"/>
    <s v="Ventus 2b 15m 525kg"/>
    <s v="CB"/>
    <s v="Není v databázi"/>
    <m/>
  </r>
  <r>
    <x v="339"/>
    <x v="4"/>
    <x v="1"/>
    <x v="55"/>
    <x v="3"/>
    <s v="FCC 2025 - Kombi Open"/>
    <s v="SK"/>
    <n v="2025"/>
    <n v="1"/>
    <n v="6872"/>
    <n v="0.96500000000000008"/>
    <n v="10000"/>
    <n v="9650"/>
    <x v="0"/>
    <x v="0"/>
    <s v="ASG 29 E 18m 600kg"/>
    <s v="PES"/>
    <s v="Není v databázi"/>
    <m/>
  </r>
  <r>
    <x v="1147"/>
    <x v="4"/>
    <x v="1"/>
    <x v="55"/>
    <x v="3"/>
    <s v="FCC 2025 - Kombi Open"/>
    <s v="SK"/>
    <n v="2025"/>
    <n v="2"/>
    <n v="6687"/>
    <n v="0.96500000000000008"/>
    <n v="9746"/>
    <n v="9405"/>
    <x v="0"/>
    <x v="0"/>
    <s v="Ventus 3 T Sport 600kg"/>
    <s v="S"/>
    <s v="Není v databázi"/>
    <m/>
  </r>
  <r>
    <x v="1148"/>
    <x v="4"/>
    <x v="1"/>
    <x v="55"/>
    <x v="3"/>
    <s v="FCC 2025 - Kombi Open"/>
    <s v="SK"/>
    <n v="2025"/>
    <n v="3"/>
    <n v="6430"/>
    <n v="0.96500000000000008"/>
    <n v="9419"/>
    <n v="9089"/>
    <x v="0"/>
    <x v="0"/>
    <s v="AS 33 Me 18m 600kg"/>
    <s v="A2"/>
    <s v="Není v databázi"/>
    <m/>
  </r>
  <r>
    <x v="340"/>
    <x v="4"/>
    <x v="1"/>
    <x v="55"/>
    <x v="3"/>
    <s v="FCC 2025 - Kombi Open"/>
    <s v="SK"/>
    <n v="2025"/>
    <n v="4"/>
    <n v="6372"/>
    <n v="0.96500000000000008"/>
    <n v="9295"/>
    <n v="8970"/>
    <x v="0"/>
    <x v="0"/>
    <s v="Ventus 3M 600kg"/>
    <s v="TE"/>
    <s v="Není v databázi"/>
    <m/>
  </r>
  <r>
    <x v="347"/>
    <x v="4"/>
    <x v="1"/>
    <x v="55"/>
    <x v="3"/>
    <s v="FCC 2025 - Kombi Open"/>
    <s v="SK"/>
    <n v="2025"/>
    <n v="5"/>
    <n v="6344"/>
    <n v="0.96500000000000008"/>
    <n v="9201"/>
    <n v="8879"/>
    <x v="0"/>
    <x v="0"/>
    <s v="ASG 29 ES 600kg"/>
    <s v="HBI"/>
    <s v="Není v databázi"/>
    <m/>
  </r>
  <r>
    <x v="351"/>
    <x v="4"/>
    <x v="1"/>
    <x v="55"/>
    <x v="3"/>
    <s v="FCC 2025 - Kombi Open"/>
    <s v="SK"/>
    <n v="2025"/>
    <n v="6"/>
    <n v="6330"/>
    <n v="0.96500000000000008"/>
    <n v="9122"/>
    <n v="8803"/>
    <x v="0"/>
    <x v="0"/>
    <s v="AS 33 ES 600kg"/>
    <s v="GPS"/>
    <s v="Není v databázi"/>
    <m/>
  </r>
  <r>
    <x v="876"/>
    <x v="4"/>
    <x v="1"/>
    <x v="55"/>
    <x v="3"/>
    <s v="FCC 2025 - Kombi Open"/>
    <s v="SK"/>
    <n v="2025"/>
    <n v="7"/>
    <n v="6179"/>
    <n v="0.96500000000000008"/>
    <n v="8903"/>
    <n v="8591"/>
    <x v="0"/>
    <x v="0"/>
    <s v="JS 3 RES 600kg"/>
    <s v="NL"/>
    <s v="Není v databázi"/>
    <m/>
  </r>
  <r>
    <x v="343"/>
    <x v="4"/>
    <x v="1"/>
    <x v="55"/>
    <x v="3"/>
    <s v="FCC 2025 - Kombi Open"/>
    <s v="SK"/>
    <n v="2025"/>
    <n v="8"/>
    <n v="6159"/>
    <n v="0.96500000000000008"/>
    <n v="8817"/>
    <n v="8508"/>
    <x v="0"/>
    <x v="0"/>
    <s v="JS 3 600kg"/>
    <s v="ZB"/>
    <s v="Není v databázi"/>
    <m/>
  </r>
  <r>
    <x v="350"/>
    <x v="4"/>
    <x v="1"/>
    <x v="55"/>
    <x v="3"/>
    <s v="FCC 2025 - Kombi Open"/>
    <s v="SK"/>
    <n v="2025"/>
    <n v="9"/>
    <n v="6153"/>
    <n v="0.96500000000000008"/>
    <n v="8746"/>
    <n v="8440"/>
    <x v="0"/>
    <x v="0"/>
    <s v="ASG 29 E /600kg"/>
    <s v="MS"/>
    <s v="Není v databázi"/>
    <m/>
  </r>
  <r>
    <x v="28"/>
    <x v="20"/>
    <x v="0"/>
    <x v="18"/>
    <x v="2"/>
    <s v="FCC 2025 - Kombi Open"/>
    <s v="SK"/>
    <n v="2025"/>
    <n v="10"/>
    <n v="6148"/>
    <n v="0.96500000000000008"/>
    <n v="8676"/>
    <n v="8372"/>
    <x v="0"/>
    <x v="0"/>
    <s v="JS3 RES 18m 600kg"/>
    <s v="Q1"/>
    <s v=""/>
    <m/>
  </r>
  <r>
    <x v="565"/>
    <x v="4"/>
    <x v="1"/>
    <x v="55"/>
    <x v="3"/>
    <s v="FCC 2025 - Kombi Open"/>
    <s v="SK"/>
    <n v="2025"/>
    <n v="11"/>
    <n v="6077"/>
    <n v="0.96500000000000008"/>
    <n v="8538"/>
    <n v="8239"/>
    <x v="0"/>
    <x v="0"/>
    <s v="Ventus 3 FES SPORT 600kg"/>
    <s v="LZ"/>
    <s v="Není v databázi"/>
    <m/>
  </r>
  <r>
    <x v="346"/>
    <x v="4"/>
    <x v="1"/>
    <x v="55"/>
    <x v="3"/>
    <s v="FCC 2025 - Kombi Open"/>
    <s v="SK"/>
    <n v="2025"/>
    <n v="12"/>
    <n v="6014"/>
    <n v="0.96500000000000008"/>
    <n v="8409"/>
    <n v="8115"/>
    <x v="0"/>
    <x v="0"/>
    <s v="ASG 29 E 18m 600kg"/>
    <s v="29L"/>
    <s v="Není v databázi"/>
    <m/>
  </r>
  <r>
    <x v="345"/>
    <x v="4"/>
    <x v="1"/>
    <x v="55"/>
    <x v="3"/>
    <s v="FCC 2025 - Kombi Open"/>
    <s v="SK"/>
    <n v="2025"/>
    <n v="13"/>
    <n v="6000"/>
    <n v="0.96500000000000008"/>
    <n v="8329"/>
    <n v="8037"/>
    <x v="0"/>
    <x v="0"/>
    <s v="JS 3 Jet 600kg"/>
    <s v="TO"/>
    <s v="Není v databázi"/>
    <m/>
  </r>
  <r>
    <x v="331"/>
    <x v="4"/>
    <x v="1"/>
    <x v="55"/>
    <x v="3"/>
    <s v="FCC 2025 - Kombi Open"/>
    <s v="SK"/>
    <n v="2025"/>
    <n v="14"/>
    <n v="5944"/>
    <n v="0.96500000000000008"/>
    <n v="8207"/>
    <n v="7920"/>
    <x v="0"/>
    <x v="0"/>
    <s v="ASG 29E 600kg"/>
    <s v="A21"/>
    <s v="Není v databázi"/>
    <m/>
  </r>
  <r>
    <x v="291"/>
    <x v="18"/>
    <x v="0"/>
    <x v="33"/>
    <x v="2"/>
    <s v="FCC 2025 - Kombi Open"/>
    <s v="SK"/>
    <n v="2025"/>
    <n v="15"/>
    <n v="5874"/>
    <n v="0.96500000000000008"/>
    <n v="8070"/>
    <n v="7788"/>
    <x v="0"/>
    <x v="0"/>
    <s v="Diana 3 FES 600kg"/>
    <s v="B"/>
    <s v=""/>
    <m/>
  </r>
  <r>
    <x v="393"/>
    <x v="4"/>
    <x v="1"/>
    <x v="55"/>
    <x v="3"/>
    <s v="FCC 2025 - Kombi Open"/>
    <s v="SK"/>
    <n v="2025"/>
    <n v="16"/>
    <n v="5862"/>
    <n v="0.96500000000000008"/>
    <n v="7993"/>
    <n v="7713"/>
    <x v="0"/>
    <x v="0"/>
    <s v="Arcus M 800kg"/>
    <s v="CÁR"/>
    <s v="Není v databázi"/>
    <m/>
  </r>
  <r>
    <x v="368"/>
    <x v="4"/>
    <x v="1"/>
    <x v="55"/>
    <x v="3"/>
    <s v="FCC 2025 - Kombi Open"/>
    <s v="SK"/>
    <n v="2025"/>
    <n v="17"/>
    <n v="5850"/>
    <n v="0.96500000000000008"/>
    <n v="7915"/>
    <n v="7638"/>
    <x v="0"/>
    <x v="0"/>
    <s v="JS3 18m Jet 600kg"/>
    <s v="CT"/>
    <s v="Není v databázi"/>
    <m/>
  </r>
  <r>
    <x v="507"/>
    <x v="4"/>
    <x v="1"/>
    <x v="55"/>
    <x v="3"/>
    <s v="FCC 2025 - Kombi Open"/>
    <s v="SK"/>
    <n v="2025"/>
    <n v="18"/>
    <n v="5754"/>
    <n v="0.96500000000000008"/>
    <n v="7752"/>
    <n v="7481"/>
    <x v="0"/>
    <x v="0"/>
    <s v="Arcus T 800kg"/>
    <s v="HA"/>
    <s v="Není v databázi"/>
    <m/>
  </r>
  <r>
    <x v="1149"/>
    <x v="4"/>
    <x v="1"/>
    <x v="55"/>
    <x v="3"/>
    <s v="FCC 2025 - Kombi Open"/>
    <s v="SK"/>
    <n v="2025"/>
    <n v="19"/>
    <n v="5639"/>
    <n v="0.96500000000000008"/>
    <n v="7570"/>
    <n v="7305"/>
    <x v="0"/>
    <x v="0"/>
    <s v="ASG 32 Mi 800kg"/>
    <s v="AK"/>
    <s v="Není v databázi"/>
    <m/>
  </r>
  <r>
    <x v="1150"/>
    <x v="4"/>
    <x v="1"/>
    <x v="55"/>
    <x v="3"/>
    <s v="FCC 2025 - Kombi Open"/>
    <s v="SK"/>
    <n v="2025"/>
    <n v="20"/>
    <n v="5627"/>
    <n v="0.96500000000000008"/>
    <n v="7493"/>
    <n v="7231"/>
    <x v="0"/>
    <x v="0"/>
    <s v="Ventus 3 FES 600kg"/>
    <s v="3F"/>
    <s v="Není v databázi"/>
    <m/>
  </r>
  <r>
    <x v="366"/>
    <x v="4"/>
    <x v="1"/>
    <x v="55"/>
    <x v="3"/>
    <s v="FCC 2025 - Kombi Open"/>
    <s v="SK"/>
    <n v="2025"/>
    <n v="21"/>
    <n v="5570"/>
    <n v="0.96500000000000008"/>
    <n v="7369"/>
    <n v="7111"/>
    <x v="0"/>
    <x v="0"/>
    <s v="Arcus M 20 800kg"/>
    <s v="ET"/>
    <s v="Není v databázi"/>
    <m/>
  </r>
  <r>
    <x v="470"/>
    <x v="4"/>
    <x v="1"/>
    <x v="55"/>
    <x v="3"/>
    <s v="FCC 2025 - Kombi Open"/>
    <s v="SK"/>
    <n v="2025"/>
    <n v="22"/>
    <n v="5559"/>
    <n v="0.96500000000000008"/>
    <n v="7293"/>
    <n v="7038"/>
    <x v="0"/>
    <x v="0"/>
    <s v="JS 1 c evo 18m 600kg"/>
    <s v="DZ"/>
    <s v="Není v databázi"/>
    <m/>
  </r>
  <r>
    <x v="348"/>
    <x v="4"/>
    <x v="1"/>
    <x v="55"/>
    <x v="3"/>
    <s v="FCC 2025 - Kombi Open"/>
    <s v="SK"/>
    <n v="2025"/>
    <n v="23"/>
    <n v="5536"/>
    <n v="0.96500000000000008"/>
    <n v="7204"/>
    <n v="6952"/>
    <x v="0"/>
    <x v="0"/>
    <s v="ASG 29 E/ 600kg"/>
    <s v="BG"/>
    <s v="Není v databázi"/>
    <m/>
  </r>
  <r>
    <x v="908"/>
    <x v="4"/>
    <x v="1"/>
    <x v="55"/>
    <x v="3"/>
    <s v="FCC 2025 - Kombi Open"/>
    <s v="SK"/>
    <n v="2025"/>
    <n v="24"/>
    <n v="5337"/>
    <n v="0.96500000000000008"/>
    <n v="6936"/>
    <n v="6693"/>
    <x v="0"/>
    <x v="0"/>
    <s v="Arcus M 800kg"/>
    <s v="TA3"/>
    <s v="Není v databázi"/>
    <m/>
  </r>
  <r>
    <x v="1151"/>
    <x v="4"/>
    <x v="1"/>
    <x v="55"/>
    <x v="3"/>
    <s v="FCC 2025 - Kombi Open"/>
    <s v="SK"/>
    <n v="2025"/>
    <n v="25"/>
    <n v="5319"/>
    <n v="0.96500000000000008"/>
    <n v="6853"/>
    <n v="6613"/>
    <x v="0"/>
    <x v="0"/>
    <s v="ASH 25 Mi 26m 750kg"/>
    <s v="L"/>
    <s v="Není v databázi"/>
    <m/>
  </r>
  <r>
    <x v="51"/>
    <x v="16"/>
    <x v="2"/>
    <x v="24"/>
    <x v="1"/>
    <s v="FCC 2025 - Kombi Open"/>
    <s v="SK"/>
    <n v="2025"/>
    <n v="26"/>
    <n v="5281"/>
    <n v="0.96500000000000008"/>
    <n v="6749"/>
    <n v="6513"/>
    <x v="0"/>
    <x v="0"/>
    <s v="JS3 T3 600kg"/>
    <s v="XM"/>
    <s v=""/>
    <m/>
  </r>
  <r>
    <x v="32"/>
    <x v="14"/>
    <x v="0"/>
    <x v="21"/>
    <x v="0"/>
    <s v="FCC 2025 - Kombi Open"/>
    <s v="SK"/>
    <n v="2025"/>
    <n v="27"/>
    <n v="5277"/>
    <n v="0.96500000000000008"/>
    <n v="6680"/>
    <n v="6446"/>
    <x v="0"/>
    <x v="0"/>
    <s v="ASG 29E 18m 600kg"/>
    <s v="QZ"/>
    <s v=""/>
    <m/>
  </r>
  <r>
    <x v="1152"/>
    <x v="4"/>
    <x v="1"/>
    <x v="55"/>
    <x v="3"/>
    <s v="FCC 2025 - Kombi Open"/>
    <s v="SK"/>
    <n v="2025"/>
    <n v="28"/>
    <n v="5247"/>
    <n v="0.96500000000000008"/>
    <n v="6584"/>
    <n v="6354"/>
    <x v="0"/>
    <x v="0"/>
    <s v="Lak 17 aT WL 500kg"/>
    <s v="JL"/>
    <s v="Není v databázi"/>
    <m/>
  </r>
  <r>
    <x v="485"/>
    <x v="4"/>
    <x v="1"/>
    <x v="55"/>
    <x v="3"/>
    <s v="FCC 2025 - Kombi Open"/>
    <s v="SK"/>
    <n v="2025"/>
    <n v="29"/>
    <n v="5188"/>
    <n v="0.96500000000000008"/>
    <n v="6459"/>
    <n v="6233"/>
    <x v="0"/>
    <x v="0"/>
    <s v="EB 29 D 28,3m/ 850kg"/>
    <s v="HB"/>
    <s v="Není v databázi"/>
    <m/>
  </r>
  <r>
    <x v="1153"/>
    <x v="4"/>
    <x v="1"/>
    <x v="55"/>
    <x v="3"/>
    <s v="FCC 2025 - Kombi Open"/>
    <s v="SK"/>
    <n v="2025"/>
    <n v="30"/>
    <n v="5155"/>
    <n v="0.96500000000000008"/>
    <n v="6360"/>
    <n v="6137"/>
    <x v="0"/>
    <x v="0"/>
    <s v="JS 3 RES 18m /600kg"/>
    <s v="WW"/>
    <s v="Není v databázi"/>
    <m/>
  </r>
  <r>
    <x v="728"/>
    <x v="18"/>
    <x v="0"/>
    <x v="220"/>
    <x v="2"/>
    <s v="FCC 2025 - Kombi Open"/>
    <s v="SK"/>
    <n v="2025"/>
    <n v="31"/>
    <n v="5141"/>
    <n v="0.96500000000000008"/>
    <n v="6280"/>
    <n v="6060"/>
    <x v="1"/>
    <x v="0"/>
    <s v="Nimbus 4 DM 820kg"/>
    <s v="AM"/>
    <s v=""/>
    <m/>
  </r>
  <r>
    <x v="357"/>
    <x v="4"/>
    <x v="1"/>
    <x v="55"/>
    <x v="3"/>
    <s v="FCC 2025 - Kombi Open"/>
    <s v="SK"/>
    <n v="2025"/>
    <n v="32"/>
    <n v="5112"/>
    <n v="0.96500000000000008"/>
    <n v="6185"/>
    <n v="5969"/>
    <x v="0"/>
    <x v="0"/>
    <s v="JS 1 18m CDJ EVO 600kg"/>
    <s v="RZ"/>
    <s v="Není v databázi"/>
    <m/>
  </r>
  <r>
    <x v="342"/>
    <x v="4"/>
    <x v="1"/>
    <x v="55"/>
    <x v="3"/>
    <s v="FCC 2025 - Kombi Open"/>
    <s v="SK"/>
    <n v="2025"/>
    <n v="33"/>
    <n v="4782"/>
    <n v="0.96500000000000008"/>
    <n v="5784"/>
    <n v="5582"/>
    <x v="0"/>
    <x v="0"/>
    <s v="Ventus 3M 600kg"/>
    <s v="C8"/>
    <s v="Není v databázi"/>
    <m/>
  </r>
  <r>
    <x v="275"/>
    <x v="0"/>
    <x v="0"/>
    <x v="29"/>
    <x v="2"/>
    <s v="FCC 2025 - Kombi Open"/>
    <s v="SK"/>
    <n v="2025"/>
    <n v="34"/>
    <n v="4698"/>
    <n v="0.96500000000000008"/>
    <n v="5633"/>
    <n v="5436"/>
    <x v="1"/>
    <x v="0"/>
    <s v="Arcus M / 800kg"/>
    <s v="LD"/>
    <s v=""/>
    <m/>
  </r>
  <r>
    <x v="1154"/>
    <x v="4"/>
    <x v="1"/>
    <x v="55"/>
    <x v="3"/>
    <s v="FCC 2025 - Kombi Open"/>
    <s v="SK"/>
    <n v="2025"/>
    <n v="35"/>
    <n v="4653"/>
    <n v="0.96500000000000008"/>
    <n v="5522"/>
    <n v="5329"/>
    <x v="0"/>
    <x v="0"/>
    <s v="Arcus T 800kg"/>
    <s v="ZAR"/>
    <s v="Není v databázi"/>
    <m/>
  </r>
  <r>
    <x v="356"/>
    <x v="4"/>
    <x v="1"/>
    <x v="55"/>
    <x v="3"/>
    <s v="FCC 2025 - Kombi Open"/>
    <s v="SK"/>
    <n v="2025"/>
    <n v="36"/>
    <n v="4363"/>
    <n v="0.96500000000000008"/>
    <n v="5162"/>
    <n v="4981"/>
    <x v="0"/>
    <x v="0"/>
    <s v="ASW 22 BLE / 810kg"/>
    <s v="BY"/>
    <s v="Není v databázi"/>
    <m/>
  </r>
  <r>
    <x v="1155"/>
    <x v="4"/>
    <x v="1"/>
    <x v="55"/>
    <x v="3"/>
    <s v="FCC 2025 - Kombi Open"/>
    <s v="SK"/>
    <n v="2025"/>
    <n v="37"/>
    <n v="4328"/>
    <n v="0.96500000000000008"/>
    <n v="5061"/>
    <n v="4884"/>
    <x v="0"/>
    <x v="0"/>
    <s v="JS 3 Jet 600kg"/>
    <s v="UJ"/>
    <s v="Není v databázi"/>
    <m/>
  </r>
  <r>
    <x v="1156"/>
    <x v="4"/>
    <x v="1"/>
    <x v="55"/>
    <x v="3"/>
    <s v="FCC 2025 - Kombi Open"/>
    <s v="SK"/>
    <n v="2025"/>
    <n v="38"/>
    <n v="4264"/>
    <n v="0.96500000000000008"/>
    <n v="4930"/>
    <n v="4757"/>
    <x v="0"/>
    <x v="0"/>
    <s v="EB 29 R 850kg"/>
    <n v="72"/>
    <s v="Není v databázi"/>
    <m/>
  </r>
  <r>
    <x v="353"/>
    <x v="4"/>
    <x v="1"/>
    <x v="55"/>
    <x v="3"/>
    <s v="FCC 2025 - Kombi Open"/>
    <s v="SK"/>
    <n v="2025"/>
    <n v="39"/>
    <n v="3937"/>
    <n v="0.96500000000000008"/>
    <n v="4532"/>
    <n v="4373"/>
    <x v="0"/>
    <x v="0"/>
    <s v="Discus 2ct 570kg"/>
    <s v="DJ"/>
    <s v="Není v databázi"/>
    <m/>
  </r>
  <r>
    <x v="304"/>
    <x v="4"/>
    <x v="1"/>
    <x v="55"/>
    <x v="3"/>
    <s v="FCC 2025 - Kombi Open"/>
    <s v="SK"/>
    <n v="2025"/>
    <n v="40"/>
    <n v="3850"/>
    <n v="0.96500000000000008"/>
    <n v="4378"/>
    <n v="4225"/>
    <x v="0"/>
    <x v="0"/>
    <s v="JS1 18m EVO 600kg"/>
    <s v="TP"/>
    <s v="Není v databázi"/>
    <m/>
  </r>
  <r>
    <x v="333"/>
    <x v="4"/>
    <x v="1"/>
    <x v="55"/>
    <x v="3"/>
    <s v="FCC 2025 - Kombi Open"/>
    <s v="SK"/>
    <n v="2025"/>
    <n v="41"/>
    <n v="3786"/>
    <n v="0.96500000000000008"/>
    <n v="4248"/>
    <n v="4099"/>
    <x v="0"/>
    <x v="0"/>
    <s v="JS1 18m JET EVO 600kg"/>
    <s v="P"/>
    <s v="Není v databázi"/>
    <m/>
  </r>
  <r>
    <x v="292"/>
    <x v="4"/>
    <x v="1"/>
    <x v="55"/>
    <x v="3"/>
    <s v="FCC 2025 - Kombi Open"/>
    <s v="SK"/>
    <n v="2025"/>
    <n v="42"/>
    <n v="3387"/>
    <n v="0.96500000000000008"/>
    <n v="3776"/>
    <n v="3644"/>
    <x v="0"/>
    <x v="0"/>
    <s v="Ventus 3F Sport 600kg"/>
    <s v="LB"/>
    <s v="Není v databázi"/>
    <m/>
  </r>
  <r>
    <x v="369"/>
    <x v="4"/>
    <x v="1"/>
    <x v="55"/>
    <x v="3"/>
    <s v="FCC 2025 - Kombi Open"/>
    <s v="SK"/>
    <n v="2025"/>
    <n v="43"/>
    <n v="2835"/>
    <n v="0.96500000000000008"/>
    <n v="3149"/>
    <n v="3039"/>
    <x v="0"/>
    <x v="0"/>
    <s v="Discus 2cT 565kg"/>
    <s v="EF"/>
    <s v="Není v databázi"/>
    <m/>
  </r>
  <r>
    <x v="1157"/>
    <x v="4"/>
    <x v="1"/>
    <x v="55"/>
    <x v="3"/>
    <s v="FCC 2025 - Kombi Open"/>
    <s v="SK"/>
    <n v="2025"/>
    <n v="44"/>
    <n v="2799"/>
    <n v="0.96500000000000008"/>
    <n v="3047"/>
    <n v="2940"/>
    <x v="0"/>
    <x v="0"/>
    <s v="Ventus 3M 600kg"/>
    <s v="ST"/>
    <s v="Není v databázi"/>
    <m/>
  </r>
  <r>
    <x v="360"/>
    <x v="22"/>
    <x v="0"/>
    <x v="33"/>
    <x v="2"/>
    <s v="FCC 2025 - Kombi Open"/>
    <s v="SK"/>
    <n v="2025"/>
    <n v="45"/>
    <n v="1816"/>
    <n v="0.96500000000000008"/>
    <n v="1980"/>
    <n v="1911"/>
    <x v="1"/>
    <x v="0"/>
    <s v="Diana3 FES 600kg"/>
    <s v="D3"/>
    <s v=""/>
    <m/>
  </r>
  <r>
    <x v="370"/>
    <x v="4"/>
    <x v="1"/>
    <x v="55"/>
    <x v="3"/>
    <s v="FCC 2025 - Kombi Open"/>
    <s v="SK"/>
    <n v="2025"/>
    <n v="46"/>
    <n v="1293"/>
    <n v="0.96500000000000008"/>
    <n v="1382"/>
    <n v="1334"/>
    <x v="0"/>
    <x v="0"/>
    <s v="ASG 29 ES 600kg"/>
    <s v="RB"/>
    <s v="Není v databázi"/>
    <m/>
  </r>
  <r>
    <x v="367"/>
    <x v="4"/>
    <x v="1"/>
    <x v="55"/>
    <x v="3"/>
    <s v="FCC 2025 - Kombi Open"/>
    <s v="SK"/>
    <n v="2025"/>
    <n v="47"/>
    <n v="478"/>
    <n v="0.96500000000000008"/>
    <n v="487"/>
    <n v="470"/>
    <x v="0"/>
    <x v="0"/>
    <s v="ASG 32 Mi"/>
    <s v="IV"/>
    <s v="Není v databázi"/>
    <m/>
  </r>
  <r>
    <x v="5"/>
    <x v="4"/>
    <x v="0"/>
    <x v="5"/>
    <x v="4"/>
    <s v="Fatraglide 2025 - Klub"/>
    <s v="SK"/>
    <n v="2025"/>
    <n v="1"/>
    <n v="4952"/>
    <n v="0.76"/>
    <n v="10000"/>
    <n v="7600"/>
    <x v="0"/>
    <x v="0"/>
    <s v="ASW 20"/>
    <n v="311"/>
    <s v="Není v databázi"/>
    <m/>
  </r>
  <r>
    <x v="124"/>
    <x v="30"/>
    <x v="0"/>
    <x v="21"/>
    <x v="0"/>
    <s v="Fatraglide 2025 - Klub"/>
    <s v="SK"/>
    <n v="2025"/>
    <n v="2"/>
    <n v="4928"/>
    <n v="0.76"/>
    <n v="9830"/>
    <n v="7471"/>
    <x v="1"/>
    <x v="0"/>
    <s v="ASW 19 B"/>
    <s v="XS"/>
    <s v=""/>
    <m/>
  </r>
  <r>
    <x v="883"/>
    <x v="4"/>
    <x v="1"/>
    <x v="145"/>
    <x v="3"/>
    <s v="Fatraglide 2025 - Klub"/>
    <s v="SK"/>
    <n v="2025"/>
    <n v="3"/>
    <n v="4789"/>
    <n v="0.76"/>
    <n v="9497"/>
    <n v="7218"/>
    <x v="0"/>
    <x v="0"/>
    <s v="ASW 20"/>
    <s v="IKW"/>
    <s v="Není v databázi"/>
    <m/>
  </r>
  <r>
    <x v="372"/>
    <x v="5"/>
    <x v="0"/>
    <x v="0"/>
    <x v="0"/>
    <s v="Fatraglide 2025 - Klub"/>
    <s v="SK"/>
    <n v="2025"/>
    <n v="4"/>
    <n v="4690"/>
    <n v="0.76"/>
    <n v="9221"/>
    <n v="7008"/>
    <x v="1"/>
    <x v="0"/>
    <s v="ASW 20 A"/>
    <s v="WX"/>
    <s v=""/>
    <m/>
  </r>
  <r>
    <x v="1158"/>
    <x v="4"/>
    <x v="1"/>
    <x v="286"/>
    <x v="3"/>
    <s v="Fatraglide 2025 - Klub"/>
    <s v="SK"/>
    <n v="2025"/>
    <n v="5"/>
    <n v="4323"/>
    <n v="0.76"/>
    <n v="8565"/>
    <n v="6509"/>
    <x v="0"/>
    <x v="0"/>
    <s v="SZD-48-3 M Brawo"/>
    <s v="BI"/>
    <s v="Není v databázi"/>
    <m/>
  </r>
  <r>
    <x v="886"/>
    <x v="4"/>
    <x v="1"/>
    <x v="287"/>
    <x v="3"/>
    <s v="Fatraglide 2025 - Klub"/>
    <s v="SK"/>
    <n v="2025"/>
    <n v="6"/>
    <n v="4183"/>
    <n v="0.76"/>
    <n v="8231"/>
    <n v="6256"/>
    <x v="0"/>
    <x v="0"/>
    <s v="LS 3"/>
    <s v="AN"/>
    <s v="Není v databázi"/>
    <m/>
  </r>
  <r>
    <x v="889"/>
    <x v="4"/>
    <x v="1"/>
    <x v="288"/>
    <x v="3"/>
    <s v="Fatraglide 2025 - Klub"/>
    <s v="SK"/>
    <n v="2025"/>
    <n v="7"/>
    <n v="4138"/>
    <n v="0.76"/>
    <n v="8031"/>
    <n v="6104"/>
    <x v="0"/>
    <x v="0"/>
    <s v="ASW 20"/>
    <s v="TE"/>
    <s v="Není v databázi"/>
    <m/>
  </r>
  <r>
    <x v="1159"/>
    <x v="4"/>
    <x v="1"/>
    <x v="287"/>
    <x v="3"/>
    <s v="Fatraglide 2025 - Klub"/>
    <s v="SK"/>
    <n v="2025"/>
    <n v="8"/>
    <n v="3938"/>
    <n v="0.76"/>
    <n v="7612"/>
    <n v="5785"/>
    <x v="0"/>
    <x v="0"/>
    <s v="SZD-48-3 Jantar Std. 3"/>
    <s v="HI"/>
    <s v="Není v databázi"/>
    <m/>
  </r>
  <r>
    <x v="377"/>
    <x v="4"/>
    <x v="1"/>
    <x v="130"/>
    <x v="3"/>
    <s v="Fatraglide 2025 - Klub"/>
    <s v="SK"/>
    <n v="2025"/>
    <n v="9"/>
    <n v="3928"/>
    <n v="0.76"/>
    <n v="7462"/>
    <n v="5671"/>
    <x v="0"/>
    <x v="0"/>
    <s v="Pegase"/>
    <s v="HS"/>
    <s v="Není v databázi"/>
    <m/>
  </r>
  <r>
    <x v="891"/>
    <x v="4"/>
    <x v="1"/>
    <x v="289"/>
    <x v="3"/>
    <s v="Fatraglide 2025 - Klub"/>
    <s v="SK"/>
    <n v="2025"/>
    <n v="10"/>
    <n v="3465"/>
    <n v="0.76"/>
    <n v="6671"/>
    <n v="5070"/>
    <x v="0"/>
    <x v="0"/>
    <s v="ASW 15"/>
    <s v="NK"/>
    <s v="Není v databázi"/>
    <m/>
  </r>
  <r>
    <x v="1160"/>
    <x v="4"/>
    <x v="1"/>
    <x v="290"/>
    <x v="3"/>
    <s v="Fatraglide 2025 - Klub"/>
    <s v="SK"/>
    <n v="2025"/>
    <n v="11"/>
    <n v="3141"/>
    <n v="0.76"/>
    <n v="6076"/>
    <n v="4618"/>
    <x v="0"/>
    <x v="0"/>
    <s v="SZD-48-3 Jantar Std. 3"/>
    <s v="HO"/>
    <s v="Není v databázi"/>
    <m/>
  </r>
  <r>
    <x v="379"/>
    <x v="4"/>
    <x v="1"/>
    <x v="291"/>
    <x v="3"/>
    <s v="Fatraglide 2025 - Klub"/>
    <s v="SK"/>
    <n v="2025"/>
    <n v="12"/>
    <n v="3032"/>
    <n v="0.76"/>
    <n v="5786"/>
    <n v="4397"/>
    <x v="0"/>
    <x v="0"/>
    <s v="Mini Nimbus"/>
    <s v="SU"/>
    <s v="Není v databázi"/>
    <m/>
  </r>
  <r>
    <x v="376"/>
    <x v="4"/>
    <x v="1"/>
    <x v="130"/>
    <x v="3"/>
    <s v="Fatraglide 2025 - Klub"/>
    <s v="SK"/>
    <n v="2025"/>
    <n v="13"/>
    <n v="3031"/>
    <n v="0.76"/>
    <n v="5648"/>
    <n v="4292"/>
    <x v="0"/>
    <x v="0"/>
    <s v="Std. Cirrus"/>
    <s v="MJ"/>
    <s v="Není v databázi"/>
    <m/>
  </r>
  <r>
    <x v="893"/>
    <x v="4"/>
    <x v="1"/>
    <x v="5"/>
    <x v="3"/>
    <s v="Fatraglide 2025 - Klub"/>
    <s v="SK"/>
    <n v="2025"/>
    <n v="14"/>
    <n v="2753"/>
    <n v="0.76"/>
    <n v="5119"/>
    <n v="3890"/>
    <x v="0"/>
    <x v="0"/>
    <s v="Std. Cirrus WL"/>
    <s v="LX"/>
    <s v="Není v databázi"/>
    <m/>
  </r>
  <r>
    <x v="892"/>
    <x v="4"/>
    <x v="1"/>
    <x v="292"/>
    <x v="3"/>
    <s v="Fatraglide 2025 - Klub"/>
    <s v="SK"/>
    <n v="2025"/>
    <n v="15"/>
    <n v="2703"/>
    <n v="0.76"/>
    <n v="4912"/>
    <n v="3733"/>
    <x v="0"/>
    <x v="0"/>
    <s v="LS 3"/>
    <s v="AK"/>
    <s v="Není v databázi"/>
    <m/>
  </r>
  <r>
    <x v="894"/>
    <x v="4"/>
    <x v="1"/>
    <x v="293"/>
    <x v="3"/>
    <s v="Fatraglide 2025 - Klub"/>
    <s v="SK"/>
    <n v="2025"/>
    <n v="16"/>
    <n v="2405"/>
    <n v="0.76"/>
    <n v="4354"/>
    <n v="3309"/>
    <x v="0"/>
    <x v="0"/>
    <s v="Std. Cirrus"/>
    <s v="SA"/>
    <s v="Není v databázi"/>
    <m/>
  </r>
  <r>
    <x v="378"/>
    <x v="4"/>
    <x v="1"/>
    <x v="5"/>
    <x v="3"/>
    <s v="Fatraglide 2025 - Klub"/>
    <s v="SK"/>
    <n v="2025"/>
    <n v="17"/>
    <n v="2318"/>
    <n v="0.76"/>
    <n v="4095"/>
    <n v="3112"/>
    <x v="0"/>
    <x v="0"/>
    <s v="ASW 19"/>
    <s v="A4"/>
    <s v="Není v databázi"/>
    <m/>
  </r>
  <r>
    <x v="1161"/>
    <x v="4"/>
    <x v="1"/>
    <x v="294"/>
    <x v="3"/>
    <s v="Fatraglide 2025 - Klub"/>
    <s v="SK"/>
    <n v="2025"/>
    <n v="18"/>
    <n v="1954"/>
    <n v="0.76"/>
    <n v="3444"/>
    <n v="2617"/>
    <x v="0"/>
    <x v="0"/>
    <s v="Pegase A"/>
    <s v="PC"/>
    <s v="Není v databázi"/>
    <m/>
  </r>
  <r>
    <x v="381"/>
    <x v="4"/>
    <x v="1"/>
    <x v="145"/>
    <x v="3"/>
    <s v="Fatraglide 2025 - Klub"/>
    <s v="SK"/>
    <n v="2025"/>
    <n v="19"/>
    <n v="1862"/>
    <n v="0.76"/>
    <n v="3178"/>
    <n v="2415"/>
    <x v="0"/>
    <x v="0"/>
    <s v="Pegase"/>
    <s v="MT"/>
    <s v="Není v databázi"/>
    <m/>
  </r>
  <r>
    <x v="1162"/>
    <x v="4"/>
    <x v="1"/>
    <x v="144"/>
    <x v="3"/>
    <s v="Fatraglide 2025 - Klub"/>
    <s v="SK"/>
    <n v="2025"/>
    <n v="20"/>
    <n v="1846"/>
    <n v="0.76"/>
    <n v="3019"/>
    <n v="2294"/>
    <x v="0"/>
    <x v="0"/>
    <s v="ASW 15b"/>
    <s v="AP"/>
    <s v="Není v databázi"/>
    <m/>
  </r>
  <r>
    <x v="1163"/>
    <x v="4"/>
    <x v="1"/>
    <x v="145"/>
    <x v="3"/>
    <s v="Fatraglide 2025 - Klub"/>
    <s v="SK"/>
    <n v="2025"/>
    <n v="21"/>
    <n v="1326"/>
    <n v="0.76"/>
    <n v="2147"/>
    <n v="1632"/>
    <x v="0"/>
    <x v="0"/>
    <s v="LS 4"/>
    <s v="MA"/>
    <s v="Není v databázi"/>
    <m/>
  </r>
  <r>
    <x v="384"/>
    <x v="4"/>
    <x v="1"/>
    <x v="295"/>
    <x v="3"/>
    <s v="Fatraglide 2025 - Klub"/>
    <s v="SK"/>
    <n v="2025"/>
    <n v="22"/>
    <n v="1271"/>
    <n v="0.76"/>
    <n v="1933"/>
    <n v="1469"/>
    <x v="0"/>
    <x v="0"/>
    <s v="ASW 19 B"/>
    <s v="A1"/>
    <s v="Není v databázi"/>
    <m/>
  </r>
  <r>
    <x v="1164"/>
    <x v="4"/>
    <x v="1"/>
    <x v="132"/>
    <x v="3"/>
    <s v="Fatraglide 2025 - Klub"/>
    <s v="SK"/>
    <n v="2025"/>
    <n v="23"/>
    <n v="1069"/>
    <n v="0.76"/>
    <n v="1511"/>
    <n v="1148"/>
    <x v="0"/>
    <x v="0"/>
    <s v="VSO-10"/>
    <s v="OSA"/>
    <s v="Není v databázi"/>
    <m/>
  </r>
  <r>
    <x v="881"/>
    <x v="4"/>
    <x v="1"/>
    <x v="296"/>
    <x v="3"/>
    <s v="Fatraglide 2025 - Klub"/>
    <s v="SK"/>
    <n v="2025"/>
    <s v="HC"/>
    <n v="922"/>
    <n v="0.76"/>
    <n v="0"/>
    <n v="0"/>
    <x v="0"/>
    <x v="0"/>
    <s v="ASW 20"/>
    <s v="S"/>
    <s v="Není v databázi"/>
    <m/>
  </r>
  <r>
    <x v="1165"/>
    <x v="4"/>
    <x v="1"/>
    <x v="273"/>
    <x v="3"/>
    <s v="Fatraglide 2025 - Klub"/>
    <s v="SK"/>
    <n v="2025"/>
    <s v="HC"/>
    <n v="78"/>
    <n v="0.76"/>
    <n v="0"/>
    <n v="0"/>
    <x v="0"/>
    <x v="0"/>
    <s v="G 103 Twin Astir RG"/>
    <s v="MK"/>
    <s v="Není v databázi"/>
    <m/>
  </r>
  <r>
    <x v="511"/>
    <x v="4"/>
    <x v="1"/>
    <x v="145"/>
    <x v="3"/>
    <s v="Fatraglide 2025 - Klub"/>
    <s v="SK"/>
    <n v="2025"/>
    <s v="HC"/>
    <n v="0"/>
    <n v="0.76"/>
    <n v="0"/>
    <n v="0"/>
    <x v="0"/>
    <x v="0"/>
    <s v="ASW 24 WL"/>
    <s v="CK"/>
    <s v="Není v databázi"/>
    <m/>
  </r>
  <r>
    <x v="387"/>
    <x v="4"/>
    <x v="1"/>
    <x v="133"/>
    <x v="3"/>
    <s v="Fatraglide 2025 - Kombi"/>
    <s v="SK"/>
    <n v="2025"/>
    <n v="1"/>
    <n v="5301"/>
    <n v="0.76"/>
    <n v="10000"/>
    <n v="7600"/>
    <x v="0"/>
    <x v="0"/>
    <s v="JS3 RES 18m"/>
    <s v="VV"/>
    <s v="Není v databázi"/>
    <m/>
  </r>
  <r>
    <x v="389"/>
    <x v="4"/>
    <x v="1"/>
    <x v="297"/>
    <x v="3"/>
    <s v="Fatraglide 2025 - Kombi"/>
    <s v="SK"/>
    <n v="2025"/>
    <n v="2"/>
    <n v="5043"/>
    <n v="0.76"/>
    <n v="9483"/>
    <n v="7207"/>
    <x v="0"/>
    <x v="0"/>
    <s v="Ventus 2cxT 18m 565 kg"/>
    <s v="AI"/>
    <s v="Není v databázi"/>
    <m/>
  </r>
  <r>
    <x v="671"/>
    <x v="4"/>
    <x v="1"/>
    <x v="293"/>
    <x v="3"/>
    <s v="Fatraglide 2025 - Kombi"/>
    <s v="SK"/>
    <n v="2025"/>
    <n v="3"/>
    <n v="4983"/>
    <n v="0.76"/>
    <n v="9227"/>
    <n v="7013"/>
    <x v="0"/>
    <x v="0"/>
    <s v="Ventus 2b"/>
    <s v="VI"/>
    <s v="Není v databázi"/>
    <m/>
  </r>
  <r>
    <x v="391"/>
    <x v="4"/>
    <x v="1"/>
    <x v="5"/>
    <x v="3"/>
    <s v="Fatraglide 2025 - Kombi"/>
    <s v="SK"/>
    <n v="2025"/>
    <n v="4"/>
    <n v="4837"/>
    <n v="0.76"/>
    <n v="8858"/>
    <n v="6732"/>
    <x v="0"/>
    <x v="0"/>
    <s v="JS1C TJ 21m"/>
    <s v="J"/>
    <s v="Není v databázi"/>
    <m/>
  </r>
  <r>
    <x v="678"/>
    <x v="4"/>
    <x v="1"/>
    <x v="298"/>
    <x v="3"/>
    <s v="Fatraglide 2025 - Kombi"/>
    <s v="SK"/>
    <n v="2025"/>
    <n v="5"/>
    <n v="4822"/>
    <n v="0.76"/>
    <n v="8662"/>
    <n v="6583"/>
    <x v="0"/>
    <x v="0"/>
    <s v="ASG 29 E 18m"/>
    <s v="LK"/>
    <s v="Není v databázi"/>
    <m/>
  </r>
  <r>
    <x v="526"/>
    <x v="4"/>
    <x v="1"/>
    <x v="299"/>
    <x v="3"/>
    <s v="Fatraglide 2025 - Kombi"/>
    <s v="SK"/>
    <n v="2025"/>
    <n v="6"/>
    <n v="4576"/>
    <n v="0.76"/>
    <n v="8160"/>
    <n v="6202"/>
    <x v="0"/>
    <x v="0"/>
    <s v="SZD-56-2 Diana 2 FES"/>
    <s v="ZJ"/>
    <s v="Není v databázi"/>
    <m/>
  </r>
  <r>
    <x v="284"/>
    <x v="4"/>
    <x v="1"/>
    <x v="129"/>
    <x v="3"/>
    <s v="Fatraglide 2025 - Kombi"/>
    <s v="SK"/>
    <n v="2025"/>
    <n v="7"/>
    <n v="4512"/>
    <n v="0.76"/>
    <n v="7899"/>
    <n v="6003"/>
    <x v="0"/>
    <x v="0"/>
    <s v="Arcus M"/>
    <s v="2P"/>
    <s v="Není v databázi"/>
    <m/>
  </r>
  <r>
    <x v="390"/>
    <x v="4"/>
    <x v="1"/>
    <x v="5"/>
    <x v="3"/>
    <s v="Fatraglide 2025 - Kombi"/>
    <s v="SK"/>
    <n v="2025"/>
    <n v="8"/>
    <n v="4509"/>
    <n v="0.76"/>
    <n v="7719"/>
    <n v="5866"/>
    <x v="0"/>
    <x v="0"/>
    <s v="Ventus 2c 18m"/>
    <s v="LN"/>
    <s v="Není v databázi"/>
    <m/>
  </r>
  <r>
    <x v="388"/>
    <x v="4"/>
    <x v="1"/>
    <x v="5"/>
    <x v="3"/>
    <s v="Fatraglide 2025 - Kombi"/>
    <s v="SK"/>
    <n v="2025"/>
    <n v="9"/>
    <n v="4374"/>
    <n v="0.76"/>
    <n v="7364"/>
    <n v="5597"/>
    <x v="0"/>
    <x v="0"/>
    <s v="JS3 TJ 18m"/>
    <s v="3J"/>
    <s v="Není v databázi"/>
    <m/>
  </r>
  <r>
    <x v="281"/>
    <x v="2"/>
    <x v="0"/>
    <x v="60"/>
    <x v="2"/>
    <s v="Fatraglide 2025 - Kombi"/>
    <s v="SK"/>
    <n v="2025"/>
    <n v="10"/>
    <n v="4343"/>
    <n v="0.76"/>
    <n v="7147"/>
    <n v="5432"/>
    <x v="1"/>
    <x v="0"/>
    <s v="HpH 304 TS Twin Shark 850kg"/>
    <s v="PH"/>
    <s v=""/>
    <m/>
  </r>
  <r>
    <x v="1166"/>
    <x v="4"/>
    <x v="1"/>
    <x v="235"/>
    <x v="3"/>
    <s v="Fatraglide 2025 - Kombi"/>
    <s v="SK"/>
    <n v="2025"/>
    <n v="11"/>
    <n v="3966"/>
    <n v="0.76"/>
    <n v="6472"/>
    <n v="4919"/>
    <x v="0"/>
    <x v="0"/>
    <s v="DG 1000T 20m"/>
    <s v="NIT"/>
    <s v="Není v databázi"/>
    <m/>
  </r>
  <r>
    <x v="901"/>
    <x v="4"/>
    <x v="1"/>
    <x v="5"/>
    <x v="3"/>
    <s v="Fatraglide 2025 - Kombi"/>
    <s v="SK"/>
    <n v="2025"/>
    <n v="12"/>
    <n v="3599"/>
    <n v="0.76"/>
    <n v="5811"/>
    <n v="4416"/>
    <x v="0"/>
    <x v="0"/>
    <s v="Ventus cT 17.6m"/>
    <s v="TN"/>
    <s v="Není v databázi"/>
    <m/>
  </r>
  <r>
    <x v="1167"/>
    <x v="4"/>
    <x v="1"/>
    <x v="300"/>
    <x v="3"/>
    <s v="Fatraglide 2025 - Kombi"/>
    <s v="SK"/>
    <n v="2025"/>
    <n v="13"/>
    <n v="3385"/>
    <n v="0.76"/>
    <n v="5352"/>
    <n v="4068"/>
    <x v="0"/>
    <x v="0"/>
    <s v="DG 500 22m"/>
    <s v="FY"/>
    <s v="Není v databázi"/>
    <m/>
  </r>
  <r>
    <x v="903"/>
    <x v="4"/>
    <x v="1"/>
    <x v="5"/>
    <x v="3"/>
    <s v="Fatraglide 2025 - Kombi"/>
    <s v="SK"/>
    <n v="2025"/>
    <n v="14"/>
    <n v="2799"/>
    <n v="0.76"/>
    <n v="4402"/>
    <n v="3346"/>
    <x v="0"/>
    <x v="0"/>
    <s v="Ventus c 17.6m"/>
    <s v="PA"/>
    <s v="Není v databázi"/>
    <m/>
  </r>
  <r>
    <x v="1168"/>
    <x v="4"/>
    <x v="1"/>
    <x v="273"/>
    <x v="3"/>
    <s v="Fatraglide 2025 - Kombi"/>
    <s v="SK"/>
    <n v="2025"/>
    <n v="15"/>
    <n v="2282"/>
    <n v="0.76"/>
    <n v="3543"/>
    <n v="2693"/>
    <x v="0"/>
    <x v="0"/>
    <s v="Duo Discus"/>
    <s v="2X"/>
    <s v="Není v databázi"/>
    <m/>
  </r>
  <r>
    <x v="904"/>
    <x v="4"/>
    <x v="1"/>
    <x v="298"/>
    <x v="3"/>
    <s v="Fatraglide 2025 - Kombi"/>
    <s v="SK"/>
    <n v="2025"/>
    <n v="16"/>
    <n v="1658"/>
    <n v="0.76"/>
    <n v="2542"/>
    <n v="1932"/>
    <x v="0"/>
    <x v="0"/>
    <s v="ASW 27 WL"/>
    <s v="TZ"/>
    <s v="Není v databázi"/>
    <m/>
  </r>
  <r>
    <x v="1169"/>
    <x v="4"/>
    <x v="1"/>
    <x v="134"/>
    <x v="3"/>
    <s v="Fatraglide 2025 - Kombi"/>
    <s v="SK"/>
    <n v="2025"/>
    <n v="17"/>
    <n v="1066"/>
    <n v="0.76"/>
    <n v="1584"/>
    <n v="1204"/>
    <x v="0"/>
    <x v="0"/>
    <s v="Nimbus 2 b"/>
    <s v="VY"/>
    <s v="Není v databázi"/>
    <m/>
  </r>
  <r>
    <x v="386"/>
    <x v="4"/>
    <x v="1"/>
    <x v="145"/>
    <x v="3"/>
    <s v="Fatraglide 2025 - Kombi"/>
    <s v="SK"/>
    <n v="2025"/>
    <n v="18"/>
    <n v="951"/>
    <n v="0.76"/>
    <n v="1256"/>
    <n v="955"/>
    <x v="0"/>
    <x v="0"/>
    <s v="LAK-17C FES 18m"/>
    <s v="PZ"/>
    <s v="Není v databázi"/>
    <m/>
  </r>
  <r>
    <x v="7"/>
    <x v="6"/>
    <x v="0"/>
    <x v="7"/>
    <x v="2"/>
    <s v="Pribina Cup 2025 - Klub"/>
    <s v="SK"/>
    <n v="2025"/>
    <n v="1"/>
    <n v="3123"/>
    <n v="0.91"/>
    <n v="10000"/>
    <n v="9100"/>
    <x v="0"/>
    <x v="0"/>
    <s v="ASW 20"/>
    <s v="LL"/>
    <s v=""/>
    <m/>
  </r>
  <r>
    <x v="881"/>
    <x v="4"/>
    <x v="1"/>
    <x v="296"/>
    <x v="3"/>
    <s v="Pribina Cup 2025 - Klub"/>
    <s v="SK"/>
    <n v="2025"/>
    <n v="2"/>
    <n v="3093"/>
    <n v="0.91"/>
    <n v="9718"/>
    <n v="8843"/>
    <x v="0"/>
    <x v="0"/>
    <s v="ASW-20"/>
    <s v="S"/>
    <s v="Není v databázi"/>
    <m/>
  </r>
  <r>
    <x v="282"/>
    <x v="4"/>
    <x v="1"/>
    <x v="5"/>
    <x v="3"/>
    <s v="Pribina Cup 2025 - Klub"/>
    <s v="SK"/>
    <n v="2025"/>
    <n v="3"/>
    <n v="3014"/>
    <n v="0.91"/>
    <n v="9327"/>
    <n v="8488"/>
    <x v="0"/>
    <x v="0"/>
    <s v="ASW-24+W"/>
    <s v="ZS"/>
    <s v="Není v databázi"/>
    <m/>
  </r>
  <r>
    <x v="1170"/>
    <x v="4"/>
    <x v="1"/>
    <x v="301"/>
    <x v="3"/>
    <s v="Pribina Cup 2025 - Klub"/>
    <s v="SK"/>
    <n v="2025"/>
    <n v="4"/>
    <n v="2851"/>
    <n v="0.91"/>
    <n v="8747"/>
    <n v="7960"/>
    <x v="0"/>
    <x v="0"/>
    <s v="Mosquito"/>
    <n v="33"/>
    <s v="Není v databázi"/>
    <m/>
  </r>
  <r>
    <x v="1171"/>
    <x v="4"/>
    <x v="1"/>
    <x v="302"/>
    <x v="3"/>
    <s v="Pribina Cup 2025 - Klub"/>
    <s v="SK"/>
    <n v="2025"/>
    <n v="5"/>
    <n v="2652"/>
    <n v="0.91"/>
    <n v="8087"/>
    <n v="7359"/>
    <x v="0"/>
    <x v="0"/>
    <s v="Discus b+W"/>
    <s v="CG"/>
    <s v="Není v databázi"/>
    <m/>
  </r>
  <r>
    <x v="841"/>
    <x v="4"/>
    <x v="1"/>
    <x v="303"/>
    <x v="3"/>
    <s v="Pribina Cup 2025 - Klub"/>
    <s v="SK"/>
    <n v="2025"/>
    <n v="6"/>
    <n v="2616"/>
    <n v="0.91"/>
    <n v="7792"/>
    <n v="7091"/>
    <x v="0"/>
    <x v="0"/>
    <s v="LS-7WL"/>
    <s v="FLO"/>
    <s v="Není v databázi"/>
    <m/>
  </r>
  <r>
    <x v="1172"/>
    <x v="4"/>
    <x v="1"/>
    <x v="304"/>
    <x v="3"/>
    <s v="Pribina Cup 2025 - Klub"/>
    <s v="SK"/>
    <n v="2025"/>
    <n v="7"/>
    <n v="2517"/>
    <n v="0.91"/>
    <n v="7356"/>
    <n v="6694"/>
    <x v="0"/>
    <x v="0"/>
    <s v="Mosquito+W"/>
    <s v="YM"/>
    <s v="Není v databázi"/>
    <m/>
  </r>
  <r>
    <x v="1173"/>
    <x v="4"/>
    <x v="1"/>
    <x v="305"/>
    <x v="3"/>
    <s v="Pribina Cup 2025 - Klub"/>
    <s v="SK"/>
    <n v="2025"/>
    <n v="8"/>
    <n v="2441"/>
    <n v="0.91"/>
    <n v="6971"/>
    <n v="6344"/>
    <x v="0"/>
    <x v="0"/>
    <s v="SZD-48 Jantar Std.2+W"/>
    <s v="M4"/>
    <s v="Není v databázi"/>
    <m/>
  </r>
  <r>
    <x v="847"/>
    <x v="4"/>
    <x v="1"/>
    <x v="306"/>
    <x v="3"/>
    <s v="Pribina Cup 2025 - Klub"/>
    <s v="SK"/>
    <n v="2025"/>
    <n v="9"/>
    <n v="2431"/>
    <n v="0.91"/>
    <n v="6735"/>
    <n v="6129"/>
    <x v="0"/>
    <x v="0"/>
    <s v="ASW-20"/>
    <s v="X11"/>
    <s v="Není v databázi"/>
    <m/>
  </r>
  <r>
    <x v="1174"/>
    <x v="4"/>
    <x v="1"/>
    <x v="236"/>
    <x v="3"/>
    <s v="Pribina Cup 2025 - Klub"/>
    <s v="SK"/>
    <n v="2025"/>
    <n v="10"/>
    <n v="1629"/>
    <n v="0.91"/>
    <n v="4723"/>
    <n v="4298"/>
    <x v="0"/>
    <x v="0"/>
    <s v="Std. Cirrus+W"/>
    <s v="IPF"/>
    <s v="Není v databázi"/>
    <m/>
  </r>
  <r>
    <x v="1158"/>
    <x v="4"/>
    <x v="1"/>
    <x v="286"/>
    <x v="3"/>
    <s v="Pribina Cup 2025 - Klub"/>
    <s v="SK"/>
    <n v="2025"/>
    <n v="11"/>
    <n v="1427"/>
    <n v="0.91"/>
    <n v="4056"/>
    <n v="3691"/>
    <x v="0"/>
    <x v="0"/>
    <s v="SZD-48 Jantar Std.2"/>
    <s v="BI"/>
    <s v="Není v databázi"/>
    <m/>
  </r>
  <r>
    <x v="374"/>
    <x v="4"/>
    <x v="1"/>
    <x v="5"/>
    <x v="3"/>
    <s v="Pribina Cup 2025 - Klub"/>
    <s v="SK"/>
    <n v="2025"/>
    <n v="12"/>
    <n v="1141"/>
    <n v="0.91"/>
    <n v="3200"/>
    <n v="2912"/>
    <x v="0"/>
    <x v="0"/>
    <s v="ASW-20C"/>
    <s v="VG"/>
    <s v="Není v databázi"/>
    <m/>
  </r>
  <r>
    <x v="1175"/>
    <x v="4"/>
    <x v="1"/>
    <x v="307"/>
    <x v="3"/>
    <s v="Pribina Cup 2025 - Klub"/>
    <s v="SK"/>
    <n v="2025"/>
    <n v="13"/>
    <n v="862"/>
    <n v="0.91"/>
    <n v="2361"/>
    <n v="2149"/>
    <x v="0"/>
    <x v="0"/>
    <s v="ASW-20"/>
    <s v="FR"/>
    <s v="Není v databázi"/>
    <m/>
  </r>
  <r>
    <x v="378"/>
    <x v="4"/>
    <x v="1"/>
    <x v="5"/>
    <x v="3"/>
    <s v="Pribina Cup 2025 - Klub"/>
    <s v="SK"/>
    <n v="2025"/>
    <n v="14"/>
    <n v="710"/>
    <n v="0.91"/>
    <n v="1806"/>
    <n v="1643"/>
    <x v="0"/>
    <x v="0"/>
    <s v="ASW-19B"/>
    <s v="A4"/>
    <s v="Není v databázi"/>
    <m/>
  </r>
  <r>
    <x v="383"/>
    <x v="4"/>
    <x v="1"/>
    <x v="308"/>
    <x v="3"/>
    <s v="Pribina Cup 2025 - Klub"/>
    <s v="SK"/>
    <n v="2025"/>
    <n v="15"/>
    <n v="519"/>
    <n v="0.91"/>
    <n v="1163"/>
    <n v="1058"/>
    <x v="0"/>
    <x v="0"/>
    <s v="LS-1f"/>
    <s v="HI"/>
    <s v="Není v databázi"/>
    <m/>
  </r>
  <r>
    <x v="498"/>
    <x v="4"/>
    <x v="1"/>
    <x v="277"/>
    <x v="3"/>
    <s v="Pribina Cup 2025 - Kombi 15m"/>
    <s v="SK"/>
    <n v="2025"/>
    <n v="1"/>
    <n v="3048"/>
    <n v="0.92500000000000004"/>
    <n v="10000"/>
    <n v="9250"/>
    <x v="0"/>
    <x v="0"/>
    <s v="Duo Discus XLT"/>
    <s v="POL"/>
    <s v="Není v databázi"/>
    <m/>
  </r>
  <r>
    <x v="1176"/>
    <x v="4"/>
    <x v="1"/>
    <x v="309"/>
    <x v="3"/>
    <s v="Pribina Cup 2025 - Kombi 15m"/>
    <s v="SK"/>
    <n v="2025"/>
    <n v="2"/>
    <n v="2775"/>
    <n v="0.92500000000000004"/>
    <n v="9197"/>
    <n v="8507"/>
    <x v="0"/>
    <x v="0"/>
    <s v="Ventus 2ax"/>
    <s v="VVI"/>
    <s v="Není v databázi"/>
    <m/>
  </r>
  <r>
    <x v="589"/>
    <x v="4"/>
    <x v="1"/>
    <x v="310"/>
    <x v="3"/>
    <s v="Pribina Cup 2025 - Kombi 15m"/>
    <s v="SK"/>
    <n v="2025"/>
    <n v="3"/>
    <n v="2755"/>
    <n v="0.92500000000000004"/>
    <n v="8974"/>
    <n v="8301"/>
    <x v="0"/>
    <x v="0"/>
    <s v="Discus 2a"/>
    <s v="AX"/>
    <s v="Není v databázi"/>
    <m/>
  </r>
  <r>
    <x v="1177"/>
    <x v="4"/>
    <x v="1"/>
    <x v="311"/>
    <x v="3"/>
    <s v="Pribina Cup 2025 - Kombi 15m"/>
    <s v="SK"/>
    <n v="2025"/>
    <n v="4"/>
    <n v="2734"/>
    <n v="0.92500000000000004"/>
    <n v="8749"/>
    <n v="8093"/>
    <x v="0"/>
    <x v="0"/>
    <s v="HpH 304 CZ"/>
    <s v="K"/>
    <s v="Není v databázi"/>
    <m/>
  </r>
  <r>
    <x v="866"/>
    <x v="4"/>
    <x v="1"/>
    <x v="312"/>
    <x v="3"/>
    <s v="Pribina Cup 2025 - Kombi 15m"/>
    <s v="SK"/>
    <n v="2025"/>
    <n v="5"/>
    <n v="2619"/>
    <n v="0.92500000000000004"/>
    <n v="8309"/>
    <n v="7686"/>
    <x v="0"/>
    <x v="0"/>
    <s v="LS-8"/>
    <n v="302"/>
    <s v="Není v databázi"/>
    <m/>
  </r>
  <r>
    <x v="1027"/>
    <x v="4"/>
    <x v="1"/>
    <x v="313"/>
    <x v="3"/>
    <s v="Pribina Cup 2025 - Kombi 15m"/>
    <s v="SK"/>
    <n v="2025"/>
    <n v="6"/>
    <n v="2546"/>
    <n v="0.92500000000000004"/>
    <n v="7965"/>
    <n v="7368"/>
    <x v="0"/>
    <x v="0"/>
    <s v="LS-8a"/>
    <s v="JK"/>
    <s v="Není v databázi"/>
    <m/>
  </r>
  <r>
    <x v="1128"/>
    <x v="4"/>
    <x v="1"/>
    <x v="108"/>
    <x v="3"/>
    <s v="Pribina Cup 2025 - Kombi 15m"/>
    <s v="SK"/>
    <n v="2025"/>
    <n v="7"/>
    <n v="2517"/>
    <n v="0.92500000000000004"/>
    <n v="7722"/>
    <n v="7143"/>
    <x v="0"/>
    <x v="0"/>
    <s v="LS-8"/>
    <s v="LOT"/>
    <s v="Není v databázi"/>
    <m/>
  </r>
  <r>
    <x v="1023"/>
    <x v="4"/>
    <x v="1"/>
    <x v="311"/>
    <x v="3"/>
    <s v="Pribina Cup 2025 - Kombi 15m"/>
    <s v="SK"/>
    <n v="2025"/>
    <n v="8"/>
    <n v="2483"/>
    <n v="0.92500000000000004"/>
    <n v="7467"/>
    <n v="6907"/>
    <x v="0"/>
    <x v="0"/>
    <s v="LS-8"/>
    <s v="GP"/>
    <s v="Není v databázi"/>
    <m/>
  </r>
  <r>
    <x v="1025"/>
    <x v="4"/>
    <x v="1"/>
    <x v="314"/>
    <x v="3"/>
    <s v="Pribina Cup 2025 - Kombi 15m"/>
    <s v="SK"/>
    <n v="2025"/>
    <n v="9"/>
    <n v="2375"/>
    <n v="0.92500000000000004"/>
    <n v="7043"/>
    <n v="6515"/>
    <x v="0"/>
    <x v="0"/>
    <s v="LS-8a"/>
    <s v="AR"/>
    <s v="Není v databázi"/>
    <m/>
  </r>
  <r>
    <x v="246"/>
    <x v="31"/>
    <x v="0"/>
    <x v="3"/>
    <x v="2"/>
    <s v="Pribina Cup 2025 - Kombi 15m"/>
    <s v="SK"/>
    <n v="2025"/>
    <n v="10"/>
    <n v="2374"/>
    <n v="0.92500000000000004"/>
    <n v="6864"/>
    <n v="6349"/>
    <x v="0"/>
    <x v="0"/>
    <s v="LS-8b"/>
    <s v="FX"/>
    <s v=""/>
    <m/>
  </r>
  <r>
    <x v="551"/>
    <x v="4"/>
    <x v="1"/>
    <x v="81"/>
    <x v="3"/>
    <s v="Pribina Cup 2025 - Kombi 15m"/>
    <s v="SK"/>
    <n v="2025"/>
    <n v="11"/>
    <n v="2288"/>
    <n v="0.92500000000000004"/>
    <n v="6490"/>
    <n v="6003"/>
    <x v="0"/>
    <x v="0"/>
    <s v="Discus 2a"/>
    <s v="Y"/>
    <s v="Není v databázi"/>
    <m/>
  </r>
  <r>
    <x v="51"/>
    <x v="16"/>
    <x v="2"/>
    <x v="24"/>
    <x v="1"/>
    <s v="Pribina Cup 2025 - Kombi 15m"/>
    <s v="SK"/>
    <n v="2025"/>
    <n v="12"/>
    <n v="2286"/>
    <n v="0.92500000000000004"/>
    <n v="6309"/>
    <n v="5836"/>
    <x v="0"/>
    <x v="0"/>
    <s v="LS 8"/>
    <s v="C6"/>
    <s v=""/>
    <m/>
  </r>
  <r>
    <x v="1178"/>
    <x v="4"/>
    <x v="1"/>
    <x v="189"/>
    <x v="3"/>
    <s v="Pribina Cup 2025 - Kombi 15m"/>
    <s v="SK"/>
    <n v="2025"/>
    <n v="13"/>
    <n v="2236"/>
    <n v="0.92500000000000004"/>
    <n v="6018"/>
    <n v="5567"/>
    <x v="0"/>
    <x v="0"/>
    <s v="LS-8a"/>
    <s v="BY"/>
    <s v="Není v databázi"/>
    <m/>
  </r>
  <r>
    <x v="557"/>
    <x v="4"/>
    <x v="1"/>
    <x v="315"/>
    <x v="3"/>
    <s v="Pribina Cup 2025 - Kombi 15m"/>
    <s v="SK"/>
    <n v="2025"/>
    <n v="14"/>
    <n v="2227"/>
    <n v="0.92500000000000004"/>
    <n v="5820"/>
    <n v="5384"/>
    <x v="0"/>
    <x v="0"/>
    <s v="Ventus 3T 15m"/>
    <s v="3V"/>
    <s v="Není v databázi"/>
    <m/>
  </r>
  <r>
    <x v="31"/>
    <x v="4"/>
    <x v="1"/>
    <x v="235"/>
    <x v="3"/>
    <s v="Pribina Cup 2025 - Kombi 15m"/>
    <s v="SK"/>
    <n v="2025"/>
    <n v="15"/>
    <n v="2123"/>
    <n v="0.92500000000000004"/>
    <n v="5405"/>
    <n v="5000"/>
    <x v="0"/>
    <x v="0"/>
    <s v="JS3 TJ 15m"/>
    <n v="3"/>
    <s v="Není v databázi"/>
    <m/>
  </r>
  <r>
    <x v="843"/>
    <x v="4"/>
    <x v="1"/>
    <x v="316"/>
    <x v="3"/>
    <s v="Pribina Cup 2025 - Kombi 15m"/>
    <s v="SK"/>
    <n v="2025"/>
    <n v="16"/>
    <n v="2069"/>
    <n v="0.92500000000000004"/>
    <n v="5105"/>
    <n v="4722"/>
    <x v="0"/>
    <x v="0"/>
    <s v="Discus 2b"/>
    <s v="PK"/>
    <s v="Není v databázi"/>
    <m/>
  </r>
  <r>
    <x v="1144"/>
    <x v="4"/>
    <x v="1"/>
    <x v="317"/>
    <x v="3"/>
    <s v="Pribina Cup 2025 - Kombi 15m"/>
    <s v="SK"/>
    <n v="2025"/>
    <n v="17"/>
    <n v="1611"/>
    <n v="0.92500000000000004"/>
    <n v="3876"/>
    <n v="3585"/>
    <x v="0"/>
    <x v="0"/>
    <s v="LS-8"/>
    <s v="D7"/>
    <s v="Není v databázi"/>
    <m/>
  </r>
  <r>
    <x v="335"/>
    <x v="4"/>
    <x v="1"/>
    <x v="235"/>
    <x v="3"/>
    <s v="Pribina Cup 2025 - Kombi 15m"/>
    <s v="SK"/>
    <n v="2025"/>
    <n v="18"/>
    <n v="641"/>
    <n v="0.92500000000000004"/>
    <n v="1472"/>
    <n v="1362"/>
    <x v="0"/>
    <x v="0"/>
    <s v="Discus 2cT"/>
    <s v="JH"/>
    <s v="Není v databázi"/>
    <m/>
  </r>
  <r>
    <x v="1179"/>
    <x v="4"/>
    <x v="1"/>
    <x v="246"/>
    <x v="3"/>
    <s v="Pribina Cup 2025 - Kombi Open"/>
    <s v="SK"/>
    <n v="2025"/>
    <n v="1"/>
    <n v="2825"/>
    <n v="0.92500000000000004"/>
    <n v="10000"/>
    <n v="9250"/>
    <x v="0"/>
    <x v="0"/>
    <s v="Arcus"/>
    <n v="13"/>
    <s v="Není v databázi"/>
    <m/>
  </r>
  <r>
    <x v="1180"/>
    <x v="4"/>
    <x v="1"/>
    <x v="55"/>
    <x v="3"/>
    <s v="Pribina Cup 2025 - Kombi Open"/>
    <s v="SK"/>
    <n v="2025"/>
    <n v="2"/>
    <n v="2570"/>
    <n v="0.92500000000000004"/>
    <n v="9201"/>
    <n v="8511"/>
    <x v="0"/>
    <x v="0"/>
    <s v="Arcus"/>
    <s v="BN"/>
    <s v="Není v databázi"/>
    <m/>
  </r>
  <r>
    <x v="837"/>
    <x v="4"/>
    <x v="1"/>
    <x v="318"/>
    <x v="3"/>
    <s v="Pribina Cup 2025 - Kombi Open"/>
    <s v="SK"/>
    <n v="2025"/>
    <n v="3"/>
    <n v="2464"/>
    <n v="0.92500000000000004"/>
    <n v="8772"/>
    <n v="8114"/>
    <x v="0"/>
    <x v="0"/>
    <s v="Ventus 3T 18m"/>
    <s v="IYB"/>
    <s v="Není v databázi"/>
    <m/>
  </r>
  <r>
    <x v="28"/>
    <x v="20"/>
    <x v="0"/>
    <x v="18"/>
    <x v="2"/>
    <s v="Pribina Cup 2025 - Kombi Open"/>
    <s v="SK"/>
    <n v="2025"/>
    <n v="4"/>
    <n v="2424"/>
    <n v="0.92500000000000004"/>
    <n v="8506"/>
    <n v="7868"/>
    <x v="0"/>
    <x v="0"/>
    <s v="JS3 RES 18m"/>
    <s v="Q1"/>
    <s v=""/>
    <m/>
  </r>
  <r>
    <x v="387"/>
    <x v="4"/>
    <x v="1"/>
    <x v="133"/>
    <x v="3"/>
    <s v="Pribina Cup 2025 - Kombi Open"/>
    <s v="SK"/>
    <n v="2025"/>
    <n v="5"/>
    <n v="2364"/>
    <n v="0.92500000000000004"/>
    <n v="8191"/>
    <n v="7577"/>
    <x v="0"/>
    <x v="0"/>
    <s v="JS3 RES 18m"/>
    <s v="VV"/>
    <s v="Není v databázi"/>
    <m/>
  </r>
  <r>
    <x v="1181"/>
    <x v="4"/>
    <x v="1"/>
    <x v="55"/>
    <x v="3"/>
    <s v="Pribina Cup 2025 - Kombi Open"/>
    <s v="SK"/>
    <n v="2025"/>
    <n v="6"/>
    <n v="2198"/>
    <n v="0.92500000000000004"/>
    <n v="7613"/>
    <n v="7042"/>
    <x v="0"/>
    <x v="0"/>
    <s v="Arcus"/>
    <s v="SP"/>
    <s v="Není v databázi"/>
    <m/>
  </r>
  <r>
    <x v="53"/>
    <x v="34"/>
    <x v="2"/>
    <x v="2"/>
    <x v="0"/>
    <s v="Pribina Cup 2025 - Kombi Open"/>
    <s v="SK"/>
    <n v="2025"/>
    <n v="7"/>
    <n v="2059"/>
    <n v="0.92500000000000004"/>
    <n v="7102"/>
    <n v="6569"/>
    <x v="0"/>
    <x v="0"/>
    <s v="AS 33 Es 18m"/>
    <s v="EA"/>
    <s v="Junior v roce 2026"/>
    <m/>
  </r>
  <r>
    <x v="351"/>
    <x v="4"/>
    <x v="1"/>
    <x v="319"/>
    <x v="3"/>
    <s v="Pribina Cup 2025 - Kombi Open"/>
    <s v="SK"/>
    <n v="2025"/>
    <n v="8"/>
    <n v="2047"/>
    <n v="0.92500000000000004"/>
    <n v="6906"/>
    <n v="6388"/>
    <x v="0"/>
    <x v="0"/>
    <s v="AS 33 Es 18m"/>
    <s v="GPS"/>
    <s v="Není v databázi"/>
    <m/>
  </r>
  <r>
    <x v="291"/>
    <x v="18"/>
    <x v="0"/>
    <x v="33"/>
    <x v="2"/>
    <s v="Pribina Cup 2025 - Kombi Open"/>
    <s v="SK"/>
    <n v="2025"/>
    <n v="9"/>
    <n v="2044"/>
    <n v="0.92500000000000004"/>
    <n v="6731"/>
    <n v="6226"/>
    <x v="0"/>
    <x v="0"/>
    <s v="Diana 3 FES"/>
    <s v="B"/>
    <s v=""/>
    <m/>
  </r>
  <r>
    <x v="645"/>
    <x v="4"/>
    <x v="1"/>
    <x v="320"/>
    <x v="3"/>
    <s v="Pribina Cup 2025 - Kombi Open"/>
    <s v="SK"/>
    <n v="2025"/>
    <n v="10"/>
    <n v="1940"/>
    <n v="0.92500000000000004"/>
    <n v="6307"/>
    <n v="5834"/>
    <x v="0"/>
    <x v="0"/>
    <s v="Ventus 2cM 18m"/>
    <s v="CC"/>
    <s v="Není v databázi"/>
    <m/>
  </r>
  <r>
    <x v="900"/>
    <x v="4"/>
    <x v="1"/>
    <x v="321"/>
    <x v="3"/>
    <s v="Pribina Cup 2025 - Kombi Open"/>
    <s v="SK"/>
    <n v="2025"/>
    <n v="11"/>
    <n v="1812"/>
    <n v="0.92500000000000004"/>
    <n v="5823"/>
    <n v="5386"/>
    <x v="0"/>
    <x v="0"/>
    <s v="DG 800 B 18m"/>
    <s v="MU"/>
    <s v="Není v databázi"/>
    <m/>
  </r>
  <r>
    <x v="1182"/>
    <x v="4"/>
    <x v="1"/>
    <x v="55"/>
    <x v="3"/>
    <s v="Pribina Cup 2025 - Kombi Open"/>
    <s v="SK"/>
    <n v="2025"/>
    <n v="12"/>
    <n v="1732"/>
    <n v="0.92500000000000004"/>
    <n v="5458"/>
    <n v="5049"/>
    <x v="0"/>
    <x v="0"/>
    <s v="ASG-32"/>
    <s v="OM"/>
    <s v="Není v databázi"/>
    <m/>
  </r>
  <r>
    <x v="214"/>
    <x v="26"/>
    <x v="0"/>
    <x v="2"/>
    <x v="0"/>
    <s v="Pribina Cup 2025 - Kombi Open"/>
    <s v="SK"/>
    <n v="2025"/>
    <n v="13"/>
    <n v="1547"/>
    <n v="0.92500000000000004"/>
    <n v="4833"/>
    <n v="4471"/>
    <x v="0"/>
    <x v="0"/>
    <s v="Ventus c 17.6m"/>
    <s v="CS"/>
    <s v=""/>
    <m/>
  </r>
  <r>
    <x v="1183"/>
    <x v="4"/>
    <x v="1"/>
    <x v="322"/>
    <x v="3"/>
    <s v="Pribina Cup 2025 - Kombi Open"/>
    <s v="SK"/>
    <n v="2025"/>
    <n v="14"/>
    <n v="1511"/>
    <n v="0.92500000000000004"/>
    <n v="4577"/>
    <n v="4234"/>
    <x v="0"/>
    <x v="0"/>
    <s v="Arcus"/>
    <n v="7"/>
    <s v="Není v databázi"/>
    <m/>
  </r>
  <r>
    <x v="657"/>
    <x v="4"/>
    <x v="1"/>
    <x v="237"/>
    <x v="3"/>
    <s v="Pribina Cup 2025 - Kombi Open"/>
    <s v="SK"/>
    <n v="2025"/>
    <n v="15"/>
    <n v="1266"/>
    <n v="0.92500000000000004"/>
    <n v="3804"/>
    <n v="3519"/>
    <x v="0"/>
    <x v="0"/>
    <s v="JS1-C 21m"/>
    <s v="LI"/>
    <s v="Není v databázi"/>
    <m/>
  </r>
  <r>
    <x v="879"/>
    <x v="4"/>
    <x v="1"/>
    <x v="55"/>
    <x v="3"/>
    <s v="Pribina Cup 2025 - Kombi Open"/>
    <s v="SK"/>
    <n v="2025"/>
    <n v="16"/>
    <n v="1137"/>
    <n v="0.92500000000000004"/>
    <n v="3317"/>
    <n v="3068"/>
    <x v="0"/>
    <x v="0"/>
    <s v="Antares 18T"/>
    <s v="BT"/>
    <s v="Není v databázi"/>
    <m/>
  </r>
  <r>
    <x v="1184"/>
    <x v="4"/>
    <x v="1"/>
    <x v="55"/>
    <x v="3"/>
    <s v="Pribina Cup 2025 - Kombi Open"/>
    <s v="SK"/>
    <n v="2025"/>
    <n v="17"/>
    <n v="786"/>
    <n v="0.92500000000000004"/>
    <n v="2281"/>
    <n v="2110"/>
    <x v="0"/>
    <x v="0"/>
    <s v="Ventus 3T 18m"/>
    <s v="EM"/>
    <s v="Není v databázi"/>
    <m/>
  </r>
  <r>
    <x v="897"/>
    <x v="4"/>
    <x v="1"/>
    <x v="55"/>
    <x v="3"/>
    <s v="Pribina Cup 2025 - Kombi Open"/>
    <s v="SK"/>
    <n v="2025"/>
    <n v="18"/>
    <n v="548"/>
    <n v="0.92500000000000004"/>
    <n v="1525"/>
    <n v="1411"/>
    <x v="0"/>
    <x v="0"/>
    <s v="Arcus"/>
    <s v="2P"/>
    <s v="Není v databázi"/>
    <m/>
  </r>
  <r>
    <x v="362"/>
    <x v="4"/>
    <x v="1"/>
    <x v="55"/>
    <x v="3"/>
    <s v="Pribina Cup 2025 - Kombi Open"/>
    <s v="SK"/>
    <n v="2025"/>
    <n v="19"/>
    <n v="317"/>
    <n v="0.92500000000000004"/>
    <n v="785"/>
    <n v="726"/>
    <x v="0"/>
    <x v="0"/>
    <s v="ASG 29 18m"/>
    <s v="IR"/>
    <s v="Není v databázi"/>
    <m/>
  </r>
  <r>
    <x v="510"/>
    <x v="4"/>
    <x v="1"/>
    <x v="323"/>
    <x v="3"/>
    <s v="JEGC 2025 - Klub"/>
    <s v="SK"/>
    <n v="2025"/>
    <n v="1"/>
    <n v="6646"/>
    <n v="1.0449999999999999"/>
    <n v="10000"/>
    <n v="10450"/>
    <x v="0"/>
    <x v="0"/>
    <s v="LS 4b Neo (365,2)"/>
    <s v="S4"/>
    <s v="Není v databázi"/>
    <m/>
  </r>
  <r>
    <x v="8"/>
    <x v="3"/>
    <x v="0"/>
    <x v="8"/>
    <x v="2"/>
    <s v="JEGC 2025 - Klub"/>
    <s v="SK"/>
    <n v="2025"/>
    <n v="2"/>
    <n v="6519"/>
    <n v="1.0449999999999999"/>
    <n v="9755"/>
    <n v="10194"/>
    <x v="1"/>
    <x v="0"/>
    <s v="ASW 20 (356,4)"/>
    <s v="NW"/>
    <s v="Junior v roce 2026"/>
    <m/>
  </r>
  <r>
    <x v="1185"/>
    <x v="4"/>
    <x v="1"/>
    <x v="324"/>
    <x v="3"/>
    <s v="JEGC 2025 - Klub"/>
    <s v="SK"/>
    <n v="2025"/>
    <n v="3"/>
    <n v="6496"/>
    <n v="1.0449999999999999"/>
    <n v="9620"/>
    <n v="10053"/>
    <x v="0"/>
    <x v="0"/>
    <s v="DG 300 Neo (356,8)"/>
    <s v="PP"/>
    <s v="Není v databázi"/>
    <m/>
  </r>
  <r>
    <x v="404"/>
    <x v="44"/>
    <x v="2"/>
    <x v="12"/>
    <x v="1"/>
    <s v="JEGC 2025 - Klub"/>
    <s v="SK"/>
    <n v="2025"/>
    <n v="4"/>
    <n v="6440"/>
    <n v="1.0449999999999999"/>
    <n v="9450"/>
    <n v="9875"/>
    <x v="1"/>
    <x v="1"/>
    <s v="ASW 20 (355,6)"/>
    <s v="A3"/>
    <s v="Junior v roce 2026"/>
    <m/>
  </r>
  <r>
    <x v="507"/>
    <x v="4"/>
    <x v="1"/>
    <x v="325"/>
    <x v="3"/>
    <s v="JEGC 2025 - Klub"/>
    <s v="SK"/>
    <n v="2025"/>
    <n v="5"/>
    <n v="6420"/>
    <n v="1.0449999999999999"/>
    <n v="9318"/>
    <n v="9737"/>
    <x v="0"/>
    <x v="0"/>
    <s v="LS 7 Neo (343)"/>
    <s v="KT"/>
    <s v="Není v databázi"/>
    <m/>
  </r>
  <r>
    <x v="146"/>
    <x v="17"/>
    <x v="0"/>
    <x v="44"/>
    <x v="1"/>
    <s v="JEGC 2025 - Klub"/>
    <s v="SK"/>
    <n v="2025"/>
    <n v="6"/>
    <n v="6286"/>
    <n v="1.0449999999999999"/>
    <n v="9065"/>
    <n v="9473"/>
    <x v="1"/>
    <x v="0"/>
    <s v="ASW 20 L (376,7)"/>
    <s v="CX"/>
    <s v=""/>
    <m/>
  </r>
  <r>
    <x v="685"/>
    <x v="4"/>
    <x v="1"/>
    <x v="26"/>
    <x v="3"/>
    <s v="JEGC 2025 - Klub"/>
    <s v="SK"/>
    <n v="2025"/>
    <n v="7"/>
    <n v="6272"/>
    <n v="1.0449999999999999"/>
    <n v="8939"/>
    <n v="9341"/>
    <x v="0"/>
    <x v="0"/>
    <s v="ASW 20 (353,2)"/>
    <s v="VL"/>
    <s v="Není v databázi"/>
    <m/>
  </r>
  <r>
    <x v="151"/>
    <x v="4"/>
    <x v="1"/>
    <x v="26"/>
    <x v="3"/>
    <s v="JEGC 2025 - Klub"/>
    <s v="SK"/>
    <n v="2025"/>
    <n v="8"/>
    <n v="6131"/>
    <n v="1.0449999999999999"/>
    <n v="8680"/>
    <n v="9071"/>
    <x v="0"/>
    <x v="0"/>
    <s v="LS 4 (332,6)"/>
    <s v="E10"/>
    <s v="Není v databázi"/>
    <m/>
  </r>
  <r>
    <x v="1177"/>
    <x v="4"/>
    <x v="1"/>
    <x v="324"/>
    <x v="3"/>
    <s v="JEGC 2025 - Klub"/>
    <s v="SK"/>
    <n v="2025"/>
    <n v="9"/>
    <n v="6130"/>
    <n v="1.0449999999999999"/>
    <n v="8568"/>
    <n v="8954"/>
    <x v="0"/>
    <x v="0"/>
    <s v="LS 4 W (337,2)"/>
    <s v="V7"/>
    <s v="Není v databázi"/>
    <m/>
  </r>
  <r>
    <x v="1186"/>
    <x v="4"/>
    <x v="1"/>
    <x v="80"/>
    <x v="3"/>
    <s v="JEGC 2025 - Klub"/>
    <s v="SK"/>
    <n v="2025"/>
    <n v="10"/>
    <n v="5505"/>
    <n v="1.0449999999999999"/>
    <n v="7798"/>
    <n v="8149"/>
    <x v="0"/>
    <x v="0"/>
    <s v="LS 3 (357,9)"/>
    <s v="7T"/>
    <s v="Není v databázi"/>
    <m/>
  </r>
  <r>
    <x v="886"/>
    <x v="4"/>
    <x v="1"/>
    <x v="326"/>
    <x v="3"/>
    <s v="JEGC 2025 - Klub"/>
    <s v="SK"/>
    <n v="2025"/>
    <n v="11"/>
    <n v="5443"/>
    <n v="1.0449999999999999"/>
    <n v="7622"/>
    <n v="7965"/>
    <x v="0"/>
    <x v="0"/>
    <s v="LS 3 (378,4)"/>
    <s v="AN"/>
    <s v="Není v databázi"/>
    <m/>
  </r>
  <r>
    <x v="1176"/>
    <x v="4"/>
    <x v="1"/>
    <x v="324"/>
    <x v="3"/>
    <s v="JEGC 2025 - Klub"/>
    <s v="SK"/>
    <n v="2025"/>
    <n v="12"/>
    <n v="5407"/>
    <n v="1.0449999999999999"/>
    <n v="7473"/>
    <n v="7809"/>
    <x v="0"/>
    <x v="0"/>
    <s v="DG 300 Neo (347,6)"/>
    <s v="3N"/>
    <s v="Není v databázi"/>
    <m/>
  </r>
  <r>
    <x v="862"/>
    <x v="4"/>
    <x v="1"/>
    <x v="323"/>
    <x v="3"/>
    <s v="JEGC 2025 - Klub"/>
    <s v="SK"/>
    <n v="2025"/>
    <n v="13"/>
    <n v="5328"/>
    <n v="1.0449999999999999"/>
    <n v="7278"/>
    <n v="7606"/>
    <x v="0"/>
    <x v="0"/>
    <s v="LS 4a (325,6)"/>
    <s v="AO"/>
    <s v="Není v databázi"/>
    <m/>
  </r>
  <r>
    <x v="1187"/>
    <x v="4"/>
    <x v="1"/>
    <x v="327"/>
    <x v="3"/>
    <s v="JEGC 2025 - Klub"/>
    <s v="SK"/>
    <n v="2025"/>
    <n v="14"/>
    <n v="5255"/>
    <n v="1.0449999999999999"/>
    <n v="7090"/>
    <n v="7409"/>
    <x v="0"/>
    <x v="0"/>
    <s v="LS 4 (334,2)"/>
    <s v="NP"/>
    <s v="Není v databázi"/>
    <m/>
  </r>
  <r>
    <x v="839"/>
    <x v="4"/>
    <x v="1"/>
    <x v="328"/>
    <x v="3"/>
    <s v="JEGC 2025 - Klub"/>
    <s v="SK"/>
    <n v="2025"/>
    <n v="15"/>
    <n v="5193"/>
    <n v="1.0449999999999999"/>
    <n v="6914"/>
    <n v="7225"/>
    <x v="0"/>
    <x v="0"/>
    <s v="ASW 24 W (342,8)"/>
    <s v="RB"/>
    <s v="Není v databázi"/>
    <m/>
  </r>
  <r>
    <x v="1188"/>
    <x v="4"/>
    <x v="1"/>
    <x v="80"/>
    <x v="3"/>
    <s v="JEGC 2025 - Klub"/>
    <s v="SK"/>
    <n v="2025"/>
    <n v="16"/>
    <n v="5162"/>
    <n v="1.0449999999999999"/>
    <n v="6770"/>
    <n v="7075"/>
    <x v="0"/>
    <x v="0"/>
    <s v="ASW 20 WL(347,3)"/>
    <s v="RH"/>
    <s v="Není v databázi"/>
    <m/>
  </r>
  <r>
    <x v="527"/>
    <x v="4"/>
    <x v="1"/>
    <x v="329"/>
    <x v="3"/>
    <s v="JEGC 2025 - Klub"/>
    <s v="SK"/>
    <n v="2025"/>
    <n v="17"/>
    <n v="5014"/>
    <n v="1.0449999999999999"/>
    <n v="6503"/>
    <n v="6796"/>
    <x v="0"/>
    <x v="0"/>
    <s v="LS 4 (351,3)"/>
    <s v="WG"/>
    <s v="Není v databázi"/>
    <m/>
  </r>
  <r>
    <x v="686"/>
    <x v="4"/>
    <x v="1"/>
    <x v="330"/>
    <x v="3"/>
    <s v="JEGC 2025 - Klub"/>
    <s v="SK"/>
    <n v="2025"/>
    <n v="18"/>
    <n v="4928"/>
    <n v="1.0449999999999999"/>
    <n v="6302"/>
    <n v="6586"/>
    <x v="0"/>
    <x v="0"/>
    <s v="ASW 20 L (363,4)"/>
    <n v="212"/>
    <s v="Není v databázi"/>
    <m/>
  </r>
  <r>
    <x v="1130"/>
    <x v="4"/>
    <x v="1"/>
    <x v="26"/>
    <x v="3"/>
    <s v="JEGC 2025 - Klub"/>
    <s v="SK"/>
    <n v="2025"/>
    <n v="19"/>
    <n v="4905"/>
    <n v="1.0449999999999999"/>
    <n v="6166"/>
    <n v="6443"/>
    <x v="0"/>
    <x v="0"/>
    <s v="LS 3 (352,2)"/>
    <s v="9B"/>
    <s v="Není v databázi"/>
    <m/>
  </r>
  <r>
    <x v="519"/>
    <x v="4"/>
    <x v="1"/>
    <x v="328"/>
    <x v="3"/>
    <s v="JEGC 2025 - Klub"/>
    <s v="SK"/>
    <n v="2025"/>
    <n v="20"/>
    <n v="4812"/>
    <n v="1.0449999999999999"/>
    <n v="5957"/>
    <n v="6225"/>
    <x v="0"/>
    <x v="0"/>
    <s v="Discus b (365)"/>
    <s v="5I"/>
    <s v="Není v databázi"/>
    <m/>
  </r>
  <r>
    <x v="847"/>
    <x v="4"/>
    <x v="1"/>
    <x v="331"/>
    <x v="3"/>
    <s v="JEGC 2025 - Klub"/>
    <s v="SK"/>
    <n v="2025"/>
    <s v="HC"/>
    <n v="4756"/>
    <n v="1.0449999999999999"/>
    <n v="0"/>
    <n v="0"/>
    <x v="0"/>
    <x v="0"/>
    <s v="ASW 20 F (376,4)"/>
    <s v="X11"/>
    <s v="Není v databázi"/>
    <m/>
  </r>
  <r>
    <x v="1158"/>
    <x v="4"/>
    <x v="1"/>
    <x v="326"/>
    <x v="3"/>
    <s v="JEGC 2025 - Klub"/>
    <s v="SK"/>
    <n v="2025"/>
    <n v="21"/>
    <n v="4743"/>
    <n v="1.0449999999999999"/>
    <n v="5773"/>
    <n v="6033"/>
    <x v="0"/>
    <x v="0"/>
    <s v="ASW 20 F (373,8)"/>
    <s v="X56"/>
    <s v="Není v databázi"/>
    <m/>
  </r>
  <r>
    <x v="909"/>
    <x v="4"/>
    <x v="1"/>
    <x v="332"/>
    <x v="3"/>
    <s v="JEGC 2025 - Klub"/>
    <s v="SK"/>
    <n v="2025"/>
    <n v="22"/>
    <n v="4697"/>
    <n v="1.0449999999999999"/>
    <n v="5614"/>
    <n v="5867"/>
    <x v="0"/>
    <x v="0"/>
    <s v="Discus CS (337)"/>
    <s v="3D"/>
    <s v="Není v databázi"/>
    <m/>
  </r>
  <r>
    <x v="1189"/>
    <x v="4"/>
    <x v="1"/>
    <x v="80"/>
    <x v="3"/>
    <s v="JEGC 2025 - Klub"/>
    <s v="SK"/>
    <n v="2025"/>
    <n v="23"/>
    <n v="4604"/>
    <n v="1.0449999999999999"/>
    <n v="5405"/>
    <n v="5648"/>
    <x v="0"/>
    <x v="0"/>
    <s v="ASW 20 (356,8)"/>
    <s v="NY"/>
    <s v="Není v databázi"/>
    <m/>
  </r>
  <r>
    <x v="1190"/>
    <x v="4"/>
    <x v="1"/>
    <x v="333"/>
    <x v="3"/>
    <s v="JEGC 2025 - Klub"/>
    <s v="SK"/>
    <n v="2025"/>
    <n v="24"/>
    <n v="4434"/>
    <n v="1.0449999999999999"/>
    <n v="5115"/>
    <n v="5345"/>
    <x v="0"/>
    <x v="0"/>
    <s v="LS 4b (356)"/>
    <s v="LS"/>
    <s v="Není v databázi"/>
    <m/>
  </r>
  <r>
    <x v="1191"/>
    <x v="4"/>
    <x v="1"/>
    <x v="327"/>
    <x v="3"/>
    <s v="JEGC 2025 - Klub"/>
    <s v="SK"/>
    <n v="2025"/>
    <n v="25"/>
    <n v="4349"/>
    <n v="1.0449999999999999"/>
    <n v="4914"/>
    <n v="5135"/>
    <x v="0"/>
    <x v="0"/>
    <s v="LS 4 (351,4)"/>
    <s v="FB"/>
    <s v="Není v databázi"/>
    <m/>
  </r>
  <r>
    <x v="892"/>
    <x v="4"/>
    <x v="1"/>
    <x v="332"/>
    <x v="3"/>
    <s v="JEGC 2025 - Klub"/>
    <s v="SK"/>
    <n v="2025"/>
    <n v="26"/>
    <n v="3362"/>
    <n v="1.0449999999999999"/>
    <n v="3763"/>
    <n v="3932"/>
    <x v="0"/>
    <x v="0"/>
    <s v="LS 3 (363,8)"/>
    <s v="AK"/>
    <s v="Není v databázi"/>
    <m/>
  </r>
  <r>
    <x v="1192"/>
    <x v="4"/>
    <x v="1"/>
    <x v="329"/>
    <x v="3"/>
    <s v="JEGC 2025 - Klub"/>
    <s v="SK"/>
    <n v="2025"/>
    <n v="27"/>
    <n v="3346"/>
    <n v="1.0449999999999999"/>
    <n v="3635"/>
    <n v="3799"/>
    <x v="0"/>
    <x v="0"/>
    <s v="Discus b (344,9)"/>
    <s v="LH"/>
    <s v="Není v databázi"/>
    <m/>
  </r>
  <r>
    <x v="893"/>
    <x v="4"/>
    <x v="1"/>
    <x v="332"/>
    <x v="3"/>
    <s v="JEGC 2025 - Klub"/>
    <s v="SK"/>
    <n v="2025"/>
    <n v="28"/>
    <n v="2096"/>
    <n v="1.0449999999999999"/>
    <n v="2208"/>
    <n v="2307"/>
    <x v="0"/>
    <x v="0"/>
    <s v="Cirrus std W (323,4)"/>
    <s v="LX"/>
    <s v="Není v databázi"/>
    <m/>
  </r>
  <r>
    <x v="3"/>
    <x v="3"/>
    <x v="0"/>
    <x v="3"/>
    <x v="2"/>
    <s v="JEGC 2025 - Std"/>
    <s v="SK"/>
    <n v="2025"/>
    <n v="1"/>
    <n v="6163"/>
    <n v="1.0449999999999999"/>
    <n v="10000"/>
    <n v="10450"/>
    <x v="1"/>
    <x v="0"/>
    <s v="LS 8"/>
    <s v="AU"/>
    <s v="Junior v roce 2026"/>
    <m/>
  </r>
  <r>
    <x v="840"/>
    <x v="4"/>
    <x v="1"/>
    <x v="26"/>
    <x v="3"/>
    <s v="JEGC 2025 - Std"/>
    <s v="SK"/>
    <n v="2025"/>
    <n v="2"/>
    <n v="5974"/>
    <n v="1.0449999999999999"/>
    <n v="9619"/>
    <n v="10052"/>
    <x v="0"/>
    <x v="0"/>
    <s v="LS 8 Neo"/>
    <s v="2E"/>
    <s v="Není v databázi"/>
    <m/>
  </r>
  <r>
    <x v="154"/>
    <x v="4"/>
    <x v="1"/>
    <x v="26"/>
    <x v="3"/>
    <s v="JEGC 2025 - Std"/>
    <s v="SK"/>
    <n v="2025"/>
    <n v="3"/>
    <n v="5641"/>
    <n v="1.0449999999999999"/>
    <n v="9074"/>
    <n v="9482"/>
    <x v="0"/>
    <x v="0"/>
    <s v="LS 8 Neo"/>
    <s v="S2"/>
    <s v="Není v databázi"/>
    <m/>
  </r>
  <r>
    <x v="1193"/>
    <x v="4"/>
    <x v="1"/>
    <x v="324"/>
    <x v="3"/>
    <s v="JEGC 2025 - Std"/>
    <s v="SK"/>
    <n v="2025"/>
    <n v="4"/>
    <n v="5498"/>
    <n v="1.0449999999999999"/>
    <n v="8745"/>
    <n v="9139"/>
    <x v="0"/>
    <x v="0"/>
    <s v="LS 8 Neo"/>
    <s v="A8"/>
    <s v="Není v databázi"/>
    <m/>
  </r>
  <r>
    <x v="514"/>
    <x v="4"/>
    <x v="1"/>
    <x v="326"/>
    <x v="3"/>
    <s v="JEGC 2025 - Std"/>
    <s v="SK"/>
    <n v="2025"/>
    <n v="5"/>
    <n v="5491"/>
    <n v="1.0449999999999999"/>
    <n v="8570"/>
    <n v="8956"/>
    <x v="0"/>
    <x v="0"/>
    <s v="Discus 2a"/>
    <s v="I"/>
    <s v="Není v databázi"/>
    <m/>
  </r>
  <r>
    <x v="538"/>
    <x v="4"/>
    <x v="1"/>
    <x v="334"/>
    <x v="3"/>
    <s v="JEGC 2025 - Std"/>
    <s v="SK"/>
    <n v="2025"/>
    <n v="6"/>
    <n v="5425"/>
    <n v="1.0449999999999999"/>
    <n v="8328"/>
    <n v="8703"/>
    <x v="0"/>
    <x v="0"/>
    <s v="LS 8 Neo"/>
    <s v="LE"/>
    <s v="Není v databázi"/>
    <m/>
  </r>
  <r>
    <x v="547"/>
    <x v="4"/>
    <x v="1"/>
    <x v="324"/>
    <x v="3"/>
    <s v="JEGC 2025 - Std"/>
    <s v="SK"/>
    <n v="2025"/>
    <n v="7"/>
    <n v="5289"/>
    <n v="1.0449999999999999"/>
    <n v="8007"/>
    <n v="8367"/>
    <x v="0"/>
    <x v="0"/>
    <s v="LS 8 neo"/>
    <s v="FJ"/>
    <s v="Není v databázi"/>
    <m/>
  </r>
  <r>
    <x v="9"/>
    <x v="7"/>
    <x v="0"/>
    <x v="9"/>
    <x v="1"/>
    <s v="JEGC 2025 - Std"/>
    <s v="SK"/>
    <n v="2025"/>
    <n v="8"/>
    <n v="5051"/>
    <n v="1.0449999999999999"/>
    <n v="7570"/>
    <n v="7911"/>
    <x v="0"/>
    <x v="0"/>
    <s v="LS 8"/>
    <s v="EU"/>
    <s v="Junior v roce 2026"/>
    <m/>
  </r>
  <r>
    <x v="1194"/>
    <x v="4"/>
    <x v="1"/>
    <x v="324"/>
    <x v="3"/>
    <s v="JEGC 2025 - Std"/>
    <s v="SK"/>
    <n v="2025"/>
    <n v="9"/>
    <n v="4794"/>
    <n v="1.0449999999999999"/>
    <n v="7112"/>
    <n v="7432"/>
    <x v="0"/>
    <x v="0"/>
    <s v="LS 8T Neo"/>
    <s v="PB"/>
    <s v="Není v databázi"/>
    <m/>
  </r>
  <r>
    <x v="1128"/>
    <x v="4"/>
    <x v="1"/>
    <x v="326"/>
    <x v="3"/>
    <s v="JEGC 2025 - Std"/>
    <s v="SK"/>
    <n v="2025"/>
    <n v="10"/>
    <n v="4770"/>
    <n v="1.0449999999999999"/>
    <n v="6918"/>
    <n v="7229"/>
    <x v="0"/>
    <x v="0"/>
    <s v="LS 8 Neo"/>
    <s v="LOT"/>
    <s v="Není v databázi"/>
    <m/>
  </r>
  <r>
    <x v="539"/>
    <x v="4"/>
    <x v="1"/>
    <x v="334"/>
    <x v="3"/>
    <s v="JEGC 2025 - Std"/>
    <s v="SK"/>
    <n v="2025"/>
    <n v="11"/>
    <n v="4737"/>
    <n v="1.0449999999999999"/>
    <n v="6714"/>
    <n v="7016"/>
    <x v="0"/>
    <x v="0"/>
    <s v="Discus 2a W"/>
    <s v="MK"/>
    <s v="Není v databázi"/>
    <m/>
  </r>
  <r>
    <x v="866"/>
    <x v="4"/>
    <x v="1"/>
    <x v="330"/>
    <x v="3"/>
    <s v="JEGC 2025 - Std"/>
    <s v="SK"/>
    <n v="2025"/>
    <n v="12"/>
    <n v="4481"/>
    <n v="1.0449999999999999"/>
    <n v="6256"/>
    <n v="6538"/>
    <x v="0"/>
    <x v="0"/>
    <s v="LS 8"/>
    <n v="302"/>
    <s v="Není v databázi"/>
    <m/>
  </r>
  <r>
    <x v="1195"/>
    <x v="4"/>
    <x v="1"/>
    <x v="26"/>
    <x v="3"/>
    <s v="JEGC 2025 - Std"/>
    <s v="SK"/>
    <n v="2025"/>
    <n v="13"/>
    <n v="4446"/>
    <n v="1.0449999999999999"/>
    <n v="6050"/>
    <n v="6322"/>
    <x v="0"/>
    <x v="0"/>
    <s v="Discus 2a W"/>
    <s v="ET"/>
    <s v="Není v databázi"/>
    <m/>
  </r>
  <r>
    <x v="53"/>
    <x v="34"/>
    <x v="2"/>
    <x v="2"/>
    <x v="0"/>
    <s v="JEGC 2025 - Std"/>
    <s v="SK"/>
    <n v="2025"/>
    <n v="14"/>
    <n v="4245"/>
    <n v="1.0449999999999999"/>
    <n v="5655"/>
    <n v="5909"/>
    <x v="0"/>
    <x v="0"/>
    <s v="LS 8"/>
    <s v="W8"/>
    <s v="Junior v roce 2026"/>
    <m/>
  </r>
  <r>
    <x v="865"/>
    <x v="4"/>
    <x v="1"/>
    <x v="323"/>
    <x v="3"/>
    <s v="JEGC 2025 - Std"/>
    <s v="SK"/>
    <n v="2025"/>
    <n v="15"/>
    <n v="4081"/>
    <n v="1.0449999999999999"/>
    <n v="5302"/>
    <n v="5541"/>
    <x v="0"/>
    <x v="0"/>
    <s v="LS 8e neo"/>
    <n v="71"/>
    <s v="Není v databázi"/>
    <m/>
  </r>
  <r>
    <x v="1144"/>
    <x v="4"/>
    <x v="1"/>
    <x v="330"/>
    <x v="3"/>
    <s v="JEGC 2025 - Std"/>
    <s v="SK"/>
    <n v="2025"/>
    <n v="16"/>
    <n v="4024"/>
    <n v="1.0449999999999999"/>
    <n v="5071"/>
    <n v="5299"/>
    <x v="0"/>
    <x v="0"/>
    <s v="LS 8"/>
    <s v="D7"/>
    <s v="Není v databázi"/>
    <m/>
  </r>
  <r>
    <x v="540"/>
    <x v="4"/>
    <x v="1"/>
    <x v="323"/>
    <x v="3"/>
    <s v="JEGC 2025 - Std"/>
    <s v="SK"/>
    <n v="2025"/>
    <n v="17"/>
    <n v="3565"/>
    <n v="1.0449999999999999"/>
    <n v="4382"/>
    <n v="4579"/>
    <x v="0"/>
    <x v="0"/>
    <s v="LS 8 Neo"/>
    <s v="VNE"/>
    <s v="Není v databázi"/>
    <m/>
  </r>
  <r>
    <x v="354"/>
    <x v="4"/>
    <x v="1"/>
    <x v="80"/>
    <x v="3"/>
    <s v="JEGC 2025 - Std"/>
    <s v="SK"/>
    <n v="2025"/>
    <n v="18"/>
    <n v="2678"/>
    <n v="1.0449999999999999"/>
    <n v="3208"/>
    <n v="3352"/>
    <x v="0"/>
    <x v="0"/>
    <s v="Discus 2a W"/>
    <s v="HUN"/>
    <s v="Není v databázi"/>
    <m/>
  </r>
  <r>
    <x v="551"/>
    <x v="4"/>
    <x v="1"/>
    <x v="326"/>
    <x v="3"/>
    <s v="JEGC 2025 - Std"/>
    <s v="SK"/>
    <n v="2025"/>
    <n v="19"/>
    <n v="0"/>
    <n v="1.0449999999999999"/>
    <n v="0"/>
    <n v="0"/>
    <x v="0"/>
    <x v="0"/>
    <s v="Discus 2a W"/>
    <s v="Y"/>
    <s v="Není v databázi"/>
    <m/>
  </r>
  <r>
    <x v="149"/>
    <x v="4"/>
    <x v="1"/>
    <x v="55"/>
    <x v="3"/>
    <s v="EGC 2025 - 18m"/>
    <s v="HU"/>
    <n v="2025"/>
    <n v="1"/>
    <n v="6736"/>
    <n v="1.125"/>
    <n v="10000"/>
    <n v="11250"/>
    <x v="0"/>
    <x v="0"/>
    <s v="JS3"/>
    <s v="FM"/>
    <s v="Není v databázi"/>
    <m/>
  </r>
  <r>
    <x v="1196"/>
    <x v="4"/>
    <x v="1"/>
    <x v="55"/>
    <x v="3"/>
    <s v="EGC 2025 - 18m"/>
    <s v="HU"/>
    <n v="2025"/>
    <n v="2"/>
    <n v="6670"/>
    <n v="1.125"/>
    <n v="9841"/>
    <n v="11071"/>
    <x v="0"/>
    <x v="0"/>
    <s v="JS3"/>
    <s v="LB"/>
    <s v="Není v databázi"/>
    <m/>
  </r>
  <r>
    <x v="1197"/>
    <x v="4"/>
    <x v="1"/>
    <x v="55"/>
    <x v="3"/>
    <s v="EGC 2025 - 18m"/>
    <s v="HU"/>
    <n v="2025"/>
    <n v="3"/>
    <n v="6634"/>
    <n v="1.125"/>
    <n v="9712"/>
    <n v="10926"/>
    <x v="0"/>
    <x v="0"/>
    <s v="JS3"/>
    <n v="802"/>
    <s v="Není v databázi"/>
    <m/>
  </r>
  <r>
    <x v="605"/>
    <x v="4"/>
    <x v="1"/>
    <x v="55"/>
    <x v="3"/>
    <s v="EGC 2025 - 18m"/>
    <s v="HU"/>
    <n v="2025"/>
    <n v="4"/>
    <n v="6514"/>
    <n v="1.125"/>
    <n v="9497"/>
    <n v="10684"/>
    <x v="0"/>
    <x v="0"/>
    <s v="JS3"/>
    <s v="IV"/>
    <s v="Není v databázi"/>
    <m/>
  </r>
  <r>
    <x v="464"/>
    <x v="4"/>
    <x v="1"/>
    <x v="55"/>
    <x v="3"/>
    <s v="EGC 2025 - 18m"/>
    <s v="HU"/>
    <n v="2025"/>
    <n v="5"/>
    <n v="6414"/>
    <n v="1.125"/>
    <n v="9302"/>
    <n v="10465"/>
    <x v="0"/>
    <x v="0"/>
    <s v="AS33 ES"/>
    <n v="10"/>
    <s v="Není v databázi"/>
    <m/>
  </r>
  <r>
    <x v="1198"/>
    <x v="4"/>
    <x v="1"/>
    <x v="55"/>
    <x v="3"/>
    <s v="EGC 2025 - 18m"/>
    <s v="HU"/>
    <n v="2025"/>
    <n v="6"/>
    <n v="6374"/>
    <n v="1.125"/>
    <n v="9169"/>
    <n v="10315"/>
    <x v="0"/>
    <x v="0"/>
    <s v="JS3"/>
    <s v="M9"/>
    <s v="Není v databázi"/>
    <m/>
  </r>
  <r>
    <x v="1199"/>
    <x v="4"/>
    <x v="1"/>
    <x v="55"/>
    <x v="3"/>
    <s v="EGC 2025 - 18m"/>
    <s v="HU"/>
    <n v="2025"/>
    <n v="7"/>
    <n v="6372"/>
    <n v="1.125"/>
    <n v="9076"/>
    <n v="10211"/>
    <x v="0"/>
    <x v="0"/>
    <s v="JS3"/>
    <s v="AB"/>
    <s v="Není v databázi"/>
    <m/>
  </r>
  <r>
    <x v="448"/>
    <x v="4"/>
    <x v="1"/>
    <x v="55"/>
    <x v="3"/>
    <s v="EGC 2025 - 18m"/>
    <s v="HU"/>
    <n v="2025"/>
    <n v="8"/>
    <n v="6340"/>
    <n v="1.125"/>
    <n v="8952"/>
    <n v="10071"/>
    <x v="0"/>
    <x v="0"/>
    <s v="Ventus 3T"/>
    <n v="21"/>
    <s v="Není v databázi"/>
    <m/>
  </r>
  <r>
    <x v="579"/>
    <x v="4"/>
    <x v="1"/>
    <x v="55"/>
    <x v="3"/>
    <s v="EGC 2025 - 18m"/>
    <s v="HU"/>
    <n v="2025"/>
    <n v="9"/>
    <n v="6283"/>
    <n v="1.125"/>
    <n v="8802"/>
    <n v="9902"/>
    <x v="0"/>
    <x v="0"/>
    <s v="AS33"/>
    <s v="V"/>
    <s v="Není v databázi"/>
    <m/>
  </r>
  <r>
    <x v="777"/>
    <x v="4"/>
    <x v="1"/>
    <x v="55"/>
    <x v="3"/>
    <s v="EGC 2025 - 18m"/>
    <s v="HU"/>
    <n v="2025"/>
    <n v="10"/>
    <n v="6258"/>
    <n v="1.125"/>
    <n v="8685"/>
    <n v="9771"/>
    <x v="0"/>
    <x v="0"/>
    <s v="JS3"/>
    <s v="HAB"/>
    <s v="Není v databázi"/>
    <m/>
  </r>
  <r>
    <x v="451"/>
    <x v="4"/>
    <x v="1"/>
    <x v="55"/>
    <x v="3"/>
    <s v="EGC 2025 - 18m"/>
    <s v="HU"/>
    <n v="2025"/>
    <n v="11"/>
    <n v="6224"/>
    <n v="1.125"/>
    <n v="8559"/>
    <n v="9629"/>
    <x v="0"/>
    <x v="0"/>
    <s v="Ventus 3TS"/>
    <s v="HX"/>
    <s v="Není v databázi"/>
    <m/>
  </r>
  <r>
    <x v="320"/>
    <x v="4"/>
    <x v="1"/>
    <x v="55"/>
    <x v="3"/>
    <s v="EGC 2025 - 18m"/>
    <s v="HU"/>
    <n v="2025"/>
    <n v="12"/>
    <n v="6192"/>
    <n v="1.125"/>
    <n v="8435"/>
    <n v="9489"/>
    <x v="0"/>
    <x v="0"/>
    <s v="AS33 ES"/>
    <s v="D"/>
    <s v="Není v databázi"/>
    <m/>
  </r>
  <r>
    <x v="27"/>
    <x v="19"/>
    <x v="0"/>
    <x v="18"/>
    <x v="2"/>
    <s v="EGC 2025 - 18m"/>
    <s v="HU"/>
    <n v="2025"/>
    <n v="13"/>
    <n v="6185"/>
    <n v="1.125"/>
    <n v="8336"/>
    <n v="9378"/>
    <x v="0"/>
    <x v="0"/>
    <s v="JS3 JET"/>
    <s v="QX"/>
    <s v=""/>
    <m/>
  </r>
  <r>
    <x v="1200"/>
    <x v="4"/>
    <x v="1"/>
    <x v="55"/>
    <x v="3"/>
    <s v="EGC 2025 - 18m"/>
    <s v="HU"/>
    <n v="2025"/>
    <n v="14"/>
    <n v="6144"/>
    <n v="1.125"/>
    <n v="8203"/>
    <n v="9228"/>
    <x v="0"/>
    <x v="0"/>
    <s v="JS3"/>
    <s v="AS"/>
    <s v="Není v databázi"/>
    <m/>
  </r>
  <r>
    <x v="1201"/>
    <x v="4"/>
    <x v="1"/>
    <x v="55"/>
    <x v="3"/>
    <s v="EGC 2025 - 18m"/>
    <s v="HU"/>
    <n v="2025"/>
    <n v="15"/>
    <n v="6138"/>
    <n v="1.125"/>
    <n v="8106"/>
    <n v="9119"/>
    <x v="0"/>
    <x v="0"/>
    <s v="ASG 29E"/>
    <s v="BP"/>
    <s v="Není v databázi"/>
    <m/>
  </r>
  <r>
    <x v="590"/>
    <x v="4"/>
    <x v="1"/>
    <x v="55"/>
    <x v="3"/>
    <s v="EGC 2025 - 18m"/>
    <s v="HU"/>
    <n v="2025"/>
    <n v="16"/>
    <n v="6113"/>
    <n v="1.125"/>
    <n v="7989"/>
    <n v="8988"/>
    <x v="0"/>
    <x v="0"/>
    <s v="JS3"/>
    <s v="MAX"/>
    <s v="Není v databázi"/>
    <m/>
  </r>
  <r>
    <x v="435"/>
    <x v="4"/>
    <x v="1"/>
    <x v="55"/>
    <x v="3"/>
    <s v="EGC 2025 - 18m"/>
    <s v="HU"/>
    <n v="2025"/>
    <n v="17"/>
    <n v="6024"/>
    <n v="1.125"/>
    <n v="7806"/>
    <n v="8782"/>
    <x v="0"/>
    <x v="0"/>
    <s v="JS3 JET"/>
    <s v="UJ"/>
    <s v="Není v databázi"/>
    <m/>
  </r>
  <r>
    <x v="476"/>
    <x v="4"/>
    <x v="1"/>
    <x v="55"/>
    <x v="3"/>
    <s v="EGC 2025 - 18m"/>
    <s v="HU"/>
    <n v="2025"/>
    <n v="18"/>
    <n v="5969"/>
    <n v="1.125"/>
    <n v="7657"/>
    <n v="8614"/>
    <x v="0"/>
    <x v="0"/>
    <s v="AS33 ES"/>
    <s v="MB"/>
    <s v="Není v databázi"/>
    <m/>
  </r>
  <r>
    <x v="469"/>
    <x v="4"/>
    <x v="1"/>
    <x v="55"/>
    <x v="3"/>
    <s v="EGC 2025 - 18m"/>
    <s v="HU"/>
    <n v="2025"/>
    <s v="HC"/>
    <n v="5786"/>
    <n v="1.125"/>
    <n v="0"/>
    <n v="0"/>
    <x v="0"/>
    <x v="0"/>
    <s v="JS3"/>
    <s v="AX"/>
    <s v="Není v databázi"/>
    <m/>
  </r>
  <r>
    <x v="449"/>
    <x v="4"/>
    <x v="1"/>
    <x v="55"/>
    <x v="3"/>
    <s v="EGC 2025 - 18m"/>
    <s v="HU"/>
    <n v="2025"/>
    <n v="19"/>
    <n v="5770"/>
    <n v="1.125"/>
    <n v="7360"/>
    <n v="8280"/>
    <x v="0"/>
    <x v="0"/>
    <s v="JS3"/>
    <s v="BI"/>
    <s v="Není v databázi"/>
    <m/>
  </r>
  <r>
    <x v="1202"/>
    <x v="4"/>
    <x v="1"/>
    <x v="55"/>
    <x v="3"/>
    <s v="EGC 2025 - 18m"/>
    <s v="HU"/>
    <n v="2025"/>
    <n v="20"/>
    <n v="5764"/>
    <n v="1.125"/>
    <n v="7263"/>
    <n v="8171"/>
    <x v="0"/>
    <x v="0"/>
    <s v="Ventus 3TS"/>
    <s v="7X"/>
    <s v="Není v databázi"/>
    <m/>
  </r>
  <r>
    <x v="351"/>
    <x v="4"/>
    <x v="1"/>
    <x v="55"/>
    <x v="3"/>
    <s v="EGC 2025 - 18m"/>
    <s v="HU"/>
    <n v="2025"/>
    <n v="21"/>
    <n v="5718"/>
    <n v="1.125"/>
    <n v="7124"/>
    <n v="8015"/>
    <x v="0"/>
    <x v="0"/>
    <s v="AS33 ES"/>
    <s v="GPS"/>
    <s v="Není v databázi"/>
    <m/>
  </r>
  <r>
    <x v="454"/>
    <x v="4"/>
    <x v="1"/>
    <x v="55"/>
    <x v="3"/>
    <s v="EGC 2025 - 18m"/>
    <s v="HU"/>
    <n v="2025"/>
    <n v="22"/>
    <n v="5705"/>
    <n v="1.125"/>
    <n v="7020"/>
    <n v="7898"/>
    <x v="0"/>
    <x v="0"/>
    <s v="Ventus 3T"/>
    <s v="W"/>
    <s v="Není v databázi"/>
    <m/>
  </r>
  <r>
    <x v="459"/>
    <x v="4"/>
    <x v="1"/>
    <x v="55"/>
    <x v="3"/>
    <s v="EGC 2025 - 18m"/>
    <s v="HU"/>
    <n v="2025"/>
    <n v="23"/>
    <n v="5687"/>
    <n v="1.125"/>
    <n v="6910"/>
    <n v="7774"/>
    <x v="0"/>
    <x v="0"/>
    <s v="AS33"/>
    <s v="WG"/>
    <s v="Není v databázi"/>
    <m/>
  </r>
  <r>
    <x v="644"/>
    <x v="4"/>
    <x v="1"/>
    <x v="55"/>
    <x v="3"/>
    <s v="EGC 2025 - 18m"/>
    <s v="HU"/>
    <n v="2025"/>
    <n v="24"/>
    <n v="5606"/>
    <n v="1.125"/>
    <n v="6735"/>
    <n v="7577"/>
    <x v="0"/>
    <x v="0"/>
    <s v="AS33 Es"/>
    <s v="BL"/>
    <s v="Není v databázi"/>
    <m/>
  </r>
  <r>
    <x v="483"/>
    <x v="4"/>
    <x v="1"/>
    <x v="55"/>
    <x v="3"/>
    <s v="EGC 2025 - 18m"/>
    <s v="HU"/>
    <n v="2025"/>
    <n v="25"/>
    <n v="5605"/>
    <n v="1.125"/>
    <n v="6643"/>
    <n v="7473"/>
    <x v="0"/>
    <x v="0"/>
    <s v="JS1C"/>
    <n v="56"/>
    <s v="Není v databázi"/>
    <m/>
  </r>
  <r>
    <x v="445"/>
    <x v="4"/>
    <x v="1"/>
    <x v="55"/>
    <x v="3"/>
    <s v="EGC 2025 - 18m"/>
    <s v="HU"/>
    <n v="2025"/>
    <n v="26"/>
    <n v="5516"/>
    <n v="1.125"/>
    <n v="6459"/>
    <n v="7266"/>
    <x v="0"/>
    <x v="0"/>
    <s v="JS3 JET"/>
    <s v="FA"/>
    <s v="Není v databázi"/>
    <m/>
  </r>
  <r>
    <x v="1203"/>
    <x v="4"/>
    <x v="1"/>
    <x v="55"/>
    <x v="3"/>
    <s v="EGC 2025 - 18m"/>
    <s v="HU"/>
    <n v="2025"/>
    <n v="27"/>
    <n v="5488"/>
    <n v="1.125"/>
    <n v="6339"/>
    <n v="7131"/>
    <x v="0"/>
    <x v="0"/>
    <s v="JS1C"/>
    <s v="AR"/>
    <s v="Není v databázi"/>
    <m/>
  </r>
  <r>
    <x v="876"/>
    <x v="4"/>
    <x v="1"/>
    <x v="55"/>
    <x v="3"/>
    <s v="EGC 2025 - 18m"/>
    <s v="HU"/>
    <n v="2025"/>
    <n v="28"/>
    <n v="5185"/>
    <n v="1.125"/>
    <n v="5934"/>
    <n v="6676"/>
    <x v="0"/>
    <x v="0"/>
    <s v="JS-MD3"/>
    <s v="NL"/>
    <s v="Není v databázi"/>
    <m/>
  </r>
  <r>
    <x v="1204"/>
    <x v="4"/>
    <x v="1"/>
    <x v="55"/>
    <x v="3"/>
    <s v="EGC 2025 - 18m"/>
    <s v="HU"/>
    <n v="2025"/>
    <n v="29"/>
    <n v="4904"/>
    <n v="1.125"/>
    <n v="5551"/>
    <n v="6245"/>
    <x v="0"/>
    <x v="0"/>
    <s v="JS3 RES"/>
    <s v="R"/>
    <s v="Není v databázi"/>
    <m/>
  </r>
  <r>
    <x v="31"/>
    <x v="4"/>
    <x v="1"/>
    <x v="55"/>
    <x v="3"/>
    <s v="EGC 2025 - 18m"/>
    <s v="HU"/>
    <n v="2025"/>
    <n v="30"/>
    <n v="4877"/>
    <n v="1.125"/>
    <n v="5432"/>
    <n v="6111"/>
    <x v="0"/>
    <x v="0"/>
    <s v="JS3"/>
    <n v="3"/>
    <s v="Není v databázi"/>
    <m/>
  </r>
  <r>
    <x v="291"/>
    <x v="18"/>
    <x v="0"/>
    <x v="33"/>
    <x v="2"/>
    <s v="EGC 2025 - 18m"/>
    <s v="HU"/>
    <n v="2025"/>
    <n v="31"/>
    <n v="4875"/>
    <n v="1.125"/>
    <n v="5339"/>
    <n v="6006"/>
    <x v="0"/>
    <x v="0"/>
    <s v="Diana 3 FES"/>
    <s v="B"/>
    <s v=""/>
    <m/>
  </r>
  <r>
    <x v="1205"/>
    <x v="4"/>
    <x v="1"/>
    <x v="55"/>
    <x v="3"/>
    <s v="EGC 2025 - 18m"/>
    <s v="HU"/>
    <n v="2025"/>
    <n v="32"/>
    <n v="4869"/>
    <n v="1.125"/>
    <n v="5242"/>
    <n v="5897"/>
    <x v="0"/>
    <x v="0"/>
    <s v="Ventus 2cxT 18m"/>
    <s v="7L"/>
    <s v="Není v databázi"/>
    <m/>
  </r>
  <r>
    <x v="1150"/>
    <x v="4"/>
    <x v="1"/>
    <x v="55"/>
    <x v="3"/>
    <s v="EGC 2025 - 18m"/>
    <s v="HU"/>
    <n v="2025"/>
    <n v="33"/>
    <n v="4834"/>
    <n v="1.125"/>
    <n v="5114"/>
    <n v="5753"/>
    <x v="0"/>
    <x v="0"/>
    <s v="Ventus 3F"/>
    <s v="3F"/>
    <s v="Není v databázi"/>
    <m/>
  </r>
  <r>
    <x v="1206"/>
    <x v="4"/>
    <x v="1"/>
    <x v="55"/>
    <x v="3"/>
    <s v="EGC 2025 - 18m"/>
    <s v="HU"/>
    <n v="2025"/>
    <n v="34"/>
    <n v="3845"/>
    <n v="1.125"/>
    <n v="3996"/>
    <n v="4496"/>
    <x v="0"/>
    <x v="0"/>
    <s v="AS33"/>
    <s v="MA"/>
    <s v="Není v databázi"/>
    <m/>
  </r>
  <r>
    <x v="982"/>
    <x v="4"/>
    <x v="1"/>
    <x v="55"/>
    <x v="3"/>
    <s v="EGC 2025 - Open"/>
    <s v="HU"/>
    <n v="2025"/>
    <n v="1"/>
    <n v="7011"/>
    <n v="1.08"/>
    <n v="10000"/>
    <n v="10800"/>
    <x v="0"/>
    <x v="0"/>
    <s v="EB29R"/>
    <s v="FL"/>
    <s v="Není v databázi"/>
    <m/>
  </r>
  <r>
    <x v="475"/>
    <x v="4"/>
    <x v="1"/>
    <x v="55"/>
    <x v="3"/>
    <s v="EGC 2025 - Open"/>
    <s v="HU"/>
    <n v="2025"/>
    <n v="2"/>
    <n v="6532"/>
    <n v="1.08"/>
    <n v="9272"/>
    <n v="10014"/>
    <x v="0"/>
    <x v="0"/>
    <s v="EB29R"/>
    <s v="FE"/>
    <s v="Není v databázi"/>
    <m/>
  </r>
  <r>
    <x v="477"/>
    <x v="4"/>
    <x v="1"/>
    <x v="55"/>
    <x v="3"/>
    <s v="EGC 2025 - Open"/>
    <s v="HU"/>
    <n v="2025"/>
    <n v="3"/>
    <n v="6495"/>
    <n v="1.08"/>
    <n v="8985"/>
    <n v="9704"/>
    <x v="0"/>
    <x v="0"/>
    <s v="EB29R"/>
    <n v="72"/>
    <s v="Není v databázi"/>
    <m/>
  </r>
  <r>
    <x v="321"/>
    <x v="4"/>
    <x v="1"/>
    <x v="55"/>
    <x v="3"/>
    <s v="EGC 2025 - Open"/>
    <s v="HU"/>
    <n v="2025"/>
    <n v="4"/>
    <n v="6479"/>
    <n v="1.08"/>
    <n v="8719"/>
    <n v="9417"/>
    <x v="0"/>
    <x v="0"/>
    <s v="JS5"/>
    <n v="5"/>
    <s v="Není v databázi"/>
    <m/>
  </r>
  <r>
    <x v="479"/>
    <x v="4"/>
    <x v="1"/>
    <x v="55"/>
    <x v="3"/>
    <s v="EGC 2025 - Open"/>
    <s v="HU"/>
    <n v="2025"/>
    <n v="5"/>
    <n v="6256"/>
    <n v="1.08"/>
    <n v="8246"/>
    <n v="8906"/>
    <x v="0"/>
    <x v="0"/>
    <s v="EB29R"/>
    <s v="OR"/>
    <s v="Není v databázi"/>
    <m/>
  </r>
  <r>
    <x v="481"/>
    <x v="4"/>
    <x v="1"/>
    <x v="55"/>
    <x v="3"/>
    <s v="EGC 2025 - Open"/>
    <s v="HU"/>
    <n v="2025"/>
    <n v="6"/>
    <n v="6121"/>
    <n v="1.08"/>
    <n v="7861"/>
    <n v="8490"/>
    <x v="0"/>
    <x v="0"/>
    <s v="JS1C"/>
    <s v="TJ"/>
    <s v="Není v databázi"/>
    <m/>
  </r>
  <r>
    <x v="1207"/>
    <x v="4"/>
    <x v="1"/>
    <x v="55"/>
    <x v="3"/>
    <s v="EGC 2025 - Open"/>
    <s v="HU"/>
    <n v="2025"/>
    <n v="7"/>
    <n v="5991"/>
    <n v="1.08"/>
    <n v="7482"/>
    <n v="8081"/>
    <x v="0"/>
    <x v="0"/>
    <s v="JS1C"/>
    <n v="80"/>
    <s v="Není v databázi"/>
    <m/>
  </r>
  <r>
    <x v="990"/>
    <x v="4"/>
    <x v="1"/>
    <x v="55"/>
    <x v="3"/>
    <s v="EGC 2025 - Open"/>
    <s v="HU"/>
    <n v="2025"/>
    <n v="8"/>
    <n v="5701"/>
    <n v="1.08"/>
    <n v="6942"/>
    <n v="7497"/>
    <x v="0"/>
    <x v="0"/>
    <s v="JS1C"/>
    <s v="BJ"/>
    <s v="Není v databázi"/>
    <m/>
  </r>
  <r>
    <x v="1208"/>
    <x v="4"/>
    <x v="1"/>
    <x v="55"/>
    <x v="3"/>
    <s v="EGC 2025 - Open"/>
    <s v="HU"/>
    <n v="2025"/>
    <n v="9"/>
    <n v="5664"/>
    <n v="1.08"/>
    <n v="6655"/>
    <n v="7187"/>
    <x v="0"/>
    <x v="0"/>
    <s v="EB29D"/>
    <s v="FU"/>
    <s v="Není v databázi"/>
    <m/>
  </r>
  <r>
    <x v="28"/>
    <x v="20"/>
    <x v="0"/>
    <x v="18"/>
    <x v="2"/>
    <s v="EGC 2025 - Open"/>
    <s v="HU"/>
    <n v="2025"/>
    <n v="10"/>
    <n v="5402"/>
    <n v="1.08"/>
    <n v="6144"/>
    <n v="6636"/>
    <x v="0"/>
    <x v="0"/>
    <s v="JS1C 21m"/>
    <s v="JX"/>
    <s v=""/>
    <m/>
  </r>
  <r>
    <x v="29"/>
    <x v="21"/>
    <x v="0"/>
    <x v="19"/>
    <x v="1"/>
    <s v="EGC 2025 - Open"/>
    <s v="HU"/>
    <n v="2025"/>
    <n v="11"/>
    <n v="5362"/>
    <n v="1.08"/>
    <n v="5854"/>
    <n v="6322"/>
    <x v="0"/>
    <x v="0"/>
    <s v="JS1C"/>
    <s v="ZF"/>
    <s v=""/>
    <m/>
  </r>
  <r>
    <x v="452"/>
    <x v="4"/>
    <x v="1"/>
    <x v="55"/>
    <x v="3"/>
    <s v="EGC 2025 - Open"/>
    <s v="HU"/>
    <n v="2025"/>
    <n v="12"/>
    <n v="5238"/>
    <n v="1.08"/>
    <n v="5480"/>
    <n v="5918"/>
    <x v="0"/>
    <x v="0"/>
    <s v="JS5"/>
    <s v="BX"/>
    <s v="Není v databázi"/>
    <m/>
  </r>
  <r>
    <x v="450"/>
    <x v="4"/>
    <x v="1"/>
    <x v="55"/>
    <x v="3"/>
    <s v="EGC 2025 - Open"/>
    <s v="HU"/>
    <n v="2025"/>
    <n v="13"/>
    <n v="5165"/>
    <n v="1.08"/>
    <n v="5157"/>
    <n v="5570"/>
    <x v="0"/>
    <x v="0"/>
    <s v="JS3 18m"/>
    <s v="MK"/>
    <s v="Není v databázi"/>
    <m/>
  </r>
  <r>
    <x v="1209"/>
    <x v="4"/>
    <x v="1"/>
    <x v="55"/>
    <x v="3"/>
    <s v="EGC 2025 - Duo 20m"/>
    <s v="HU"/>
    <n v="2025"/>
    <n v="1"/>
    <n v="7058"/>
    <n v="1.08"/>
    <n v="10000"/>
    <n v="10800"/>
    <x v="0"/>
    <x v="0"/>
    <s v="ASG32MI"/>
    <s v="PLL"/>
    <s v="Není v databázi"/>
    <m/>
  </r>
  <r>
    <x v="1210"/>
    <x v="4"/>
    <x v="1"/>
    <x v="55"/>
    <x v="3"/>
    <s v="EGC 2025 - Duo 20m"/>
    <s v="HU"/>
    <n v="2025"/>
    <n v="2"/>
    <n v="6946"/>
    <n v="1.08"/>
    <n v="9753"/>
    <n v="10533"/>
    <x v="0"/>
    <x v="0"/>
    <s v="Arcus M"/>
    <s v="WT"/>
    <s v="Není v databázi"/>
    <m/>
  </r>
  <r>
    <x v="1211"/>
    <x v="4"/>
    <x v="1"/>
    <x v="55"/>
    <x v="3"/>
    <s v="EGC 2025 - Duo 20m"/>
    <s v="HU"/>
    <n v="2025"/>
    <n v="3"/>
    <n v="6911"/>
    <n v="1.08"/>
    <n v="9581"/>
    <n v="10347"/>
    <x v="0"/>
    <x v="0"/>
    <s v="Arcus T"/>
    <s v="PPL"/>
    <s v="Není v databázi"/>
    <m/>
  </r>
  <r>
    <x v="1212"/>
    <x v="4"/>
    <x v="1"/>
    <x v="55"/>
    <x v="3"/>
    <s v="EGC 2025 - Duo 20m"/>
    <s v="HU"/>
    <n v="2025"/>
    <n v="4"/>
    <n v="6872"/>
    <n v="1.08"/>
    <n v="9406"/>
    <n v="10158"/>
    <x v="0"/>
    <x v="0"/>
    <s v="Arcus M"/>
    <n v="13"/>
    <s v="Není v databázi"/>
    <m/>
  </r>
  <r>
    <x v="944"/>
    <x v="4"/>
    <x v="1"/>
    <x v="55"/>
    <x v="3"/>
    <s v="EGC 2025 - Duo 20m"/>
    <s v="HU"/>
    <n v="2025"/>
    <n v="5"/>
    <n v="6769"/>
    <n v="1.08"/>
    <n v="9168"/>
    <n v="9901"/>
    <x v="0"/>
    <x v="0"/>
    <s v="Arcus M"/>
    <s v="I10"/>
    <s v="Není v databázi"/>
    <m/>
  </r>
  <r>
    <x v="1213"/>
    <x v="4"/>
    <x v="1"/>
    <x v="55"/>
    <x v="3"/>
    <s v="EGC 2025 - Duo 20m"/>
    <s v="HU"/>
    <n v="2025"/>
    <n v="6"/>
    <n v="6732"/>
    <n v="1.08"/>
    <n v="8995"/>
    <n v="9715"/>
    <x v="0"/>
    <x v="0"/>
    <s v="Arcus T"/>
    <s v="MG"/>
    <s v="Není v databázi"/>
    <m/>
  </r>
  <r>
    <x v="1214"/>
    <x v="4"/>
    <x v="1"/>
    <x v="55"/>
    <x v="3"/>
    <s v="EGC 2025 - Duo 20m"/>
    <s v="HU"/>
    <n v="2025"/>
    <n v="7"/>
    <n v="6671"/>
    <n v="1.08"/>
    <n v="8798"/>
    <n v="9502"/>
    <x v="0"/>
    <x v="0"/>
    <s v="Arcus M"/>
    <s v="N10"/>
    <s v="Není v databázi"/>
    <m/>
  </r>
  <r>
    <x v="1215"/>
    <x v="4"/>
    <x v="1"/>
    <x v="55"/>
    <x v="3"/>
    <s v="EGC 2025 - Duo 20m"/>
    <s v="HU"/>
    <n v="2025"/>
    <n v="8"/>
    <n v="6557"/>
    <n v="1.08"/>
    <n v="8549"/>
    <n v="9233"/>
    <x v="0"/>
    <x v="0"/>
    <s v="Arcus T"/>
    <s v="HUX"/>
    <s v="Není v databázi"/>
    <m/>
  </r>
  <r>
    <x v="487"/>
    <x v="4"/>
    <x v="1"/>
    <x v="55"/>
    <x v="3"/>
    <s v="EGC 2025 - Duo 20m"/>
    <s v="HU"/>
    <n v="2025"/>
    <n v="9"/>
    <n v="6505"/>
    <n v="1.08"/>
    <n v="8361"/>
    <n v="9030"/>
    <x v="0"/>
    <x v="0"/>
    <s v="Arcus M"/>
    <s v="AM"/>
    <s v="Není v databázi"/>
    <m/>
  </r>
  <r>
    <x v="1216"/>
    <x v="4"/>
    <x v="1"/>
    <x v="55"/>
    <x v="3"/>
    <s v="EGC 2025 - Duo 20m"/>
    <s v="HU"/>
    <n v="2025"/>
    <n v="10"/>
    <n v="6483"/>
    <n v="1.08"/>
    <n v="8202"/>
    <n v="8858"/>
    <x v="0"/>
    <x v="0"/>
    <s v="Arcus M"/>
    <s v="XP"/>
    <s v="Není v databázi"/>
    <m/>
  </r>
  <r>
    <x v="1217"/>
    <x v="4"/>
    <x v="1"/>
    <x v="55"/>
    <x v="3"/>
    <s v="EGC 2025 - Duo 20m"/>
    <s v="HU"/>
    <n v="2025"/>
    <n v="11"/>
    <n v="6465"/>
    <n v="1.08"/>
    <n v="8048"/>
    <n v="8692"/>
    <x v="0"/>
    <x v="0"/>
    <s v="Arcus M"/>
    <s v="J"/>
    <s v="Není v databázi"/>
    <m/>
  </r>
  <r>
    <x v="495"/>
    <x v="4"/>
    <x v="1"/>
    <x v="55"/>
    <x v="3"/>
    <s v="EGC 2025 - Duo 20m"/>
    <s v="HU"/>
    <n v="2025"/>
    <n v="12"/>
    <n v="6404"/>
    <n v="1.08"/>
    <n v="7851"/>
    <n v="8479"/>
    <x v="0"/>
    <x v="0"/>
    <s v="Arcus T"/>
    <s v="CR"/>
    <s v="Není v databázi"/>
    <m/>
  </r>
  <r>
    <x v="1218"/>
    <x v="4"/>
    <x v="1"/>
    <x v="55"/>
    <x v="3"/>
    <s v="EGC 2025 - Duo 20m"/>
    <s v="HU"/>
    <n v="2025"/>
    <n v="13"/>
    <n v="6395"/>
    <n v="1.08"/>
    <n v="7706"/>
    <n v="8322"/>
    <x v="0"/>
    <x v="0"/>
    <s v="Arcus M"/>
    <s v="4A"/>
    <s v="Není v databázi"/>
    <m/>
  </r>
  <r>
    <x v="502"/>
    <x v="4"/>
    <x v="1"/>
    <x v="55"/>
    <x v="3"/>
    <s v="EGC 2025 - Duo 20m"/>
    <s v="HU"/>
    <n v="2025"/>
    <n v="14"/>
    <n v="6390"/>
    <n v="1.08"/>
    <n v="7565"/>
    <n v="8170"/>
    <x v="0"/>
    <x v="0"/>
    <s v="Arcus M"/>
    <s v="SY"/>
    <s v="Není v databázi"/>
    <m/>
  </r>
  <r>
    <x v="1219"/>
    <x v="4"/>
    <x v="1"/>
    <x v="55"/>
    <x v="3"/>
    <s v="EGC 2025 - Duo 20m"/>
    <s v="HU"/>
    <n v="2025"/>
    <n v="15"/>
    <n v="6255"/>
    <n v="1.08"/>
    <n v="7295"/>
    <n v="7879"/>
    <x v="0"/>
    <x v="0"/>
    <s v="Arcus T"/>
    <s v="BY"/>
    <s v="Není v databázi"/>
    <m/>
  </r>
  <r>
    <x v="7"/>
    <x v="6"/>
    <x v="0"/>
    <x v="7"/>
    <x v="2"/>
    <s v="EGC 2025 - Duo 20m"/>
    <s v="HU"/>
    <n v="2025"/>
    <n v="16"/>
    <n v="6180"/>
    <n v="1.08"/>
    <n v="7084"/>
    <n v="7651"/>
    <x v="0"/>
    <x v="0"/>
    <s v="ASG 32Mi"/>
    <s v="DX"/>
    <s v=""/>
    <m/>
  </r>
  <r>
    <x v="1220"/>
    <x v="4"/>
    <x v="1"/>
    <x v="55"/>
    <x v="3"/>
    <s v="EGC 2025 - Duo 20m"/>
    <s v="HU"/>
    <n v="2025"/>
    <n v="17"/>
    <n v="6128"/>
    <n v="1.08"/>
    <n v="6896"/>
    <n v="7448"/>
    <x v="0"/>
    <x v="0"/>
    <s v="Arcus T"/>
    <s v="KA"/>
    <s v="Není v databázi"/>
    <m/>
  </r>
  <r>
    <x v="1221"/>
    <x v="4"/>
    <x v="1"/>
    <x v="55"/>
    <x v="3"/>
    <s v="EGC 2025 - Duo 20m"/>
    <s v="HU"/>
    <n v="2025"/>
    <n v="18"/>
    <n v="5841"/>
    <n v="1.08"/>
    <n v="6475"/>
    <n v="6993"/>
    <x v="0"/>
    <x v="0"/>
    <s v="Arcus M"/>
    <s v="ET"/>
    <s v="Není v databázi"/>
    <m/>
  </r>
  <r>
    <x v="1222"/>
    <x v="4"/>
    <x v="1"/>
    <x v="55"/>
    <x v="3"/>
    <s v="EGC 2025 - Duo 20m"/>
    <s v="HU"/>
    <n v="2025"/>
    <n v="19"/>
    <n v="5755"/>
    <n v="1.08"/>
    <n v="6253"/>
    <n v="6753"/>
    <x v="0"/>
    <x v="0"/>
    <s v="Twin Shark"/>
    <s v="TS"/>
    <s v="Není v databázi"/>
    <m/>
  </r>
  <r>
    <x v="32"/>
    <x v="14"/>
    <x v="0"/>
    <x v="21"/>
    <x v="0"/>
    <s v="EGC 2025 - Duo 20m"/>
    <s v="HU"/>
    <n v="2025"/>
    <n v="20"/>
    <n v="5620"/>
    <n v="1.08"/>
    <n v="5983"/>
    <n v="6462"/>
    <x v="0"/>
    <x v="0"/>
    <s v="Arcus M"/>
    <s v="LD"/>
    <s v=""/>
    <m/>
  </r>
  <r>
    <x v="1223"/>
    <x v="4"/>
    <x v="1"/>
    <x v="55"/>
    <x v="3"/>
    <s v="EGC 2025 - Duo 20m"/>
    <s v="HU"/>
    <n v="2025"/>
    <n v="21"/>
    <n v="5606"/>
    <n v="1.08"/>
    <n v="5833"/>
    <n v="6300"/>
    <x v="0"/>
    <x v="0"/>
    <s v="Twin Shark FES"/>
    <s v="ES"/>
    <s v="Není v databázi"/>
    <m/>
  </r>
  <r>
    <x v="1224"/>
    <x v="4"/>
    <x v="1"/>
    <x v="55"/>
    <x v="3"/>
    <s v="EGC 2025 - Duo 20m"/>
    <s v="HU"/>
    <n v="2025"/>
    <n v="22"/>
    <n v="5413"/>
    <n v="1.08"/>
    <n v="5505"/>
    <n v="5945"/>
    <x v="0"/>
    <x v="0"/>
    <s v="Arcus M"/>
    <s v="CAR"/>
    <s v="Není v databázi"/>
    <m/>
  </r>
  <r>
    <x v="1225"/>
    <x v="4"/>
    <x v="1"/>
    <x v="55"/>
    <x v="3"/>
    <s v="EGC 2025 - Duo 20m"/>
    <s v="HU"/>
    <n v="2025"/>
    <n v="23"/>
    <n v="5107"/>
    <n v="1.08"/>
    <n v="5065"/>
    <n v="5470"/>
    <x v="0"/>
    <x v="0"/>
    <s v="Arcus M"/>
    <s v="2P"/>
    <s v="Není v databázi"/>
    <m/>
  </r>
  <r>
    <x v="198"/>
    <x v="11"/>
    <x v="0"/>
    <x v="17"/>
    <x v="0"/>
    <s v="Podbrdský pohár 2025 - Klub"/>
    <s v="CZ"/>
    <n v="2025"/>
    <n v="1"/>
    <n v="3642"/>
    <n v="0.755"/>
    <n v="10000"/>
    <n v="7550"/>
    <x v="0"/>
    <x v="0"/>
    <s v="ASW-19B WL"/>
    <s v="JL"/>
    <s v=""/>
    <m/>
  </r>
  <r>
    <x v="75"/>
    <x v="39"/>
    <x v="0"/>
    <x v="31"/>
    <x v="0"/>
    <s v="Podbrdský pohár 2025 - Klub"/>
    <s v="CZ"/>
    <n v="2025"/>
    <n v="2"/>
    <n v="3552"/>
    <n v="0.755"/>
    <n v="9577"/>
    <n v="7231"/>
    <x v="1"/>
    <x v="0"/>
    <s v="Discus b +W"/>
    <s v="SH"/>
    <s v=""/>
    <m/>
  </r>
  <r>
    <x v="202"/>
    <x v="45"/>
    <x v="0"/>
    <x v="17"/>
    <x v="0"/>
    <s v="Podbrdský pohár 2025 - Klub"/>
    <s v="CZ"/>
    <n v="2025"/>
    <n v="3"/>
    <n v="3345"/>
    <n v="0.755"/>
    <n v="8929"/>
    <n v="6741"/>
    <x v="1"/>
    <x v="0"/>
    <s v="Std. Cirrus"/>
    <s v="LD"/>
    <s v=""/>
    <m/>
  </r>
  <r>
    <x v="1226"/>
    <x v="26"/>
    <x v="0"/>
    <x v="32"/>
    <x v="2"/>
    <s v="Podbrdský pohár 2025 - Klub"/>
    <s v="CZ"/>
    <n v="2025"/>
    <n v="4"/>
    <n v="3192"/>
    <n v="0.755"/>
    <n v="8385"/>
    <n v="6331"/>
    <x v="1"/>
    <x v="0"/>
    <s v="H-301,b Libelle"/>
    <s v="6X"/>
    <s v=""/>
    <m/>
  </r>
  <r>
    <x v="1227"/>
    <x v="23"/>
    <x v="0"/>
    <x v="17"/>
    <x v="0"/>
    <s v="Podbrdský pohár 2025 - Klub"/>
    <s v="CZ"/>
    <n v="2025"/>
    <n v="5"/>
    <n v="3022"/>
    <n v="0.755"/>
    <n v="7808"/>
    <n v="5895"/>
    <x v="1"/>
    <x v="0"/>
    <s v="LS 1c"/>
    <s v="R"/>
    <s v=""/>
    <m/>
  </r>
  <r>
    <x v="1228"/>
    <x v="4"/>
    <x v="1"/>
    <x v="335"/>
    <x v="3"/>
    <s v="Podbrdský pohár 2025 - Klub"/>
    <s v="CZ"/>
    <n v="2025"/>
    <n v="6"/>
    <n v="2798"/>
    <n v="0.755"/>
    <n v="7128"/>
    <n v="5382"/>
    <x v="0"/>
    <x v="0"/>
    <s v="H-301,b Libelle"/>
    <n v="80"/>
    <s v="Není v databázi"/>
    <m/>
  </r>
  <r>
    <x v="1229"/>
    <x v="1"/>
    <x v="0"/>
    <x v="17"/>
    <x v="0"/>
    <s v="Podbrdský pohár 2025 - Klub"/>
    <s v="CZ"/>
    <n v="2025"/>
    <n v="7"/>
    <n v="2492"/>
    <n v="0.755"/>
    <n v="6290"/>
    <n v="4749"/>
    <x v="1"/>
    <x v="0"/>
    <s v="LS 1c"/>
    <s v="IL2"/>
    <s v=""/>
    <m/>
  </r>
  <r>
    <x v="1230"/>
    <x v="31"/>
    <x v="0"/>
    <x v="17"/>
    <x v="0"/>
    <s v="Podbrdský pohár 2025 - Klub"/>
    <s v="CZ"/>
    <n v="2025"/>
    <n v="8"/>
    <n v="2405"/>
    <n v="0.755"/>
    <n v="5872"/>
    <n v="4433"/>
    <x v="1"/>
    <x v="0"/>
    <s v="ASW-15B"/>
    <s v="LA"/>
    <s v=""/>
    <m/>
  </r>
  <r>
    <x v="1231"/>
    <x v="13"/>
    <x v="0"/>
    <x v="17"/>
    <x v="0"/>
    <s v="Podbrdský pohár 2025 - Klub"/>
    <s v="CZ"/>
    <n v="2025"/>
    <n v="9"/>
    <n v="2221"/>
    <n v="0.755"/>
    <n v="5269"/>
    <n v="3978"/>
    <x v="1"/>
    <x v="0"/>
    <s v="Std. Cirrus"/>
    <s v="LE"/>
    <s v=""/>
    <m/>
  </r>
  <r>
    <x v="1112"/>
    <x v="32"/>
    <x v="0"/>
    <x v="31"/>
    <x v="0"/>
    <s v="Podbrdský pohár 2025 - Klub"/>
    <s v="CZ"/>
    <n v="2025"/>
    <n v="10"/>
    <n v="1697"/>
    <n v="0.755"/>
    <n v="4012"/>
    <n v="3029"/>
    <x v="1"/>
    <x v="0"/>
    <s v="ASW-15B"/>
    <s v="LT2"/>
    <s v=""/>
    <m/>
  </r>
  <r>
    <x v="699"/>
    <x v="42"/>
    <x v="0"/>
    <x v="64"/>
    <x v="0"/>
    <s v="Podbrdský pohár 2025 - Klub"/>
    <s v="CZ"/>
    <n v="2025"/>
    <n v="11"/>
    <n v="1611"/>
    <n v="0.755"/>
    <n v="3596"/>
    <n v="2715"/>
    <x v="1"/>
    <x v="0"/>
    <s v="Std. Cirrus"/>
    <s v="W"/>
    <s v=""/>
    <m/>
  </r>
  <r>
    <x v="1232"/>
    <x v="45"/>
    <x v="0"/>
    <x v="17"/>
    <x v="0"/>
    <s v="Podbrdský pohár 2025 - Klub"/>
    <s v="CZ"/>
    <n v="2025"/>
    <n v="12"/>
    <n v="1401"/>
    <n v="0.755"/>
    <n v="2943"/>
    <n v="2222"/>
    <x v="1"/>
    <x v="0"/>
    <s v="Std. Cirrus"/>
    <s v="AL"/>
    <s v=""/>
    <m/>
  </r>
  <r>
    <x v="1233"/>
    <x v="33"/>
    <x v="0"/>
    <x v="17"/>
    <x v="0"/>
    <s v="Podbrdský pohár 2025 - Klub"/>
    <s v="CZ"/>
    <n v="2025"/>
    <n v="13"/>
    <n v="349"/>
    <n v="0.755"/>
    <n v="671"/>
    <n v="507"/>
    <x v="1"/>
    <x v="0"/>
    <s v="Std. Cirrus"/>
    <s v="8J"/>
    <s v=""/>
    <m/>
  </r>
  <r>
    <x v="226"/>
    <x v="19"/>
    <x v="0"/>
    <x v="17"/>
    <x v="0"/>
    <s v="Podbrdský pohár 2025 - Kombi"/>
    <s v="CZ"/>
    <n v="2025"/>
    <n v="1"/>
    <n v="4327"/>
    <n v="0.76"/>
    <n v="10000"/>
    <n v="7600"/>
    <x v="1"/>
    <x v="0"/>
    <s v="DuoDiscus,T 700 kg (voda)"/>
    <s v="DL"/>
    <s v=""/>
    <m/>
  </r>
  <r>
    <x v="205"/>
    <x v="43"/>
    <x v="0"/>
    <x v="17"/>
    <x v="0"/>
    <s v="Podbrdský pohár 2025 - Kombi"/>
    <s v="CZ"/>
    <n v="2025"/>
    <n v="2"/>
    <n v="4173"/>
    <n v="0.76"/>
    <n v="9551"/>
    <n v="7259"/>
    <x v="1"/>
    <x v="0"/>
    <s v="Nimbus 2, 2b,2M (voda)"/>
    <s v="NB"/>
    <s v=""/>
    <m/>
  </r>
  <r>
    <x v="200"/>
    <x v="19"/>
    <x v="0"/>
    <x v="8"/>
    <x v="2"/>
    <s v="Podbrdský pohár 2025 - Kombi"/>
    <s v="CZ"/>
    <n v="2025"/>
    <n v="3"/>
    <n v="4061"/>
    <n v="0.76"/>
    <n v="9170"/>
    <n v="6969"/>
    <x v="1"/>
    <x v="0"/>
    <s v="DuoDiscus X,XT,T WL 750 kg (voda)"/>
    <s v="MD"/>
    <s v=""/>
    <m/>
  </r>
  <r>
    <x v="220"/>
    <x v="23"/>
    <x v="0"/>
    <x v="17"/>
    <x v="0"/>
    <s v="Podbrdský pohár 2025 - Kombi"/>
    <s v="CZ"/>
    <n v="2025"/>
    <n v="4"/>
    <n v="4018"/>
    <n v="0.76"/>
    <n v="8900"/>
    <n v="6764"/>
    <x v="0"/>
    <x v="0"/>
    <s v="JS-3, TJ 18m (voda)"/>
    <s v="BS"/>
    <s v=""/>
    <m/>
  </r>
  <r>
    <x v="219"/>
    <x v="6"/>
    <x v="0"/>
    <x v="61"/>
    <x v="1"/>
    <s v="Podbrdský pohár 2025 - Kombi"/>
    <s v="CZ"/>
    <n v="2025"/>
    <n v="5"/>
    <n v="3879"/>
    <n v="0.76"/>
    <n v="8475"/>
    <n v="6441"/>
    <x v="0"/>
    <x v="0"/>
    <s v="Nimbus 4DM (voda)"/>
    <n v="7"/>
    <s v=""/>
    <m/>
  </r>
  <r>
    <x v="395"/>
    <x v="31"/>
    <x v="0"/>
    <x v="8"/>
    <x v="2"/>
    <s v="Podbrdský pohár 2025 - Kombi"/>
    <s v="CZ"/>
    <n v="2025"/>
    <n v="6"/>
    <n v="3537"/>
    <n v="0.76"/>
    <n v="7722"/>
    <n v="5869"/>
    <x v="1"/>
    <x v="0"/>
    <s v="Ventus c 17,6m (voda)"/>
    <s v="PD"/>
    <s v=""/>
    <m/>
  </r>
  <r>
    <x v="659"/>
    <x v="27"/>
    <x v="0"/>
    <x v="64"/>
    <x v="0"/>
    <s v="Podbrdský pohár 2025 - Kombi"/>
    <s v="CZ"/>
    <n v="2025"/>
    <n v="7"/>
    <n v="3416"/>
    <n v="0.76"/>
    <n v="7326"/>
    <n v="5568"/>
    <x v="1"/>
    <x v="0"/>
    <s v="JS-3, TJ 18m (voda)"/>
    <s v="NS"/>
    <s v=""/>
    <m/>
  </r>
  <r>
    <x v="660"/>
    <x v="31"/>
    <x v="0"/>
    <x v="17"/>
    <x v="0"/>
    <s v="Podbrdský pohár 2025 - Kombi"/>
    <s v="CZ"/>
    <n v="2025"/>
    <n v="8"/>
    <n v="3308"/>
    <n v="0.76"/>
    <n v="6952"/>
    <n v="5284"/>
    <x v="1"/>
    <x v="0"/>
    <s v="LS 8b,t,18 18m (voda)"/>
    <s v="EJ"/>
    <s v=""/>
    <m/>
  </r>
  <r>
    <x v="230"/>
    <x v="14"/>
    <x v="0"/>
    <x v="2"/>
    <x v="0"/>
    <s v="Podbrdský pohár 2025 - Kombi"/>
    <s v="CZ"/>
    <n v="2025"/>
    <n v="9"/>
    <n v="2946"/>
    <n v="0.76"/>
    <n v="6166"/>
    <n v="4686"/>
    <x v="1"/>
    <x v="0"/>
    <s v="HPH 304M 600kg 18m (voda)"/>
    <s v="LK"/>
    <s v=""/>
    <m/>
  </r>
  <r>
    <x v="114"/>
    <x v="25"/>
    <x v="2"/>
    <x v="36"/>
    <x v="2"/>
    <s v="Podbrdský pohár 2025 - Kombi"/>
    <s v="CZ"/>
    <n v="2025"/>
    <n v="10"/>
    <n v="2699"/>
    <n v="0.76"/>
    <n v="5566"/>
    <n v="4230"/>
    <x v="0"/>
    <x v="0"/>
    <s v="LS 6-18"/>
    <s v="MM"/>
    <s v=""/>
    <m/>
  </r>
  <r>
    <x v="203"/>
    <x v="29"/>
    <x v="0"/>
    <x v="17"/>
    <x v="0"/>
    <s v="Podbrdský pohár 2025 - Kombi"/>
    <s v="CZ"/>
    <n v="2025"/>
    <n v="11"/>
    <n v="2594"/>
    <n v="0.76"/>
    <n v="5196"/>
    <n v="3949"/>
    <x v="0"/>
    <x v="0"/>
    <s v="DG400/17m (voda)"/>
    <s v="DM"/>
    <s v=""/>
    <m/>
  </r>
  <r>
    <x v="662"/>
    <x v="18"/>
    <x v="0"/>
    <x v="17"/>
    <x v="0"/>
    <s v="Podbrdský pohár 2025 - Kombi"/>
    <s v="CZ"/>
    <n v="2025"/>
    <n v="12"/>
    <n v="2189"/>
    <n v="0.76"/>
    <n v="4341"/>
    <n v="3299"/>
    <x v="1"/>
    <x v="0"/>
    <s v="LAK-19 T 18m vf"/>
    <s v="LT"/>
    <s v=""/>
    <m/>
  </r>
  <r>
    <x v="1059"/>
    <x v="58"/>
    <x v="0"/>
    <x v="17"/>
    <x v="0"/>
    <s v="Podbrdský pohár 2025 - Kombi"/>
    <s v="CZ"/>
    <n v="2025"/>
    <n v="13"/>
    <n v="1948"/>
    <n v="0.76"/>
    <n v="3751"/>
    <n v="2851"/>
    <x v="1"/>
    <x v="0"/>
    <s v="Nimbus 2, 2b,2M (voda)"/>
    <s v="LCN"/>
    <s v=""/>
    <m/>
  </r>
  <r>
    <x v="663"/>
    <x v="45"/>
    <x v="0"/>
    <x v="17"/>
    <x v="0"/>
    <s v="Podbrdský pohár 2025 - Kombi"/>
    <s v="CZ"/>
    <n v="2025"/>
    <n v="14"/>
    <n v="1798"/>
    <n v="0.76"/>
    <n v="3309"/>
    <n v="2515"/>
    <x v="1"/>
    <x v="0"/>
    <s v="DG-800S 18m+W (voda)"/>
    <s v="9j"/>
    <s v=""/>
    <m/>
  </r>
  <r>
    <x v="224"/>
    <x v="25"/>
    <x v="0"/>
    <x v="17"/>
    <x v="0"/>
    <s v="Podbrdský pohár 2025 - Kombi"/>
    <s v="CZ"/>
    <n v="2025"/>
    <n v="15"/>
    <n v="442"/>
    <n v="0.76"/>
    <n v="915"/>
    <n v="695"/>
    <x v="0"/>
    <x v="0"/>
    <s v="LS 8b,t,18 18m (voda)"/>
    <n v="301"/>
    <s v=""/>
    <m/>
  </r>
  <r>
    <x v="223"/>
    <x v="32"/>
    <x v="0"/>
    <x v="17"/>
    <x v="0"/>
    <s v="Podbrdský pohár 2025 - Kombi"/>
    <s v="CZ"/>
    <n v="2025"/>
    <n v="16"/>
    <n v="0"/>
    <n v="0.76"/>
    <n v="0"/>
    <n v="0"/>
    <x v="0"/>
    <x v="0"/>
    <s v="Ventus ct 17,6m (voda)"/>
    <s v="AW"/>
    <s v=""/>
    <m/>
  </r>
  <r>
    <x v="1234"/>
    <x v="4"/>
    <x v="1"/>
    <x v="55"/>
    <x v="3"/>
    <m/>
    <m/>
    <m/>
    <m/>
    <m/>
    <m/>
    <m/>
    <m/>
    <x v="0"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F7AB22-BACE-4E80-9D96-2DA0BB9B4663}" name="Kontingenční tabulka 1" cacheId="15" applyNumberFormats="0" applyBorderFormats="0" applyFontFormats="0" applyPatternFormats="0" applyAlignmentFormats="0" applyWidthHeightFormats="1" dataCaption="Data" errorCaption="---" showError="1" missingCaption="---" updatedVersion="8" minRefreshableVersion="3" showMemberPropertyTips="0" useAutoFormatting="1" rowGrandTotals="0" colGrandTotals="0" itemPrintTitles="1" createdVersion="6" indent="0" compact="0" compactData="0" gridDropZones="1" customListSort="0">
  <location ref="B5:H456" firstHeaderRow="1" firstDataRow="2" firstDataCol="5" rowPageCount="1" colPageCount="1"/>
  <pivotFields count="19">
    <pivotField axis="axisRow" compact="0" outline="0" subtotalTop="0" showAll="0" sortType="descending" defaultSubtotal="0">
      <items count="1235">
        <item x="1041"/>
        <item x="584"/>
        <item x="324"/>
        <item x="164"/>
        <item x="746"/>
        <item x="894"/>
        <item x="61"/>
        <item x="319"/>
        <item x="1053"/>
        <item x="591"/>
        <item x="706"/>
        <item x="1217"/>
        <item x="454"/>
        <item x="382"/>
        <item x="105"/>
        <item x="461"/>
        <item x="558"/>
        <item x="309"/>
        <item x="179"/>
        <item x="37"/>
        <item x="21"/>
        <item x="676"/>
        <item x="1070"/>
        <item x="1063"/>
        <item x="278"/>
        <item x="519"/>
        <item x="626"/>
        <item x="178"/>
        <item x="791"/>
        <item x="147"/>
        <item x="790"/>
        <item x="296"/>
        <item x="414"/>
        <item x="411"/>
        <item x="1030"/>
        <item x="929"/>
        <item x="672"/>
        <item x="424"/>
        <item x="1083"/>
        <item x="1155"/>
        <item x="577"/>
        <item x="340"/>
        <item x="839"/>
        <item x="341"/>
        <item x="480"/>
        <item x="621"/>
        <item x="361"/>
        <item x="308"/>
        <item x="1148"/>
        <item x="337"/>
        <item x="1051"/>
        <item x="1207"/>
        <item x="344"/>
        <item x="890"/>
        <item x="439"/>
        <item x="1092"/>
        <item x="730"/>
        <item x="692"/>
        <item x="434"/>
        <item x="1080"/>
        <item x="1029"/>
        <item x="904"/>
        <item x="1128"/>
        <item x="1112"/>
        <item x="76"/>
        <item x="85"/>
        <item x="892"/>
        <item x="804"/>
        <item x="346"/>
        <item x="1157"/>
        <item x="365"/>
        <item x="446"/>
        <item x="957"/>
        <item x="1199"/>
        <item x="912"/>
        <item x="972"/>
        <item x="548"/>
        <item x="325"/>
        <item x="438"/>
        <item x="987"/>
        <item x="305"/>
        <item x="408"/>
        <item x="421"/>
        <item x="318"/>
        <item x="997"/>
        <item x="855"/>
        <item x="440"/>
        <item x="999"/>
        <item x="430"/>
        <item x="315"/>
        <item x="1188"/>
        <item x="505"/>
        <item x="990"/>
        <item x="115"/>
        <item x="1165"/>
        <item x="392"/>
        <item x="544"/>
        <item x="1208"/>
        <item x="1064"/>
        <item x="335"/>
        <item x="1178"/>
        <item x="1141"/>
        <item x="1181"/>
        <item x="398"/>
        <item x="342"/>
        <item x="954"/>
        <item x="644"/>
        <item x="448"/>
        <item x="918"/>
        <item x="1211"/>
        <item x="495"/>
        <item x="1137"/>
        <item x="496"/>
        <item x="877"/>
        <item x="1071"/>
        <item x="975"/>
        <item x="490"/>
        <item x="761"/>
        <item x="449"/>
        <item x="925"/>
        <item x="367"/>
        <item x="937"/>
        <item x="391"/>
        <item x="501"/>
        <item x="619"/>
        <item x="979"/>
        <item x="1033"/>
        <item x="927"/>
        <item x="998"/>
        <item x="419"/>
        <item x="407"/>
        <item x="1151"/>
        <item x="412"/>
        <item x="550"/>
        <item x="993"/>
        <item x="543"/>
        <item x="840"/>
        <item x="489"/>
        <item x="425"/>
        <item x="1219"/>
        <item x="1220"/>
        <item x="498"/>
        <item x="1135"/>
        <item x="824"/>
        <item x="1011"/>
        <item x="1226"/>
        <item x="745"/>
        <item x="1042"/>
        <item x="54"/>
        <item x="34"/>
        <item x="607"/>
        <item x="701"/>
        <item x="202"/>
        <item x="995"/>
        <item x="132"/>
        <item x="661"/>
        <item x="732"/>
        <item x="1076"/>
        <item x="882"/>
        <item x="721"/>
        <item x="593"/>
        <item x="405"/>
        <item x="994"/>
        <item x="331"/>
        <item x="370"/>
        <item x="263"/>
        <item x="1075"/>
        <item x="5"/>
        <item x="1049"/>
        <item x="668"/>
        <item x="338"/>
        <item x="851"/>
        <item x="843"/>
        <item x="24"/>
        <item x="697"/>
        <item x="10"/>
        <item x="256"/>
        <item x="17"/>
        <item x="228"/>
        <item x="805"/>
        <item x="1142"/>
        <item x="965"/>
        <item x="494"/>
        <item x="1213"/>
        <item x="943"/>
        <item x="432"/>
        <item x="921"/>
        <item x="919"/>
        <item x="980"/>
        <item x="932"/>
        <item x="451"/>
        <item x="576"/>
        <item x="606"/>
        <item x="566"/>
        <item x="942"/>
        <item x="1180"/>
        <item x="1031"/>
        <item x="563"/>
        <item x="905"/>
        <item x="1009"/>
        <item x="293"/>
        <item x="758"/>
        <item x="530"/>
        <item x="996"/>
        <item x="282"/>
        <item x="740"/>
        <item x="623"/>
        <item x="853"/>
        <item x="688"/>
        <item x="825"/>
        <item x="409"/>
        <item x="520"/>
        <item x="951"/>
        <item x="161"/>
        <item x="1196"/>
        <item x="611"/>
        <item x="366"/>
        <item x="823"/>
        <item x="653"/>
        <item x="555"/>
        <item x="808"/>
        <item x="581"/>
        <item x="981"/>
        <item x="700"/>
        <item x="163"/>
        <item x="792"/>
        <item x="1017"/>
        <item x="982"/>
        <item x="1177"/>
        <item x="294"/>
        <item x="1182"/>
        <item x="814"/>
        <item x="887"/>
        <item x="266"/>
        <item x="170"/>
        <item x="873"/>
        <item x="715"/>
        <item x="264"/>
        <item x="630"/>
        <item x="841"/>
        <item x="427"/>
        <item x="574"/>
        <item x="478"/>
        <item x="985"/>
        <item x="1195"/>
        <item x="1052"/>
        <item x="608"/>
        <item x="920"/>
        <item x="803"/>
        <item x="213"/>
        <item x="744"/>
        <item x="15"/>
        <item x="233"/>
        <item x="221"/>
        <item x="674"/>
        <item x="133"/>
        <item x="67"/>
        <item x="655"/>
        <item x="541"/>
        <item x="1191"/>
        <item x="856"/>
        <item x="624"/>
        <item x="379"/>
        <item x="891"/>
        <item x="363"/>
        <item x="151"/>
        <item x="464"/>
        <item x="992"/>
        <item x="1125"/>
        <item x="686"/>
        <item x="472"/>
        <item x="529"/>
        <item x="729"/>
        <item x="512"/>
        <item x="1186"/>
        <item x="806"/>
        <item x="857"/>
        <item x="787"/>
        <item x="463"/>
        <item x="562"/>
        <item x="854"/>
        <item x="561"/>
        <item x="492"/>
        <item x="1132"/>
        <item x="636"/>
        <item x="1138"/>
        <item x="610"/>
        <item x="809"/>
        <item x="643"/>
        <item x="603"/>
        <item x="534"/>
        <item x="493"/>
        <item x="1047"/>
        <item x="457"/>
        <item x="777"/>
        <item x="933"/>
        <item x="1167"/>
        <item x="1028"/>
        <item x="923"/>
        <item x="42"/>
        <item x="1212"/>
        <item x="488"/>
        <item x="1214"/>
        <item x="638"/>
        <item x="1046"/>
        <item x="567"/>
        <item x="1037"/>
        <item x="798"/>
        <item x="864"/>
        <item x="556"/>
        <item x="631"/>
        <item x="913"/>
        <item x="939"/>
        <item x="1216"/>
        <item x="499"/>
        <item x="928"/>
        <item x="1032"/>
        <item x="592"/>
        <item x="941"/>
        <item x="785"/>
        <item x="946"/>
        <item x="417"/>
        <item x="1088"/>
        <item x="646"/>
        <item x="310"/>
        <item x="460"/>
        <item x="572"/>
        <item x="1156"/>
        <item x="959"/>
        <item x="601"/>
        <item x="431"/>
        <item x="328"/>
        <item x="599"/>
        <item x="362"/>
        <item x="399"/>
        <item x="2"/>
        <item x="1169"/>
        <item x="272"/>
        <item x="707"/>
        <item x="32"/>
        <item x="49"/>
        <item x="588"/>
        <item x="849"/>
        <item x="539"/>
        <item x="528"/>
        <item x="845"/>
        <item x="1021"/>
        <item x="226"/>
        <item x="1058"/>
        <item x="513"/>
        <item x="766"/>
        <item x="94"/>
        <item x="884"/>
        <item x="249"/>
        <item x="1160"/>
        <item x="666"/>
        <item x="830"/>
        <item x="1006"/>
        <item x="906"/>
        <item x="1224"/>
        <item x="1004"/>
        <item x="779"/>
        <item x="585"/>
        <item x="148"/>
        <item x="35"/>
        <item x="44"/>
        <item x="353"/>
        <item x="97"/>
        <item x="733"/>
        <item x="371"/>
        <item x="969"/>
        <item x="239"/>
        <item x="772"/>
        <item x="1069"/>
        <item x="717"/>
        <item x="767"/>
        <item x="372"/>
        <item x="290"/>
        <item x="238"/>
        <item x="173"/>
        <item x="36"/>
        <item x="762"/>
        <item x="369"/>
        <item x="1139"/>
        <item x="669"/>
        <item x="769"/>
        <item x="41"/>
        <item x="284"/>
        <item x="1027"/>
        <item x="22"/>
        <item x="681"/>
        <item x="124"/>
        <item x="1229"/>
        <item x="60"/>
        <item x="718"/>
        <item x="1089"/>
        <item x="64"/>
        <item x="205"/>
        <item x="401"/>
        <item x="246"/>
        <item x="191"/>
        <item x="241"/>
        <item x="88"/>
        <item x="46"/>
        <item x="861"/>
        <item x="1163"/>
        <item x="112"/>
        <item x="126"/>
        <item x="11"/>
        <item x="756"/>
        <item x="104"/>
        <item x="240"/>
        <item x="8"/>
        <item x="62"/>
        <item x="160"/>
        <item x="726"/>
        <item x="687"/>
        <item x="216"/>
        <item x="664"/>
        <item x="1158"/>
        <item x="244"/>
        <item x="204"/>
        <item x="833"/>
        <item x="87"/>
        <item x="1091"/>
        <item x="751"/>
        <item x="51"/>
        <item x="1079"/>
        <item x="549"/>
        <item x="802"/>
        <item x="357"/>
        <item x="1210"/>
        <item x="1043"/>
        <item x="683"/>
        <item x="137"/>
        <item x="140"/>
        <item x="101"/>
        <item x="77"/>
        <item x="1232"/>
        <item x="211"/>
        <item x="1060"/>
        <item x="47"/>
        <item x="231"/>
        <item x="172"/>
        <item x="1231"/>
        <item x="0"/>
        <item x="862"/>
        <item x="795"/>
        <item x="1019"/>
        <item x="956"/>
        <item x="1036"/>
        <item x="807"/>
        <item x="794"/>
        <item x="517"/>
        <item x="1185"/>
        <item x="1020"/>
        <item x="876"/>
        <item x="801"/>
        <item x="1016"/>
        <item x="569"/>
        <item x="364"/>
        <item x="183"/>
        <item x="311"/>
        <item x="963"/>
        <item x="986"/>
        <item x="81"/>
        <item x="832"/>
        <item x="831"/>
        <item x="725"/>
        <item x="268"/>
        <item x="236"/>
        <item x="26"/>
        <item x="135"/>
        <item x="235"/>
        <item x="262"/>
        <item x="66"/>
        <item x="129"/>
        <item x="291"/>
        <item x="1119"/>
        <item x="694"/>
        <item x="714"/>
        <item x="731"/>
        <item x="720"/>
        <item x="763"/>
        <item x="83"/>
        <item x="257"/>
        <item x="110"/>
        <item x="289"/>
        <item x="189"/>
        <item x="196"/>
        <item x="1097"/>
        <item x="723"/>
        <item x="656"/>
        <item x="333"/>
        <item x="515"/>
        <item x="1171"/>
        <item x="594"/>
        <item x="536"/>
        <item x="838"/>
        <item x="564"/>
        <item x="1048"/>
        <item x="944"/>
        <item x="503"/>
        <item x="620"/>
        <item x="770"/>
        <item x="138"/>
        <item x="667"/>
        <item x="253"/>
        <item x="778"/>
        <item x="1057"/>
        <item x="84"/>
        <item x="80"/>
        <item x="197"/>
        <item x="658"/>
        <item x="470"/>
        <item x="874"/>
        <item x="883"/>
        <item x="1078"/>
        <item x="1085"/>
        <item x="1190"/>
        <item x="886"/>
        <item x="316"/>
        <item x="742"/>
        <item x="872"/>
        <item x="1200"/>
        <item x="936"/>
        <item x="670"/>
        <item x="1153"/>
        <item x="504"/>
        <item x="358"/>
        <item x="690"/>
        <item x="188"/>
        <item x="93"/>
        <item x="50"/>
        <item x="1121"/>
        <item x="142"/>
        <item x="774"/>
        <item x="38"/>
        <item x="177"/>
        <item x="429"/>
        <item x="1082"/>
        <item x="225"/>
        <item x="1170"/>
        <item x="1123"/>
        <item x="1129"/>
        <item x="339"/>
        <item x="1015"/>
        <item x="1215"/>
        <item x="158"/>
        <item x="237"/>
        <item x="416"/>
        <item x="467"/>
        <item x="435"/>
        <item x="629"/>
        <item x="1209"/>
        <item x="991"/>
        <item x="847"/>
        <item x="1149"/>
        <item x="487"/>
        <item x="321"/>
        <item x="507"/>
        <item x="1087"/>
        <item x="506"/>
        <item x="1001"/>
        <item x="368"/>
        <item x="633"/>
        <item x="908"/>
        <item x="336"/>
        <item x="625"/>
        <item x="351"/>
        <item x="934"/>
        <item x="897"/>
        <item x="1225"/>
        <item x="907"/>
        <item x="952"/>
        <item x="1022"/>
        <item x="651"/>
        <item x="394"/>
        <item x="1120"/>
        <item x="185"/>
        <item x="734"/>
        <item x="176"/>
        <item x="634"/>
        <item x="193"/>
        <item x="1152"/>
        <item x="782"/>
        <item x="510"/>
        <item x="538"/>
        <item x="486"/>
        <item x="485"/>
        <item x="617"/>
        <item x="984"/>
        <item x="947"/>
        <item x="1035"/>
        <item x="924"/>
        <item x="180"/>
        <item x="682"/>
        <item x="735"/>
        <item x="348"/>
        <item x="835"/>
        <item x="1126"/>
        <item x="1172"/>
        <item x="531"/>
        <item x="579"/>
        <item x="436"/>
        <item x="428"/>
        <item x="821"/>
        <item x="810"/>
        <item x="1000"/>
        <item x="673"/>
        <item x="403"/>
        <item x="899"/>
        <item x="355"/>
        <item x="377"/>
        <item x="275"/>
        <item x="393"/>
        <item x="771"/>
        <item x="728"/>
        <item x="662"/>
        <item x="1059"/>
        <item x="1233"/>
        <item x="1203"/>
        <item x="604"/>
        <item x="1040"/>
        <item x="863"/>
        <item x="426"/>
        <item x="1044"/>
        <item x="65"/>
        <item x="533"/>
        <item x="565"/>
        <item x="292"/>
        <item x="251"/>
        <item x="260"/>
        <item x="14"/>
        <item x="895"/>
        <item x="1061"/>
        <item x="199"/>
        <item x="3"/>
        <item x="150"/>
        <item x="118"/>
        <item x="201"/>
        <item x="1050"/>
        <item x="107"/>
        <item x="322"/>
        <item x="304"/>
        <item x="447"/>
        <item x="347"/>
        <item x="968"/>
        <item x="442"/>
        <item x="73"/>
        <item x="960"/>
        <item x="945"/>
        <item x="514"/>
        <item x="329"/>
        <item x="615"/>
        <item x="1192"/>
        <item x="961"/>
        <item x="815"/>
        <item x="1134"/>
        <item x="780"/>
        <item x="277"/>
        <item x="297"/>
        <item x="1054"/>
        <item x="168"/>
        <item x="1140"/>
        <item x="708"/>
        <item x="875"/>
        <item x="350"/>
        <item x="376"/>
        <item x="389"/>
        <item x="125"/>
        <item x="441"/>
        <item x="166"/>
        <item x="422"/>
        <item x="812"/>
        <item x="1136"/>
        <item x="300"/>
        <item x="827"/>
        <item x="4"/>
        <item x="475"/>
        <item x="1202"/>
        <item x="1173"/>
        <item x="1228"/>
        <item x="320"/>
        <item x="836"/>
        <item x="181"/>
        <item x="175"/>
        <item x="89"/>
        <item x="208"/>
        <item x="388"/>
        <item x="95"/>
        <item x="280"/>
        <item x="215"/>
        <item x="1109"/>
        <item x="16"/>
        <item x="829"/>
        <item x="1062"/>
        <item x="383"/>
        <item x="184"/>
        <item x="709"/>
        <item x="659"/>
        <item x="245"/>
        <item x="671"/>
        <item x="298"/>
        <item x="870"/>
        <item x="834"/>
        <item x="159"/>
        <item x="285"/>
        <item x="760"/>
        <item x="69"/>
        <item x="92"/>
        <item x="948"/>
        <item x="6"/>
        <item x="86"/>
        <item x="207"/>
        <item x="1003"/>
        <item x="218"/>
        <item x="354"/>
        <item x="155"/>
        <item x="242"/>
        <item x="660"/>
        <item x="900"/>
        <item x="542"/>
        <item x="56"/>
        <item x="878"/>
        <item x="527"/>
        <item x="1197"/>
        <item x="955"/>
        <item x="850"/>
        <item x="648"/>
        <item x="1198"/>
        <item x="509"/>
        <item x="1164"/>
        <item x="1072"/>
        <item x="1206"/>
        <item x="1025"/>
        <item x="858"/>
        <item x="1176"/>
        <item x="314"/>
        <item x="910"/>
        <item x="922"/>
        <item x="1002"/>
        <item x="1086"/>
        <item x="433"/>
        <item x="931"/>
        <item x="677"/>
        <item x="679"/>
        <item x="1174"/>
        <item x="141"/>
        <item x="597"/>
        <item x="639"/>
        <item x="445"/>
        <item x="983"/>
        <item x="1038"/>
        <item x="598"/>
        <item x="650"/>
        <item x="404"/>
        <item x="53"/>
        <item x="893"/>
        <item x="71"/>
        <item x="200"/>
        <item x="203"/>
        <item x="698"/>
        <item x="144"/>
        <item x="1095"/>
        <item x="693"/>
        <item x="248"/>
        <item x="7"/>
        <item x="108"/>
        <item x="1106"/>
        <item x="234"/>
        <item x="1100"/>
        <item x="888"/>
        <item x="844"/>
        <item x="1118"/>
        <item x="40"/>
        <item x="710"/>
        <item x="130"/>
        <item x="846"/>
        <item x="596"/>
        <item x="559"/>
        <item x="466"/>
        <item x="524"/>
        <item x="595"/>
        <item x="274"/>
        <item x="738"/>
        <item x="397"/>
        <item x="194"/>
        <item x="1007"/>
        <item x="373"/>
        <item x="881"/>
        <item x="255"/>
        <item x="516"/>
        <item x="722"/>
        <item x="273"/>
        <item x="741"/>
        <item x="75"/>
        <item x="1108"/>
        <item x="229"/>
        <item x="678"/>
        <item x="1113"/>
        <item x="288"/>
        <item x="131"/>
        <item x="1094"/>
        <item x="119"/>
        <item x="1068"/>
        <item x="768"/>
        <item x="1103"/>
        <item x="1098"/>
        <item x="727"/>
        <item x="901"/>
        <item x="117"/>
        <item x="1096"/>
        <item x="842"/>
        <item x="1081"/>
        <item x="491"/>
        <item x="978"/>
        <item x="689"/>
        <item x="789"/>
        <item x="685"/>
        <item x="1130"/>
        <item x="540"/>
        <item x="500"/>
        <item x="1143"/>
        <item x="1187"/>
        <item x="518"/>
        <item x="860"/>
        <item x="837"/>
        <item x="1146"/>
        <item x="327"/>
        <item x="865"/>
        <item x="547"/>
        <item x="1150"/>
        <item x="360"/>
        <item x="1102"/>
        <item x="380"/>
        <item x="1093"/>
        <item x="418"/>
        <item x="114"/>
        <item x="479"/>
        <item x="866"/>
        <item x="352"/>
        <item x="247"/>
        <item x="764"/>
        <item x="33"/>
        <item x="704"/>
        <item x="711"/>
        <item x="759"/>
        <item x="174"/>
        <item x="497"/>
        <item x="1144"/>
        <item x="989"/>
        <item x="1205"/>
        <item x="402"/>
        <item x="885"/>
        <item x="537"/>
        <item x="1056"/>
        <item x="816"/>
        <item x="1194"/>
        <item x="826"/>
        <item x="616"/>
        <item x="1193"/>
        <item x="410"/>
        <item x="187"/>
        <item x="68"/>
        <item x="113"/>
        <item x="78"/>
        <item x="214"/>
        <item x="128"/>
        <item x="254"/>
        <item x="287"/>
        <item x="753"/>
        <item x="1114"/>
        <item x="123"/>
        <item x="765"/>
        <item x="702"/>
        <item x="57"/>
        <item x="326"/>
        <item x="1"/>
        <item x="1013"/>
        <item x="286"/>
        <item x="896"/>
        <item x="869"/>
        <item x="334"/>
        <item x="871"/>
        <item x="637"/>
        <item x="811"/>
        <item x="396"/>
        <item x="903"/>
        <item x="828"/>
        <item x="465"/>
        <item x="378"/>
        <item x="307"/>
        <item x="962"/>
        <item x="143"/>
        <item x="1005"/>
        <item x="312"/>
        <item x="443"/>
        <item x="680"/>
        <item x="902"/>
        <item x="889"/>
        <item x="381"/>
        <item x="1010"/>
        <item x="452"/>
        <item x="385"/>
        <item x="1168"/>
        <item x="386"/>
        <item x="276"/>
        <item x="220"/>
        <item x="743"/>
        <item x="23"/>
        <item x="212"/>
        <item x="1110"/>
        <item x="12"/>
        <item x="91"/>
        <item x="1066"/>
        <item x="250"/>
        <item x="712"/>
        <item x="217"/>
        <item x="1115"/>
        <item x="395"/>
        <item x="230"/>
        <item x="222"/>
        <item x="102"/>
        <item x="455"/>
        <item x="28"/>
        <item x="96"/>
        <item x="267"/>
        <item x="100"/>
        <item x="109"/>
        <item x="349"/>
        <item x="127"/>
        <item x="754"/>
        <item x="1104"/>
        <item x="400"/>
        <item x="663"/>
        <item x="136"/>
        <item x="39"/>
        <item x="283"/>
        <item x="261"/>
        <item x="755"/>
        <item x="30"/>
        <item x="1101"/>
        <item x="19"/>
        <item x="699"/>
        <item x="684"/>
        <item x="301"/>
        <item x="1166"/>
        <item x="915"/>
        <item x="570"/>
        <item x="1023"/>
        <item x="632"/>
        <item x="545"/>
        <item x="613"/>
        <item x="1111"/>
        <item x="1161"/>
        <item x="323"/>
        <item x="1133"/>
        <item x="1055"/>
        <item x="642"/>
        <item x="582"/>
        <item x="675"/>
        <item x="502"/>
        <item x="977"/>
        <item x="953"/>
        <item x="190"/>
        <item x="270"/>
        <item x="111"/>
        <item x="106"/>
        <item x="27"/>
        <item x="29"/>
        <item x="757"/>
        <item x="258"/>
        <item x="43"/>
        <item x="654"/>
        <item x="90"/>
        <item x="98"/>
        <item x="1012"/>
        <item x="134"/>
        <item x="1159"/>
        <item x="691"/>
        <item x="868"/>
        <item x="1034"/>
        <item x="553"/>
        <item x="587"/>
        <item x="818"/>
        <item x="384"/>
        <item x="1183"/>
        <item x="647"/>
        <item x="580"/>
        <item x="971"/>
        <item x="82"/>
        <item x="657"/>
        <item x="575"/>
        <item x="583"/>
        <item x="48"/>
        <item x="776"/>
        <item x="535"/>
        <item x="1026"/>
        <item x="786"/>
        <item x="1145"/>
        <item x="1045"/>
        <item x="1024"/>
        <item x="797"/>
        <item x="800"/>
        <item x="1227"/>
        <item x="590"/>
        <item x="1189"/>
        <item x="773"/>
        <item x="79"/>
        <item x="198"/>
        <item x="223"/>
        <item x="232"/>
        <item x="898"/>
        <item x="99"/>
        <item x="737"/>
        <item x="1065"/>
        <item x="1204"/>
        <item x="1084"/>
        <item x="750"/>
        <item x="59"/>
        <item x="973"/>
        <item x="206"/>
        <item x="473"/>
        <item x="456"/>
        <item x="182"/>
        <item x="303"/>
        <item x="423"/>
        <item x="482"/>
        <item x="796"/>
        <item x="1162"/>
        <item x="437"/>
        <item x="522"/>
        <item x="618"/>
        <item x="752"/>
        <item x="958"/>
        <item x="967"/>
        <item x="453"/>
        <item x="313"/>
        <item x="966"/>
        <item x="935"/>
        <item x="940"/>
        <item x="930"/>
        <item x="1179"/>
        <item x="1221"/>
        <item x="819"/>
        <item x="799"/>
        <item x="784"/>
        <item x="612"/>
        <item x="511"/>
        <item x="614"/>
        <item x="299"/>
        <item x="195"/>
        <item x="330"/>
        <item x="938"/>
        <item x="916"/>
        <item x="793"/>
        <item x="552"/>
        <item x="1090"/>
        <item x="917"/>
        <item x="695"/>
        <item x="1067"/>
        <item x="1147"/>
        <item x="736"/>
        <item x="295"/>
        <item x="554"/>
        <item x="627"/>
        <item x="964"/>
        <item x="949"/>
        <item x="568"/>
        <item x="1039"/>
        <item x="152"/>
        <item x="153"/>
        <item x="63"/>
        <item x="813"/>
        <item x="458"/>
        <item x="852"/>
        <item x="641"/>
        <item x="1218"/>
        <item x="477"/>
        <item x="415"/>
        <item x="880"/>
        <item x="600"/>
        <item x="469"/>
        <item x="820"/>
        <item x="775"/>
        <item x="483"/>
        <item x="406"/>
        <item x="259"/>
        <item x="269"/>
        <item x="848"/>
        <item x="976"/>
        <item x="139"/>
        <item x="154"/>
        <item x="605"/>
        <item x="1201"/>
        <item x="1018"/>
        <item x="560"/>
        <item x="859"/>
        <item x="645"/>
        <item x="649"/>
        <item x="817"/>
        <item x="640"/>
        <item x="374"/>
        <item x="157"/>
        <item x="390"/>
        <item x="557"/>
        <item x="481"/>
        <item x="521"/>
        <item x="589"/>
        <item x="162"/>
        <item x="950"/>
        <item x="578"/>
        <item x="1105"/>
        <item x="1014"/>
        <item x="525"/>
        <item x="573"/>
        <item x="508"/>
        <item x="609"/>
        <item x="622"/>
        <item x="739"/>
        <item x="192"/>
        <item x="271"/>
        <item x="9"/>
        <item x="209"/>
        <item x="1116"/>
        <item x="167"/>
        <item x="1099"/>
        <item x="749"/>
        <item x="748"/>
        <item x="116"/>
        <item x="121"/>
        <item x="279"/>
        <item x="58"/>
        <item x="375"/>
        <item x="210"/>
        <item x="55"/>
        <item x="724"/>
        <item x="145"/>
        <item x="1230"/>
        <item x="20"/>
        <item x="1131"/>
        <item x="345"/>
        <item x="359"/>
        <item x="635"/>
        <item x="551"/>
        <item x="476"/>
        <item x="602"/>
        <item x="911"/>
        <item x="302"/>
        <item x="783"/>
        <item x="474"/>
        <item x="1175"/>
        <item x="413"/>
        <item x="1184"/>
        <item x="628"/>
        <item x="781"/>
        <item x="586"/>
        <item x="571"/>
        <item x="281"/>
        <item x="1107"/>
        <item x="252"/>
        <item x="265"/>
        <item x="18"/>
        <item x="224"/>
        <item x="696"/>
        <item x="420"/>
        <item x="532"/>
        <item x="149"/>
        <item x="317"/>
        <item x="13"/>
        <item x="468"/>
        <item x="909"/>
        <item x="1074"/>
        <item x="387"/>
        <item x="120"/>
        <item x="146"/>
        <item x="713"/>
        <item x="227"/>
        <item x="705"/>
        <item x="822"/>
        <item x="1117"/>
        <item x="31"/>
        <item x="25"/>
        <item x="72"/>
        <item x="122"/>
        <item x="186"/>
        <item x="1008"/>
        <item x="716"/>
        <item x="243"/>
        <item x="747"/>
        <item x="665"/>
        <item x="165"/>
        <item x="169"/>
        <item x="156"/>
        <item x="652"/>
        <item x="219"/>
        <item x="1127"/>
        <item x="1124"/>
        <item x="914"/>
        <item x="1222"/>
        <item x="459"/>
        <item x="879"/>
        <item x="970"/>
        <item x="526"/>
        <item x="546"/>
        <item x="867"/>
        <item x="332"/>
        <item x="1154"/>
        <item x="306"/>
        <item x="444"/>
        <item x="171"/>
        <item x="974"/>
        <item x="523"/>
        <item x="926"/>
        <item x="462"/>
        <item x="450"/>
        <item x="788"/>
        <item x="103"/>
        <item x="1122"/>
        <item x="70"/>
        <item x="52"/>
        <item x="45"/>
        <item x="703"/>
        <item x="719"/>
        <item x="74"/>
        <item x="1073"/>
        <item x="343"/>
        <item x="484"/>
        <item x="1223"/>
        <item x="471"/>
        <item x="988"/>
        <item x="356"/>
        <item x="1077"/>
        <item x="123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ubtotalTop="0" showAll="0" includeNewItemsInFilter="1" nonAutoSortDefault="1" defaultSubtotal="0">
      <items count="66">
        <item x="63"/>
        <item x="64"/>
        <item x="56"/>
        <item x="46"/>
        <item x="53"/>
        <item x="40"/>
        <item x="59"/>
        <item x="57"/>
        <item x="54"/>
        <item x="55"/>
        <item x="41"/>
        <item x="33"/>
        <item x="38"/>
        <item x="39"/>
        <item x="52"/>
        <item x="47"/>
        <item x="18"/>
        <item x="20"/>
        <item x="22"/>
        <item x="14"/>
        <item x="16"/>
        <item x="32"/>
        <item x="2"/>
        <item x="6"/>
        <item x="37"/>
        <item x="13"/>
        <item x="29"/>
        <item x="25"/>
        <item x="5"/>
        <item x="36"/>
        <item x="21"/>
        <item x="27"/>
        <item x="0"/>
        <item x="9"/>
        <item x="42"/>
        <item x="8"/>
        <item x="11"/>
        <item x="45"/>
        <item x="35"/>
        <item x="28"/>
        <item x="24"/>
        <item x="23"/>
        <item x="12"/>
        <item x="30"/>
        <item x="31"/>
        <item x="15"/>
        <item x="60"/>
        <item x="1"/>
        <item x="19"/>
        <item x="43"/>
        <item x="26"/>
        <item x="61"/>
        <item x="58"/>
        <item x="10"/>
        <item x="49"/>
        <item x="48"/>
        <item x="17"/>
        <item x="44"/>
        <item x="7"/>
        <item x="3"/>
        <item x="34"/>
        <item x="50"/>
        <item x="51"/>
        <item x="65"/>
        <item x="62"/>
        <item x="4"/>
      </items>
    </pivotField>
    <pivotField axis="axisRow" compact="0" outline="0" subtotalTop="0" showAll="0" includeNewItemsInFilter="1" nonAutoSortDefault="1" defaultSubtotal="0">
      <items count="4">
        <item x="2"/>
        <item x="0"/>
        <item x="1"/>
        <item m="1" x="3"/>
      </items>
    </pivotField>
    <pivotField axis="axisRow" compact="0" outline="0" subtotalTop="0" showAll="0" includeNewItemsInFilter="1" nonAutoSortDefault="1" defaultSubtotal="0">
      <items count="336">
        <item x="228"/>
        <item x="208"/>
        <item x="99"/>
        <item x="45"/>
        <item x="91"/>
        <item x="313"/>
        <item x="252"/>
        <item x="115"/>
        <item x="238"/>
        <item x="314"/>
        <item x="122"/>
        <item x="94"/>
        <item x="210"/>
        <item x="83"/>
        <item x="299"/>
        <item x="318"/>
        <item x="309"/>
        <item x="304"/>
        <item x="77"/>
        <item x="234"/>
        <item x="273"/>
        <item x="4"/>
        <item x="227"/>
        <item x="290"/>
        <item x="121"/>
        <item x="81"/>
        <item x="96"/>
        <item x="145"/>
        <item x="286"/>
        <item x="235"/>
        <item x="279"/>
        <item x="185"/>
        <item x="287"/>
        <item x="295"/>
        <item x="102"/>
        <item x="271"/>
        <item x="144"/>
        <item x="272"/>
        <item x="112"/>
        <item x="74"/>
        <item x="111"/>
        <item x="181"/>
        <item x="268"/>
        <item x="134"/>
        <item x="129"/>
        <item x="270"/>
        <item x="292"/>
        <item x="297"/>
        <item x="135"/>
        <item x="243"/>
        <item x="233"/>
        <item x="127"/>
        <item x="132"/>
        <item x="298"/>
        <item x="131"/>
        <item x="285"/>
        <item x="133"/>
        <item x="236"/>
        <item x="130"/>
        <item x="308"/>
        <item x="244"/>
        <item x="137"/>
        <item x="293"/>
        <item x="241"/>
        <item x="138"/>
        <item x="70"/>
        <item x="128"/>
        <item x="11"/>
        <item x="242"/>
        <item x="319"/>
        <item x="117"/>
        <item x="113"/>
        <item x="321"/>
        <item x="266"/>
        <item x="150"/>
        <item x="123"/>
        <item x="194"/>
        <item x="40"/>
        <item x="294"/>
        <item x="261"/>
        <item x="169"/>
        <item x="164"/>
        <item x="50"/>
        <item x="275"/>
        <item x="86"/>
        <item x="222"/>
        <item x="209"/>
        <item x="166"/>
        <item x="31"/>
        <item x="88"/>
        <item x="107"/>
        <item x="69"/>
        <item x="155"/>
        <item x="61"/>
        <item x="60"/>
        <item x="256"/>
        <item x="114"/>
        <item x="267"/>
        <item x="173"/>
        <item x="178"/>
        <item x="78"/>
        <item x="38"/>
        <item x="71"/>
        <item x="311"/>
        <item x="334"/>
        <item x="153"/>
        <item x="198"/>
        <item x="248"/>
        <item x="249"/>
        <item x="140"/>
        <item x="9"/>
        <item x="191"/>
        <item x="254"/>
        <item x="305"/>
        <item x="322"/>
        <item x="205"/>
        <item x="192"/>
        <item x="315"/>
        <item x="325"/>
        <item x="160"/>
        <item x="250"/>
        <item x="320"/>
        <item x="26"/>
        <item x="200"/>
        <item x="147"/>
        <item x="246"/>
        <item x="186"/>
        <item x="6"/>
        <item x="124"/>
        <item x="201"/>
        <item x="116"/>
        <item x="22"/>
        <item x="330"/>
        <item x="324"/>
        <item x="148"/>
        <item x="85"/>
        <item x="167"/>
        <item x="206"/>
        <item x="207"/>
        <item x="19"/>
        <item x="25"/>
        <item x="1"/>
        <item x="39"/>
        <item x="18"/>
        <item x="58"/>
        <item x="80"/>
        <item x="165"/>
        <item x="329"/>
        <item x="260"/>
        <item x="54"/>
        <item x="67"/>
        <item x="335"/>
        <item x="193"/>
        <item x="328"/>
        <item x="149"/>
        <item x="174"/>
        <item x="13"/>
        <item x="224"/>
        <item x="15"/>
        <item x="36"/>
        <item x="331"/>
        <item x="262"/>
        <item x="247"/>
        <item x="92"/>
        <item x="46"/>
        <item x="14"/>
        <item x="10"/>
        <item x="65"/>
        <item x="29"/>
        <item x="3"/>
        <item x="226"/>
        <item x="179"/>
        <item x="202"/>
        <item x="32"/>
        <item x="220"/>
        <item x="219"/>
        <item x="72"/>
        <item x="274"/>
        <item x="108"/>
        <item x="17"/>
        <item x="23"/>
        <item x="53"/>
        <item x="163"/>
        <item x="56"/>
        <item x="317"/>
        <item x="203"/>
        <item x="264"/>
        <item x="303"/>
        <item x="316"/>
        <item x="184"/>
        <item x="109"/>
        <item x="106"/>
        <item x="105"/>
        <item x="68"/>
        <item x="33"/>
        <item x="333"/>
        <item x="172"/>
        <item x="307"/>
        <item x="142"/>
        <item x="139"/>
        <item x="82"/>
        <item x="239"/>
        <item x="265"/>
        <item x="8"/>
        <item x="21"/>
        <item x="7"/>
        <item x="62"/>
        <item x="126"/>
        <item x="104"/>
        <item x="284"/>
        <item x="183"/>
        <item x="157"/>
        <item x="171"/>
        <item x="43"/>
        <item x="20"/>
        <item x="323"/>
        <item x="327"/>
        <item x="230"/>
        <item x="283"/>
        <item x="214"/>
        <item x="277"/>
        <item x="199"/>
        <item x="34"/>
        <item x="288"/>
        <item x="291"/>
        <item x="300"/>
        <item x="176"/>
        <item x="95"/>
        <item x="79"/>
        <item x="280"/>
        <item x="312"/>
        <item x="213"/>
        <item x="101"/>
        <item x="212"/>
        <item x="229"/>
        <item x="98"/>
        <item x="225"/>
        <item x="57"/>
        <item x="326"/>
        <item x="158"/>
        <item x="90"/>
        <item x="89"/>
        <item x="44"/>
        <item x="146"/>
        <item x="120"/>
        <item x="119"/>
        <item x="35"/>
        <item x="281"/>
        <item x="12"/>
        <item x="16"/>
        <item x="24"/>
        <item x="197"/>
        <item x="231"/>
        <item x="73"/>
        <item x="66"/>
        <item x="47"/>
        <item x="253"/>
        <item x="258"/>
        <item x="257"/>
        <item x="251"/>
        <item x="187"/>
        <item x="232"/>
        <item x="141"/>
        <item x="63"/>
        <item x="302"/>
        <item x="301"/>
        <item x="196"/>
        <item x="180"/>
        <item x="189"/>
        <item x="204"/>
        <item x="237"/>
        <item x="5"/>
        <item x="136"/>
        <item x="42"/>
        <item x="161"/>
        <item x="195"/>
        <item x="175"/>
        <item x="143"/>
        <item x="75"/>
        <item x="306"/>
        <item x="168"/>
        <item x="156"/>
        <item x="245"/>
        <item x="93"/>
        <item x="240"/>
        <item x="177"/>
        <item x="188"/>
        <item x="100"/>
        <item x="52"/>
        <item x="182"/>
        <item x="41"/>
        <item x="278"/>
        <item x="332"/>
        <item x="162"/>
        <item x="282"/>
        <item x="159"/>
        <item x="125"/>
        <item x="28"/>
        <item x="64"/>
        <item x="59"/>
        <item x="289"/>
        <item x="211"/>
        <item x="218"/>
        <item x="2"/>
        <item x="103"/>
        <item x="154"/>
        <item x="151"/>
        <item x="170"/>
        <item x="152"/>
        <item x="255"/>
        <item x="221"/>
        <item x="215"/>
        <item x="216"/>
        <item x="276"/>
        <item x="259"/>
        <item x="263"/>
        <item x="49"/>
        <item x="217"/>
        <item x="51"/>
        <item x="190"/>
        <item x="48"/>
        <item x="27"/>
        <item x="110"/>
        <item x="118"/>
        <item x="87"/>
        <item x="97"/>
        <item x="269"/>
        <item x="310"/>
        <item x="223"/>
        <item x="30"/>
        <item x="0"/>
        <item x="76"/>
        <item x="84"/>
        <item x="37"/>
        <item x="296"/>
        <item x="55"/>
      </items>
    </pivotField>
    <pivotField axis="axisRow" compact="0" outline="0" subtotalTop="0" showAll="0" includeNewItemsInFilter="1" nonAutoSortDefault="1" defaultSubtotal="0">
      <items count="15">
        <item x="10"/>
        <item x="13"/>
        <item x="0"/>
        <item x="1"/>
        <item x="2"/>
        <item x="8"/>
        <item x="6"/>
        <item x="12"/>
        <item x="7"/>
        <item x="4"/>
        <item x="9"/>
        <item x="11"/>
        <item x="3"/>
        <item m="1" x="14"/>
        <item x="5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defaultSubtotal="0"/>
    <pivotField compact="0" outline="0" subtotalTop="0" showAll="0" includeNewItemsInFilter="1"/>
    <pivotField dataField="1" compact="0" outline="0" subtotalTop="0" showAll="0" defaultSubtotal="0"/>
    <pivotField axis="axisPage" dataField="1" compact="0" outline="0" subtotalTop="0" showAll="0" includeNewItemsInFilter="1">
      <items count="3">
        <item x="1"/>
        <item h="1"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defaultSubtotal="0"/>
    <pivotField compact="0" outline="0" subtotalTop="0" showAll="0" includeNewItemsInFilter="1"/>
    <pivotField compact="0" outline="0" subtotalTop="0" showAll="0" defaultSubtotal="0"/>
  </pivotFields>
  <rowFields count="5">
    <field x="0"/>
    <field x="1"/>
    <field x="2"/>
    <field x="3"/>
    <field x="4"/>
  </rowFields>
  <rowItems count="450">
    <i>
      <x v="399"/>
      <x v="44"/>
      <x v="1"/>
      <x v="169"/>
      <x v="4"/>
    </i>
    <i>
      <x v="1136"/>
      <x v="21"/>
      <x v="1"/>
      <x v="131"/>
      <x v="2"/>
    </i>
    <i>
      <x v="637"/>
      <x v="59"/>
      <x v="1"/>
      <x v="169"/>
      <x v="4"/>
    </i>
    <i>
      <x v="969"/>
      <x v="48"/>
      <x v="1"/>
      <x v="143"/>
      <x v="4"/>
    </i>
    <i>
      <x v="801"/>
      <x v="44"/>
      <x v="1"/>
      <x v="179"/>
      <x v="2"/>
    </i>
    <i>
      <x v="445"/>
      <x v="32"/>
      <x v="1"/>
      <x v="330"/>
      <x v="2"/>
    </i>
    <i>
      <x v="412"/>
      <x v="59"/>
      <x v="1"/>
      <x v="203"/>
      <x v="4"/>
    </i>
    <i>
      <x v="941"/>
      <x v="30"/>
      <x v="1"/>
      <x v="330"/>
      <x v="2"/>
    </i>
    <i>
      <x v="767"/>
      <x v="23"/>
      <x v="1"/>
      <x v="205"/>
      <x v="4"/>
    </i>
    <i>
      <x v="537"/>
      <x v="50"/>
      <x v="1"/>
      <x v="204"/>
      <x v="2"/>
    </i>
    <i>
      <x v="878"/>
      <x v="47"/>
      <x v="1"/>
      <x v="141"/>
      <x v="3"/>
    </i>
    <i>
      <x v="870"/>
      <x v="14"/>
      <x v="1"/>
      <x v="248"/>
      <x v="3"/>
    </i>
    <i>
      <x v="335"/>
      <x v="22"/>
      <x v="1"/>
      <x v="303"/>
      <x v="2"/>
    </i>
    <i>
      <x v="477"/>
      <x v="16"/>
      <x v="1"/>
      <x v="194"/>
      <x v="4"/>
    </i>
    <i>
      <x v="756"/>
      <x v="57"/>
      <x/>
      <x v="248"/>
      <x v="3"/>
    </i>
    <i>
      <x v="925"/>
      <x v="17"/>
      <x v="1"/>
      <x v="143"/>
      <x v="4"/>
    </i>
    <i>
      <x v="757"/>
      <x v="60"/>
      <x/>
      <x v="303"/>
      <x v="2"/>
    </i>
    <i>
      <x v="339"/>
      <x v="19"/>
      <x v="1"/>
      <x v="204"/>
      <x v="2"/>
    </i>
    <i>
      <x v="1176"/>
      <x v="56"/>
      <x v="1"/>
      <x v="242"/>
      <x v="3"/>
    </i>
    <i>
      <x v="1133"/>
      <x v="30"/>
      <x v="1"/>
      <x v="330"/>
      <x v="2"/>
    </i>
    <i>
      <x v="386"/>
      <x v="39"/>
      <x v="1"/>
      <x v="180"/>
      <x v="2"/>
    </i>
    <i>
      <x v="299"/>
      <x v="48"/>
      <x/>
      <x v="250"/>
      <x v="3"/>
    </i>
    <i>
      <x v="844"/>
      <x v="23"/>
      <x v="1"/>
      <x v="131"/>
      <x v="2"/>
    </i>
    <i>
      <x v="873"/>
      <x v="24"/>
      <x v="1"/>
      <x v="205"/>
      <x v="4"/>
    </i>
    <i>
      <x v="1087"/>
      <x v="55"/>
      <x/>
      <x v="320"/>
      <x v="3"/>
    </i>
    <i>
      <x v="1123"/>
      <x v="58"/>
      <x v="1"/>
      <x v="110"/>
      <x v="3"/>
    </i>
    <i>
      <x v="970"/>
      <x v="30"/>
      <x v="1"/>
      <x v="139"/>
      <x v="3"/>
    </i>
    <i>
      <x v="692"/>
      <x v="35"/>
      <x v="1"/>
      <x v="330"/>
      <x v="2"/>
    </i>
    <i>
      <x v="465"/>
      <x v="35"/>
      <x v="1"/>
      <x v="180"/>
      <x v="2"/>
    </i>
    <i>
      <x v="170"/>
      <x v="51"/>
      <x v="1"/>
      <x v="144"/>
      <x v="3"/>
    </i>
    <i>
      <x v="928"/>
      <x v="57"/>
      <x v="1"/>
      <x v="329"/>
      <x v="4"/>
    </i>
    <i>
      <x v="924"/>
      <x v="28"/>
      <x v="1"/>
      <x v="169"/>
      <x v="4"/>
    </i>
    <i>
      <x v="842"/>
      <x v="40"/>
      <x v="1"/>
      <x v="167"/>
      <x v="4"/>
    </i>
    <i>
      <x v="364"/>
      <x v="41"/>
      <x v="1"/>
      <x v="158"/>
      <x v="3"/>
    </i>
    <i>
      <x v="967"/>
      <x v="37"/>
      <x v="1"/>
      <x v="297"/>
      <x v="4"/>
    </i>
    <i>
      <x v="417"/>
      <x v="52"/>
      <x v="1"/>
      <x v="94"/>
      <x v="4"/>
    </i>
    <i>
      <x v="434"/>
      <x v="55"/>
      <x v="1"/>
      <x v="158"/>
      <x v="3"/>
    </i>
    <i>
      <x v="631"/>
      <x v="49"/>
      <x v="1"/>
      <x v="180"/>
      <x v="2"/>
    </i>
    <i>
      <x v="916"/>
      <x v="41"/>
      <x v="1"/>
      <x v="180"/>
      <x v="2"/>
    </i>
    <i>
      <x v="380"/>
      <x v="40"/>
      <x v="1"/>
      <x v="180"/>
      <x v="2"/>
    </i>
    <i>
      <x v="867"/>
      <x v="50"/>
      <x v="1"/>
      <x v="303"/>
      <x v="2"/>
    </i>
    <i>
      <x v="1010"/>
      <x v="36"/>
      <x v="1"/>
      <x v="179"/>
      <x v="2"/>
    </i>
    <i>
      <x v="19"/>
      <x v="27"/>
      <x/>
      <x v="330"/>
      <x v="2"/>
    </i>
    <i>
      <x v="256"/>
      <x v="23"/>
      <x v="1"/>
      <x v="143"/>
      <x v="4"/>
    </i>
    <i>
      <x v="660"/>
      <x v="26"/>
      <x v="1"/>
      <x v="297"/>
      <x v="4"/>
    </i>
    <i>
      <x v="1071"/>
      <x v="60"/>
      <x v="1"/>
      <x v="165"/>
      <x v="2"/>
    </i>
    <i>
      <x v="378"/>
      <x v="45"/>
      <x v="1"/>
      <x v="298"/>
      <x v="2"/>
    </i>
    <i>
      <x v="491"/>
      <x v="46"/>
      <x v="1"/>
      <x v="164"/>
      <x v="2"/>
    </i>
    <i>
      <x v="505"/>
      <x v="24"/>
      <x v="1"/>
      <x v="142"/>
      <x v="2"/>
    </i>
    <i>
      <x v="486"/>
      <x v="26"/>
      <x v="1"/>
      <x v="222"/>
      <x v="4"/>
    </i>
    <i>
      <x v="1161"/>
      <x v="31"/>
      <x v="1"/>
      <x v="156"/>
      <x v="3"/>
    </i>
    <i>
      <x v="759"/>
      <x v="35"/>
      <x v="1"/>
      <x v="168"/>
      <x v="4"/>
    </i>
    <i>
      <x v="363"/>
      <x v="55"/>
      <x v="1"/>
      <x v="164"/>
      <x v="2"/>
    </i>
    <i>
      <x v="930"/>
      <x v="32"/>
      <x v="1"/>
      <x v="110"/>
      <x v="3"/>
    </i>
    <i>
      <x v="391"/>
      <x v="43"/>
      <x v="1"/>
      <x v="204"/>
      <x v="2"/>
    </i>
    <i>
      <x v="791"/>
      <x v="37"/>
      <x v="1"/>
      <x v="139"/>
      <x v="3"/>
    </i>
    <i>
      <x v="991"/>
      <x v="29"/>
      <x v="1"/>
      <x v="173"/>
      <x v="4"/>
    </i>
    <i>
      <x v="148"/>
      <x v="22"/>
      <x/>
      <x v="204"/>
      <x v="2"/>
    </i>
    <i>
      <x v="510"/>
      <x v="38"/>
      <x v="1"/>
      <x v="173"/>
      <x v="4"/>
    </i>
    <i>
      <x v="27"/>
      <x v="61"/>
      <x v="1"/>
      <x v="273"/>
      <x v="2"/>
    </i>
    <i>
      <x v="1072"/>
      <x v="61"/>
      <x v="1"/>
      <x v="203"/>
      <x v="4"/>
    </i>
    <i>
      <x v="89"/>
      <x v="51"/>
      <x/>
      <x v="330"/>
      <x v="2"/>
    </i>
    <i>
      <x v="713"/>
      <x v="31"/>
      <x v="1"/>
      <x v="180"/>
      <x v="2"/>
    </i>
    <i>
      <x v="426"/>
      <x v="20"/>
      <x/>
      <x v="250"/>
      <x v="3"/>
    </i>
    <i>
      <x v="470"/>
      <x v="47"/>
      <x v="1"/>
      <x v="250"/>
      <x v="3"/>
    </i>
    <i>
      <x v="406"/>
      <x v="27"/>
      <x v="1"/>
      <x v="166"/>
      <x v="2"/>
    </i>
    <i>
      <x v="1196"/>
      <x v="23"/>
      <x v="1"/>
      <x v="93"/>
      <x v="3"/>
    </i>
    <i>
      <x v="178"/>
      <x v="27"/>
      <x v="1"/>
      <x v="204"/>
      <x v="2"/>
    </i>
    <i>
      <x v="918"/>
      <x v="15"/>
      <x v="1"/>
      <x v="101"/>
      <x v="3"/>
    </i>
    <i>
      <x v="437"/>
      <x v="10"/>
      <x v="1"/>
      <x v="329"/>
      <x v="4"/>
    </i>
    <i>
      <x v="175"/>
      <x v="35"/>
      <x v="1"/>
      <x v="166"/>
      <x v="2"/>
    </i>
    <i>
      <x v="973"/>
      <x v="35"/>
      <x v="1"/>
      <x v="140"/>
      <x v="3"/>
    </i>
    <i>
      <x v="408"/>
      <x v="33"/>
      <x v="1"/>
      <x v="330"/>
      <x v="2"/>
    </i>
    <i>
      <x v="687"/>
      <x v="28"/>
      <x v="1"/>
      <x v="297"/>
      <x v="4"/>
    </i>
    <i>
      <x v="1220"/>
      <x v="24"/>
      <x v="1"/>
      <x v="168"/>
      <x v="4"/>
    </i>
    <i>
      <x v="365"/>
      <x v="26"/>
      <x v="1"/>
      <x v="166"/>
      <x v="2"/>
    </i>
    <i>
      <x v="938"/>
      <x v="46"/>
      <x v="1"/>
      <x v="205"/>
      <x v="4"/>
    </i>
    <i>
      <x v="213"/>
      <x v="62"/>
      <x/>
      <x v="290"/>
      <x v="2"/>
    </i>
    <i>
      <x v="712"/>
      <x v="28"/>
      <x v="1"/>
      <x v="127"/>
      <x v="4"/>
    </i>
    <i>
      <x v="487"/>
      <x v="13"/>
      <x v="1"/>
      <x v="205"/>
      <x v="4"/>
    </i>
    <i>
      <x v="1222"/>
      <x v="43"/>
      <x v="1"/>
      <x v="158"/>
      <x v="3"/>
    </i>
    <i>
      <x v="760"/>
      <x v="48"/>
      <x v="1"/>
      <x v="203"/>
      <x v="4"/>
    </i>
    <i>
      <x v="922"/>
      <x v="48"/>
      <x v="1"/>
      <x v="303"/>
      <x v="2"/>
    </i>
    <i>
      <x v="549"/>
      <x v="40"/>
      <x/>
      <x v="273"/>
      <x v="2"/>
    </i>
    <i>
      <x v="484"/>
      <x v="28"/>
      <x v="1"/>
      <x v="303"/>
      <x v="2"/>
    </i>
    <i>
      <x v="636"/>
      <x v="48"/>
      <x v="1"/>
      <x v="179"/>
      <x v="2"/>
    </i>
    <i>
      <x v="975"/>
      <x v="34"/>
      <x v="1"/>
      <x v="143"/>
      <x v="4"/>
    </i>
    <i>
      <x v="908"/>
      <x v="41"/>
      <x v="1"/>
      <x v="179"/>
      <x v="2"/>
    </i>
    <i>
      <x v="152"/>
      <x v="37"/>
      <x v="1"/>
      <x v="179"/>
      <x v="2"/>
    </i>
    <i>
      <x v="690"/>
      <x v="41"/>
      <x v="1"/>
      <x v="297"/>
      <x v="4"/>
    </i>
    <i>
      <x v="397"/>
      <x v="49"/>
      <x v="1"/>
      <x v="179"/>
      <x v="2"/>
    </i>
    <i>
      <x v="407"/>
      <x v="15"/>
      <x v="1"/>
      <x v="101"/>
      <x v="3"/>
    </i>
    <i>
      <x v="1194"/>
      <x v="59"/>
      <x v="1"/>
      <x v="318"/>
      <x v="3"/>
    </i>
    <i>
      <x v="418"/>
      <x v="52"/>
      <x v="1"/>
      <x v="249"/>
      <x v="2"/>
    </i>
    <i>
      <x v="700"/>
      <x v="31"/>
      <x v="1"/>
      <x v="298"/>
      <x v="2"/>
    </i>
    <i>
      <x v="475"/>
      <x v="31"/>
      <x v="1"/>
      <x v="321"/>
      <x v="4"/>
    </i>
    <i>
      <x v="761"/>
      <x v="26"/>
      <x v="1"/>
      <x v="179"/>
      <x v="2"/>
    </i>
    <i>
      <x v="596"/>
      <x v="40"/>
      <x v="1"/>
      <x v="140"/>
      <x v="3"/>
    </i>
    <i>
      <x v="1221"/>
      <x v="11"/>
      <x v="1"/>
      <x v="158"/>
      <x v="3"/>
    </i>
    <i>
      <x v="880"/>
      <x v="22"/>
      <x/>
      <x v="297"/>
      <x v="4"/>
    </i>
    <i>
      <x v="253"/>
      <x v="25"/>
      <x v="1"/>
      <x v="206"/>
      <x v="3"/>
    </i>
    <i>
      <x v="507"/>
      <x v="40"/>
      <x v="1"/>
      <x v="180"/>
      <x v="2"/>
    </i>
    <i>
      <x v="694"/>
      <x v="25"/>
      <x v="1"/>
      <x v="248"/>
      <x v="3"/>
    </i>
    <i>
      <x v="869"/>
      <x v="22"/>
      <x v="1"/>
      <x v="254"/>
      <x v="3"/>
    </i>
    <i>
      <x v="716"/>
      <x v="44"/>
      <x v="1"/>
      <x v="288"/>
      <x v="2"/>
    </i>
    <i>
      <x v="1225"/>
      <x v="29"/>
      <x v="1"/>
      <x v="143"/>
      <x v="4"/>
    </i>
    <i>
      <x v="913"/>
      <x v="53"/>
      <x v="1"/>
      <x v="330"/>
      <x v="2"/>
    </i>
    <i>
      <x v="376"/>
      <x v="28"/>
      <x v="1"/>
      <x v="330"/>
      <x v="2"/>
    </i>
    <i>
      <x v="1020"/>
      <x v="29"/>
      <x v="1"/>
      <x v="127"/>
      <x v="4"/>
    </i>
    <i>
      <x v="6"/>
      <x v="44"/>
      <x v="1"/>
      <x v="321"/>
      <x v="4"/>
    </i>
    <i>
      <x v="663"/>
      <x v="14"/>
      <x v="1"/>
      <x v="110"/>
      <x v="3"/>
    </i>
    <i>
      <x v="617"/>
      <x v="16"/>
      <x v="1"/>
      <x v="174"/>
      <x v="4"/>
    </i>
    <i>
      <x v="907"/>
      <x v="30"/>
      <x v="1"/>
      <x v="141"/>
      <x v="3"/>
    </i>
    <i>
      <x v="710"/>
      <x v="38"/>
      <x v="1"/>
      <x v="222"/>
      <x v="4"/>
    </i>
    <i>
      <x v="473"/>
      <x v="30"/>
      <x v="1"/>
      <x v="273"/>
      <x v="2"/>
    </i>
    <i>
      <x v="921"/>
      <x v="19"/>
      <x v="1"/>
      <x v="303"/>
      <x v="2"/>
    </i>
    <i>
      <x v="504"/>
      <x v="39"/>
      <x v="1"/>
      <x v="273"/>
      <x v="2"/>
    </i>
    <i>
      <x v="400"/>
      <x v="36"/>
      <x v="1"/>
      <x v="110"/>
      <x v="3"/>
    </i>
    <i>
      <x v="1126"/>
      <x v="57"/>
      <x v="1"/>
      <x v="181"/>
      <x v="3"/>
    </i>
    <i>
      <x v="1164"/>
      <x v="27"/>
      <x v="1"/>
      <x v="179"/>
      <x v="2"/>
    </i>
    <i>
      <x v="234"/>
      <x v="62"/>
      <x v="1"/>
      <x v="88"/>
      <x v="2"/>
    </i>
    <i>
      <x v="174"/>
      <x v="40"/>
      <x v="1"/>
      <x v="317"/>
      <x v="2"/>
    </i>
    <i>
      <x v="670"/>
      <x v="33"/>
      <x v="1"/>
      <x v="131"/>
      <x v="2"/>
    </i>
    <i>
      <x v="848"/>
      <x v="41"/>
      <x v="1"/>
      <x v="110"/>
      <x v="3"/>
    </i>
    <i>
      <x v="1211"/>
      <x v="4"/>
      <x v="1"/>
      <x v="181"/>
      <x v="3"/>
    </i>
    <i>
      <x v="802"/>
      <x v="20"/>
      <x v="1"/>
      <x v="142"/>
      <x v="2"/>
    </i>
    <i>
      <x v="443"/>
      <x v="29"/>
      <x v="1"/>
      <x v="149"/>
      <x v="3"/>
    </i>
    <i>
      <x v="583"/>
      <x v="11"/>
      <x v="1"/>
      <x v="318"/>
      <x v="3"/>
    </i>
    <i>
      <x v="255"/>
      <x v="40"/>
      <x v="1"/>
      <x v="142"/>
      <x v="2"/>
    </i>
    <i>
      <x v="367"/>
      <x v="49"/>
      <x v="1"/>
      <x v="330"/>
      <x v="2"/>
    </i>
    <i>
      <x v="511"/>
      <x v="40"/>
      <x v="1"/>
      <x v="248"/>
      <x v="3"/>
    </i>
    <i>
      <x v="1104"/>
      <x v="58"/>
      <x v="1"/>
      <x v="169"/>
      <x v="4"/>
    </i>
    <i>
      <x v="976"/>
      <x v="29"/>
      <x v="1"/>
      <x v="246"/>
      <x v="4"/>
    </i>
    <i>
      <x v="441"/>
      <x v="21"/>
      <x v="1"/>
      <x v="330"/>
      <x v="2"/>
    </i>
    <i>
      <x v="351"/>
      <x v="49"/>
      <x v="1"/>
      <x v="246"/>
      <x v="4"/>
    </i>
    <i>
      <x v="393"/>
      <x v="36"/>
      <x v="1"/>
      <x v="127"/>
      <x v="4"/>
    </i>
    <i>
      <x v="965"/>
      <x v="20"/>
      <x v="1"/>
      <x v="158"/>
      <x v="3"/>
    </i>
    <i>
      <x v="24"/>
      <x v="46"/>
      <x v="1"/>
      <x v="166"/>
      <x v="2"/>
    </i>
    <i>
      <x v="379"/>
      <x v="34"/>
      <x v="1"/>
      <x v="181"/>
      <x v="3"/>
    </i>
    <i>
      <x v="787"/>
      <x v="18"/>
      <x v="1"/>
      <x v="110"/>
      <x v="3"/>
    </i>
    <i>
      <x v="173"/>
      <x v="33"/>
      <x v="1"/>
      <x v="249"/>
      <x v="2"/>
    </i>
    <i>
      <x v="548"/>
      <x v="58"/>
      <x/>
      <x v="143"/>
      <x v="4"/>
    </i>
    <i>
      <x v="353"/>
      <x v="55"/>
      <x v="1"/>
      <x v="180"/>
      <x v="2"/>
    </i>
    <i>
      <x v="937"/>
      <x v="31"/>
      <x v="1"/>
      <x v="330"/>
      <x v="2"/>
    </i>
    <i>
      <x v="420"/>
      <x v="38"/>
      <x v="1"/>
      <x v="140"/>
      <x v="3"/>
    </i>
    <i>
      <x v="1130"/>
      <x v="30"/>
      <x v="1"/>
      <x v="321"/>
      <x v="4"/>
    </i>
    <i>
      <x v="479"/>
      <x v="23"/>
      <x v="1"/>
      <x v="250"/>
      <x v="3"/>
    </i>
    <i>
      <x v="421"/>
      <x v="40"/>
      <x v="1"/>
      <x v="179"/>
      <x v="2"/>
    </i>
    <i>
      <x v="804"/>
      <x v="18"/>
      <x v="1"/>
      <x v="333"/>
      <x v="3"/>
    </i>
    <i>
      <x v="931"/>
      <x v="29"/>
      <x v="1"/>
      <x v="142"/>
      <x v="2"/>
    </i>
    <i>
      <x v="1183"/>
      <x v="56"/>
      <x v="1"/>
      <x v="179"/>
      <x v="2"/>
    </i>
    <i>
      <x v="706"/>
      <x v="61"/>
      <x v="1"/>
      <x v="203"/>
      <x v="4"/>
    </i>
    <i>
      <x v="961"/>
      <x v="47"/>
      <x v="1"/>
      <x v="298"/>
      <x v="2"/>
    </i>
    <i>
      <x v="1121"/>
      <x v="26"/>
      <x v="1"/>
      <x v="237"/>
      <x v="3"/>
    </i>
    <i>
      <x v="251"/>
      <x v="42"/>
      <x v="1"/>
      <x v="330"/>
      <x v="2"/>
    </i>
    <i>
      <x v="914"/>
      <x v="22"/>
      <x v="1"/>
      <x v="297"/>
      <x v="4"/>
    </i>
    <i>
      <x v="838"/>
      <x v="27"/>
      <x/>
      <x v="159"/>
      <x v="4"/>
    </i>
    <i>
      <x v="666"/>
      <x v="27"/>
      <x v="1"/>
      <x v="194"/>
      <x v="4"/>
    </i>
    <i>
      <x v="978"/>
      <x v="30"/>
      <x v="1"/>
      <x v="142"/>
      <x v="2"/>
    </i>
    <i>
      <x v="720"/>
      <x v="44"/>
      <x v="1"/>
      <x v="179"/>
      <x v="2"/>
    </i>
    <i>
      <x v="530"/>
      <x v="33"/>
      <x v="1"/>
      <x v="303"/>
      <x v="2"/>
    </i>
    <i>
      <x v="718"/>
      <x v="54"/>
      <x v="1"/>
      <x v="140"/>
      <x v="3"/>
    </i>
    <i>
      <x v="811"/>
      <x v="21"/>
      <x v="1"/>
      <x v="333"/>
      <x v="3"/>
    </i>
    <i>
      <x v="414"/>
      <x v="61"/>
      <x v="1"/>
      <x v="169"/>
      <x v="4"/>
    </i>
    <i>
      <x v="535"/>
      <x v="31"/>
      <x v="1"/>
      <x v="273"/>
      <x v="2"/>
    </i>
    <i>
      <x v="686"/>
      <x v="23"/>
      <x v="1"/>
      <x v="181"/>
      <x v="3"/>
    </i>
    <i>
      <x v="1189"/>
      <x v="44"/>
      <x v="1"/>
      <x v="204"/>
      <x v="2"/>
    </i>
    <i>
      <x v="1051"/>
      <x v="41"/>
      <x v="1"/>
      <x v="173"/>
      <x v="4"/>
    </i>
    <i>
      <x v="1192"/>
      <x v="56"/>
      <x v="1"/>
      <x v="203"/>
      <x v="4"/>
    </i>
    <i>
      <x v="926"/>
      <x v="22"/>
      <x v="1"/>
      <x v="303"/>
      <x v="2"/>
    </i>
    <i>
      <x v="1073"/>
      <x v="47"/>
      <x v="1"/>
      <x v="127"/>
      <x v="4"/>
    </i>
    <i>
      <x v="177"/>
      <x v="33"/>
      <x v="1"/>
      <x v="156"/>
      <x v="3"/>
    </i>
    <i>
      <x v="641"/>
      <x v="60"/>
      <x v="1"/>
      <x v="140"/>
      <x v="3"/>
    </i>
    <i>
      <x v="865"/>
      <x v="23"/>
      <x v="1"/>
      <x v="246"/>
      <x v="4"/>
    </i>
    <i>
      <x v="934"/>
      <x v="28"/>
      <x v="1"/>
      <x v="179"/>
      <x v="2"/>
    </i>
    <i>
      <x v="1014"/>
      <x v="27"/>
      <x v="1"/>
      <x v="143"/>
      <x v="4"/>
    </i>
    <i>
      <x v="411"/>
      <x v="45"/>
      <x v="1"/>
      <x v="203"/>
      <x v="4"/>
    </i>
    <i>
      <x v="923"/>
      <x v="38"/>
      <x v="1"/>
      <x v="297"/>
      <x v="4"/>
    </i>
    <i>
      <x v="868"/>
      <x v="30"/>
      <x v="1"/>
      <x v="169"/>
      <x v="4"/>
    </i>
    <i>
      <x v="1193"/>
      <x v="33"/>
      <x v="1"/>
      <x v="318"/>
      <x v="3"/>
    </i>
    <i>
      <x v="340"/>
      <x v="19"/>
      <x v="1"/>
      <x v="330"/>
      <x v="2"/>
    </i>
    <i>
      <x v="371"/>
      <x v="33"/>
      <x v="1"/>
      <x v="156"/>
      <x v="3"/>
    </i>
    <i>
      <x v="614"/>
      <x v="32"/>
      <x v="1"/>
      <x v="168"/>
      <x v="4"/>
    </i>
    <i>
      <x v="1178"/>
      <x v="44"/>
      <x v="1"/>
      <x v="203"/>
      <x v="4"/>
    </i>
    <i>
      <x v="796"/>
      <x v="13"/>
      <x v="1"/>
      <x v="88"/>
      <x v="2"/>
    </i>
    <i>
      <x v="435"/>
      <x v="31"/>
      <x v="1"/>
      <x v="142"/>
      <x v="2"/>
    </i>
    <i>
      <x v="1159"/>
      <x v="22"/>
      <x v="1"/>
      <x v="94"/>
      <x v="4"/>
    </i>
    <i>
      <x v="149"/>
      <x v="18"/>
      <x v="1"/>
      <x v="203"/>
      <x v="4"/>
    </i>
    <i>
      <x v="250"/>
      <x v="13"/>
      <x v="1"/>
      <x v="206"/>
      <x v="3"/>
    </i>
    <i>
      <x v="156"/>
      <x v="51"/>
      <x v="1"/>
      <x v="110"/>
      <x v="3"/>
    </i>
    <i>
      <x v="688"/>
      <x v="24"/>
      <x v="1"/>
      <x v="250"/>
      <x v="3"/>
    </i>
    <i>
      <x v="165"/>
      <x v="31"/>
      <x v="1"/>
      <x v="180"/>
      <x v="2"/>
    </i>
    <i>
      <x v="709"/>
      <x v="26"/>
      <x v="1"/>
      <x v="143"/>
      <x v="4"/>
    </i>
    <i>
      <x v="532"/>
      <x v="33"/>
      <x v="1"/>
      <x v="222"/>
      <x v="4"/>
    </i>
    <i>
      <x v="864"/>
      <x v="33"/>
      <x v="1"/>
      <x v="127"/>
      <x v="4"/>
    </i>
    <i>
      <x v="972"/>
      <x v="32"/>
      <x v="1"/>
      <x v="94"/>
      <x v="4"/>
    </i>
    <i>
      <x v="472"/>
      <x v="33"/>
      <x v="1"/>
      <x v="142"/>
      <x v="2"/>
    </i>
    <i>
      <x v="402"/>
      <x v="33"/>
      <x v="1"/>
      <x v="297"/>
      <x v="4"/>
    </i>
    <i>
      <x v="338"/>
      <x v="64"/>
      <x v="1"/>
      <x v="242"/>
      <x v="3"/>
    </i>
    <i>
      <x v="946"/>
      <x v="46"/>
      <x/>
      <x v="194"/>
      <x v="4"/>
    </i>
    <i>
      <x v="765"/>
      <x v="44"/>
      <x v="1"/>
      <x v="312"/>
      <x v="3"/>
    </i>
    <i>
      <x v="640"/>
      <x v="47"/>
      <x v="1"/>
      <x v="204"/>
      <x v="2"/>
    </i>
    <i>
      <x v="347"/>
      <x v="48"/>
      <x v="1"/>
      <x v="179"/>
      <x v="2"/>
    </i>
    <i>
      <x v="476"/>
      <x v="45"/>
      <x v="1"/>
      <x v="142"/>
      <x v="2"/>
    </i>
    <i>
      <x v="939"/>
      <x v="32"/>
      <x v="1"/>
      <x v="180"/>
      <x v="2"/>
    </i>
    <i>
      <x v="785"/>
      <x v="22"/>
      <x v="1"/>
      <x v="181"/>
      <x v="3"/>
    </i>
    <i>
      <x v="384"/>
      <x v="27"/>
      <x v="1"/>
      <x v="333"/>
      <x v="3"/>
    </i>
    <i>
      <x v="877"/>
      <x v="17"/>
      <x v="1"/>
      <x v="150"/>
      <x v="3"/>
    </i>
    <i>
      <x v="236"/>
      <x v="62"/>
      <x v="1"/>
      <x v="93"/>
      <x v="3"/>
    </i>
    <i>
      <x v="422"/>
      <x v="53"/>
      <x v="1"/>
      <x v="94"/>
      <x v="4"/>
    </i>
    <i>
      <x v="1052"/>
      <x v="23"/>
      <x v="1"/>
      <x v="149"/>
      <x v="3"/>
    </i>
    <i>
      <x v="927"/>
      <x v="22"/>
      <x v="1"/>
      <x v="180"/>
      <x v="2"/>
    </i>
    <i>
      <x v="699"/>
      <x v="57"/>
      <x v="1"/>
      <x v="248"/>
      <x v="3"/>
    </i>
    <i>
      <x v="146"/>
      <x v="25"/>
      <x v="1"/>
      <x v="250"/>
      <x v="3"/>
    </i>
    <i>
      <x v="1128"/>
      <x v="30"/>
      <x v="1"/>
      <x v="250"/>
      <x v="3"/>
    </i>
    <i>
      <x v="436"/>
      <x v="16"/>
      <x v="1"/>
      <x v="297"/>
      <x v="4"/>
    </i>
    <i>
      <x v="971"/>
      <x v="34"/>
      <x v="1"/>
      <x v="158"/>
      <x v="3"/>
    </i>
    <i>
      <x v="638"/>
      <x v="54"/>
      <x v="1"/>
      <x v="320"/>
      <x v="3"/>
    </i>
    <i>
      <x v="1011"/>
      <x v="21"/>
      <x v="1"/>
      <x v="179"/>
      <x v="2"/>
    </i>
    <i>
      <x v="64"/>
      <x v="5"/>
      <x v="1"/>
      <x v="329"/>
      <x v="4"/>
    </i>
    <i>
      <x v="910"/>
      <x v="20"/>
      <x v="1"/>
      <x v="127"/>
      <x v="4"/>
    </i>
    <i>
      <x v="1034"/>
      <x v="23"/>
      <x/>
      <x v="297"/>
      <x v="4"/>
    </i>
    <i>
      <x v="595"/>
      <x v="15"/>
      <x v="1"/>
      <x v="169"/>
      <x v="4"/>
    </i>
    <i>
      <x v="691"/>
      <x v="16"/>
      <x v="1"/>
      <x v="180"/>
      <x v="2"/>
    </i>
    <i>
      <x v="480"/>
      <x v="55"/>
      <x v="1"/>
      <x v="250"/>
      <x v="3"/>
    </i>
    <i>
      <x v="788"/>
      <x v="1"/>
      <x v="1"/>
      <x v="143"/>
      <x v="4"/>
    </i>
    <i>
      <x v="784"/>
      <x v="32"/>
      <x v="1"/>
      <x v="165"/>
      <x v="2"/>
    </i>
    <i>
      <x v="403"/>
      <x v="44"/>
      <x v="1"/>
      <x v="330"/>
      <x v="2"/>
    </i>
    <i>
      <x v="719"/>
      <x v="43"/>
      <x v="1"/>
      <x v="273"/>
      <x v="2"/>
    </i>
    <i>
      <x v="1224"/>
      <x v="33"/>
      <x v="1"/>
      <x v="93"/>
      <x v="3"/>
    </i>
    <i>
      <x v="1184"/>
      <x v="22"/>
      <x v="1"/>
      <x v="329"/>
      <x v="4"/>
    </i>
    <i>
      <x v="538"/>
      <x v="8"/>
      <x v="1"/>
      <x v="165"/>
      <x v="2"/>
    </i>
    <i>
      <x v="748"/>
      <x v="29"/>
      <x v="1"/>
      <x v="290"/>
      <x v="2"/>
    </i>
    <i>
      <x v="1022"/>
      <x v="11"/>
      <x v="1"/>
      <x v="330"/>
      <x v="2"/>
    </i>
    <i>
      <x v="909"/>
      <x v="37"/>
      <x v="1"/>
      <x v="250"/>
      <x v="3"/>
    </i>
    <i>
      <x v="920"/>
      <x v="44"/>
      <x v="1"/>
      <x v="203"/>
      <x v="4"/>
    </i>
    <i>
      <x v="639"/>
      <x v="44"/>
      <x v="1"/>
      <x v="222"/>
      <x v="4"/>
    </i>
    <i>
      <x v="1129"/>
      <x v="31"/>
      <x v="1"/>
      <x v="101"/>
      <x v="3"/>
    </i>
    <i>
      <x v="929"/>
      <x v="27"/>
      <x v="1"/>
      <x v="321"/>
      <x v="4"/>
    </i>
    <i>
      <x v="237"/>
      <x v="50"/>
      <x v="1"/>
      <x v="180"/>
      <x v="2"/>
    </i>
    <i>
      <x v="995"/>
      <x v="22"/>
      <x v="1"/>
      <x v="330"/>
      <x v="2"/>
    </i>
    <i>
      <x v="808"/>
      <x v="29"/>
      <x v="1"/>
      <x v="131"/>
      <x v="2"/>
    </i>
    <i>
      <x v="1053"/>
      <x v="17"/>
      <x v="1"/>
      <x v="143"/>
      <x v="4"/>
    </i>
    <i>
      <x v="1186"/>
      <x v="32"/>
      <x v="1"/>
      <x v="165"/>
      <x v="2"/>
    </i>
    <i>
      <x v="1140"/>
      <x v="45"/>
      <x v="1"/>
      <x v="330"/>
      <x v="2"/>
    </i>
    <i>
      <x v="1162"/>
      <x v="31"/>
      <x v="1"/>
      <x v="180"/>
      <x v="2"/>
    </i>
    <i>
      <x v="425"/>
      <x v="32"/>
      <x/>
      <x v="250"/>
      <x v="3"/>
    </i>
    <i>
      <x v="917"/>
      <x v="57"/>
      <x v="1"/>
      <x v="88"/>
      <x v="2"/>
    </i>
    <i>
      <x v="723"/>
      <x v="38"/>
      <x v="1"/>
      <x v="180"/>
      <x v="2"/>
    </i>
    <i>
      <x v="980"/>
      <x v="25"/>
      <x v="1"/>
      <x v="311"/>
      <x v="3"/>
    </i>
    <i>
      <x v="93"/>
      <x v="10"/>
      <x v="1"/>
      <x v="297"/>
      <x v="4"/>
    </i>
    <i>
      <x v="698"/>
      <x v="17"/>
      <x v="1"/>
      <x v="165"/>
      <x v="2"/>
    </i>
    <i>
      <x v="3"/>
      <x v="60"/>
      <x v="1"/>
      <x v="205"/>
      <x v="4"/>
    </i>
    <i>
      <x v="1009"/>
      <x v="28"/>
      <x v="1"/>
      <x v="143"/>
      <x v="4"/>
    </i>
    <i>
      <x v="151"/>
      <x v="38"/>
      <x v="1"/>
      <x v="317"/>
      <x v="2"/>
    </i>
    <i>
      <x v="233"/>
      <x v="57"/>
      <x v="1"/>
      <x v="180"/>
      <x v="2"/>
    </i>
    <i>
      <x v="1132"/>
      <x v="38"/>
      <x v="1"/>
      <x v="180"/>
      <x v="2"/>
    </i>
    <i>
      <x v="389"/>
      <x v="19"/>
      <x v="1"/>
      <x v="127"/>
      <x v="4"/>
    </i>
    <i>
      <x v="205"/>
      <x v="45"/>
      <x v="1"/>
      <x v="330"/>
      <x v="2"/>
    </i>
    <i>
      <x v="469"/>
      <x v="40"/>
      <x v="1"/>
      <x v="180"/>
      <x v="2"/>
    </i>
    <i>
      <x v="714"/>
      <x v="26"/>
      <x v="1"/>
      <x v="303"/>
      <x v="2"/>
    </i>
    <i>
      <x v="1122"/>
      <x v="13"/>
      <x v="1"/>
      <x v="139"/>
      <x v="3"/>
    </i>
    <i>
      <x v="65"/>
      <x v="29"/>
      <x v="1"/>
      <x v="194"/>
      <x v="4"/>
    </i>
    <i>
      <x v="933"/>
      <x v="31"/>
      <x v="1"/>
      <x v="209"/>
      <x v="3"/>
    </i>
    <i>
      <x v="8"/>
      <x v="63"/>
      <x/>
      <x v="140"/>
      <x v="3"/>
    </i>
    <i>
      <x v="776"/>
      <x v="62"/>
      <x v="1"/>
      <x v="88"/>
      <x v="2"/>
    </i>
    <i>
      <x v="633"/>
      <x v="36"/>
      <x v="1"/>
      <x v="110"/>
      <x v="3"/>
    </i>
    <i>
      <x v="1179"/>
      <x v="56"/>
      <x v="1"/>
      <x v="180"/>
      <x v="2"/>
    </i>
    <i>
      <x v="410"/>
      <x v="30"/>
      <x v="1"/>
      <x v="321"/>
      <x v="4"/>
    </i>
    <i>
      <x v="833"/>
      <x v="18"/>
      <x v="1"/>
      <x v="194"/>
      <x v="4"/>
    </i>
    <i>
      <x v="770"/>
      <x v="42"/>
      <x v="1"/>
      <x v="169"/>
      <x v="4"/>
    </i>
    <i>
      <x v="1019"/>
      <x v="30"/>
      <x v="1"/>
      <x v="250"/>
      <x v="3"/>
    </i>
    <i>
      <x v="356"/>
      <x v="62"/>
      <x v="1"/>
      <x v="166"/>
      <x v="2"/>
    </i>
    <i>
      <x v="1218"/>
      <x v="20"/>
      <x/>
      <x v="222"/>
      <x v="4"/>
    </i>
    <i>
      <x v="793"/>
      <x v="13"/>
      <x v="1"/>
      <x v="159"/>
      <x v="4"/>
    </i>
    <i>
      <x v="468"/>
      <x v="23"/>
      <x v="1"/>
      <x v="303"/>
      <x v="2"/>
    </i>
    <i>
      <x v="1188"/>
      <x v="60"/>
      <x v="1"/>
      <x v="290"/>
      <x v="2"/>
    </i>
    <i>
      <x v="1110"/>
      <x v="56"/>
      <x v="1"/>
      <x v="242"/>
      <x v="3"/>
    </i>
    <i>
      <x v="775"/>
      <x v="25"/>
      <x v="1"/>
      <x v="203"/>
      <x v="4"/>
    </i>
    <i>
      <x v="423"/>
      <x v="36"/>
      <x v="1"/>
      <x v="180"/>
      <x v="2"/>
    </i>
    <i>
      <x v="1175"/>
      <x v="34"/>
      <x v="1"/>
      <x v="143"/>
      <x v="4"/>
    </i>
    <i>
      <x v="474"/>
      <x v="23"/>
      <x v="1"/>
      <x v="180"/>
      <x v="2"/>
    </i>
    <i>
      <x v="1124"/>
      <x v="8"/>
      <x v="1"/>
      <x v="330"/>
      <x v="2"/>
    </i>
    <i>
      <x v="582"/>
      <x v="38"/>
      <x v="1"/>
      <x v="203"/>
      <x v="4"/>
    </i>
    <i>
      <x v="176"/>
      <x v="39"/>
      <x v="1"/>
      <x v="156"/>
      <x v="3"/>
    </i>
    <i>
      <x v="4"/>
      <x v="61"/>
      <x v="1"/>
      <x v="250"/>
      <x v="3"/>
    </i>
    <i>
      <x v="485"/>
      <x v="36"/>
      <x v="1"/>
      <x v="320"/>
      <x v="3"/>
    </i>
    <i>
      <x v="836"/>
      <x v="16"/>
      <x v="1"/>
      <x v="144"/>
      <x v="3"/>
    </i>
    <i>
      <x v="835"/>
      <x v="33"/>
      <x v="1"/>
      <x v="203"/>
      <x v="4"/>
    </i>
    <i>
      <x v="375"/>
      <x v="22"/>
      <x v="1"/>
      <x v="249"/>
      <x v="2"/>
    </i>
    <i>
      <x v="471"/>
      <x v="16"/>
      <x v="1"/>
      <x v="330"/>
      <x v="2"/>
    </i>
    <i>
      <x v="977"/>
      <x v="26"/>
      <x v="1"/>
      <x v="127"/>
      <x v="4"/>
    </i>
    <i>
      <x v="932"/>
      <x v="23"/>
      <x v="1"/>
      <x v="158"/>
      <x v="3"/>
    </i>
    <i>
      <x v="145"/>
      <x v="50"/>
      <x v="1"/>
      <x v="173"/>
      <x v="4"/>
    </i>
    <i>
      <x v="1135"/>
      <x v="29"/>
      <x v="1"/>
      <x v="250"/>
      <x v="3"/>
    </i>
    <i>
      <x v="1191"/>
      <x v="49"/>
      <x v="1"/>
      <x v="166"/>
      <x v="2"/>
    </i>
    <i>
      <x v="416"/>
      <x v="44"/>
      <x v="1"/>
      <x v="320"/>
      <x v="3"/>
    </i>
    <i>
      <x v="803"/>
      <x v="30"/>
      <x v="1"/>
      <x v="218"/>
      <x v="3"/>
    </i>
    <i>
      <x v="1060"/>
      <x v="22"/>
      <x v="1"/>
      <x v="131"/>
      <x v="2"/>
    </i>
    <i>
      <x v="482"/>
      <x v="41"/>
      <x v="1"/>
      <x v="127"/>
      <x v="4"/>
    </i>
    <i>
      <x v="940"/>
      <x v="25"/>
      <x v="1"/>
      <x v="158"/>
      <x v="3"/>
    </i>
    <i>
      <x v="895"/>
      <x v="37"/>
      <x v="1"/>
      <x v="321"/>
      <x v="4"/>
    </i>
    <i>
      <x v="337"/>
      <x v="6"/>
      <x v="1"/>
      <x v="139"/>
      <x v="3"/>
    </i>
    <i>
      <x v="1005"/>
      <x v="41"/>
      <x v="1"/>
      <x v="179"/>
      <x v="2"/>
    </i>
    <i>
      <x v="685"/>
      <x v="32"/>
      <x v="1"/>
      <x v="165"/>
      <x v="2"/>
    </i>
    <i>
      <x v="1165"/>
      <x v="19"/>
      <x v="1"/>
      <x v="131"/>
      <x v="2"/>
    </i>
    <i>
      <x v="1088"/>
      <x v="53"/>
      <x/>
      <x v="156"/>
      <x v="3"/>
    </i>
    <i>
      <x v="1181"/>
      <x v="19"/>
      <x v="1"/>
      <x v="250"/>
      <x v="3"/>
    </i>
    <i>
      <x v="619"/>
      <x v="52"/>
      <x v="1"/>
      <x v="179"/>
      <x v="2"/>
    </i>
    <i>
      <x v="509"/>
      <x v="49"/>
      <x v="1"/>
      <x v="179"/>
      <x v="2"/>
    </i>
    <i>
      <x v="769"/>
      <x v="39"/>
      <x v="1"/>
      <x v="93"/>
      <x v="3"/>
    </i>
    <i>
      <x v="20"/>
      <x v="23"/>
      <x v="1"/>
      <x v="158"/>
      <x v="3"/>
    </i>
    <i>
      <x v="618"/>
      <x v="16"/>
      <x v="1"/>
      <x v="179"/>
      <x v="2"/>
    </i>
    <i>
      <x v="649"/>
      <x v="12"/>
      <x v="1"/>
      <x v="127"/>
      <x v="4"/>
    </i>
    <i>
      <x v="764"/>
      <x v="29"/>
      <x v="1"/>
      <x v="93"/>
      <x v="3"/>
    </i>
    <i>
      <x v="665"/>
      <x v="60"/>
      <x v="1"/>
      <x v="164"/>
      <x v="2"/>
    </i>
    <i>
      <x v="777"/>
      <x v="50"/>
      <x v="1"/>
      <x v="142"/>
      <x v="2"/>
    </i>
    <i>
      <x v="155"/>
      <x v="28"/>
      <x v="1"/>
      <x v="179"/>
      <x v="2"/>
    </i>
    <i>
      <x v="812"/>
      <x v="12"/>
      <x v="1"/>
      <x v="333"/>
      <x v="3"/>
    </i>
    <i>
      <x v="1160"/>
      <x v="30"/>
      <x v="1"/>
      <x v="93"/>
      <x v="3"/>
    </i>
    <i>
      <x v="415"/>
      <x v="34"/>
      <x v="1"/>
      <x v="288"/>
      <x v="2"/>
    </i>
    <i>
      <x v="806"/>
      <x v="40"/>
      <x v="1"/>
      <x v="249"/>
      <x v="2"/>
    </i>
    <i>
      <x v="1163"/>
      <x v="19"/>
      <x v="1"/>
      <x v="165"/>
      <x v="2"/>
    </i>
    <i>
      <x v="200"/>
      <x v="17"/>
      <x v="1"/>
      <x v="143"/>
      <x v="4"/>
    </i>
    <i>
      <x v="490"/>
      <x v="26"/>
      <x v="1"/>
      <x v="168"/>
      <x v="4"/>
    </i>
    <i>
      <x v="1012"/>
      <x v="31"/>
      <x v="1"/>
      <x v="303"/>
      <x v="2"/>
    </i>
    <i>
      <x v="797"/>
      <x v="20"/>
      <x v="1"/>
      <x v="144"/>
      <x v="3"/>
    </i>
    <i>
      <x v="707"/>
      <x v="44"/>
      <x v="1"/>
      <x v="205"/>
      <x v="4"/>
    </i>
    <i>
      <x v="733"/>
      <x v="58"/>
      <x v="1"/>
      <x v="203"/>
      <x v="4"/>
    </i>
    <i>
      <x v="56"/>
      <x v="61"/>
      <x/>
      <x v="179"/>
      <x v="2"/>
    </i>
    <i>
      <x v="563"/>
      <x v="50"/>
      <x/>
      <x v="144"/>
      <x v="3"/>
    </i>
    <i>
      <x v="348"/>
      <x v="58"/>
      <x v="1"/>
      <x v="312"/>
      <x v="3"/>
    </i>
    <i>
      <x v="63"/>
      <x v="21"/>
      <x v="1"/>
      <x v="88"/>
      <x v="2"/>
    </i>
    <i>
      <x v="166"/>
      <x v="62"/>
      <x v="1"/>
      <x v="330"/>
      <x v="2"/>
    </i>
    <i>
      <x v="693"/>
      <x v="32"/>
      <x v="1"/>
      <x v="312"/>
      <x v="3"/>
    </i>
    <i>
      <x v="409"/>
      <x v="60"/>
      <x v="1"/>
      <x v="143"/>
      <x v="4"/>
    </i>
    <i>
      <x v="1127"/>
      <x v="29"/>
      <x v="1"/>
      <x v="209"/>
      <x v="3"/>
    </i>
    <i>
      <x v="385"/>
      <x v="29"/>
      <x v="1"/>
      <x v="249"/>
      <x v="2"/>
    </i>
    <i>
      <x v="392"/>
      <x v="47"/>
      <x v="1"/>
      <x v="179"/>
      <x v="2"/>
    </i>
    <i>
      <x v="1137"/>
      <x v="45"/>
      <x v="1"/>
      <x v="169"/>
      <x v="4"/>
    </i>
    <i>
      <x v="943"/>
      <x v="22"/>
      <x v="1"/>
      <x v="156"/>
      <x v="3"/>
    </i>
    <i>
      <x v="357"/>
      <x v="43"/>
      <x v="1"/>
      <x v="131"/>
      <x v="2"/>
    </i>
    <i>
      <x v="632"/>
      <x v="42"/>
      <x v="1"/>
      <x v="165"/>
      <x v="2"/>
    </i>
    <i>
      <x v="1131"/>
      <x v="21"/>
      <x v="1"/>
      <x v="158"/>
      <x v="3"/>
    </i>
    <i>
      <x v="599"/>
      <x v="29"/>
      <x v="1"/>
      <x v="173"/>
      <x v="4"/>
    </i>
    <i>
      <x v="223"/>
      <x v="50"/>
      <x/>
      <x v="250"/>
      <x v="3"/>
    </i>
    <i>
      <x v="915"/>
      <x v="27"/>
      <x v="1"/>
      <x v="317"/>
      <x v="2"/>
    </i>
    <i>
      <x v="394"/>
      <x v="29"/>
      <x v="1"/>
      <x v="143"/>
      <x v="4"/>
    </i>
    <i>
      <x v="154"/>
      <x v="40"/>
      <x v="1"/>
      <x v="142"/>
      <x v="2"/>
    </i>
    <i>
      <x v="355"/>
      <x v="47"/>
      <x v="1"/>
      <x v="222"/>
      <x v="4"/>
    </i>
    <i>
      <x v="1139"/>
      <x v="44"/>
      <x v="1"/>
      <x v="179"/>
      <x v="2"/>
    </i>
    <i>
      <x v="1190"/>
      <x v="31"/>
      <x v="1"/>
      <x v="101"/>
      <x v="3"/>
    </i>
    <i>
      <x v="875"/>
      <x v="25"/>
      <x v="1"/>
      <x v="173"/>
      <x v="4"/>
    </i>
    <i>
      <x v="966"/>
      <x v="28"/>
      <x v="1"/>
      <x v="165"/>
      <x v="2"/>
    </i>
    <i>
      <x v="912"/>
      <x v="31"/>
      <x v="1"/>
      <x v="312"/>
      <x v="3"/>
    </i>
    <i>
      <x v="1226"/>
      <x v="63"/>
      <x v="1"/>
      <x v="179"/>
      <x v="2"/>
    </i>
    <i>
      <x v="506"/>
      <x v="50"/>
      <x v="1"/>
      <x v="173"/>
      <x v="4"/>
    </i>
    <i>
      <x v="433"/>
      <x v="29"/>
      <x v="1"/>
      <x v="180"/>
      <x v="2"/>
    </i>
    <i>
      <x v="846"/>
      <x v="59"/>
      <x v="1"/>
      <x v="329"/>
      <x v="4"/>
    </i>
    <i>
      <x v="201"/>
      <x v="29"/>
      <x v="1"/>
      <x v="318"/>
      <x v="3"/>
    </i>
    <i>
      <x v="512"/>
      <x v="4"/>
      <x v="1"/>
      <x v="144"/>
      <x v="3"/>
    </i>
    <i>
      <x v="442"/>
      <x v="28"/>
      <x v="1"/>
      <x v="93"/>
      <x v="3"/>
    </i>
    <i>
      <x v="169"/>
      <x v="47"/>
      <x v="1"/>
      <x v="222"/>
      <x v="4"/>
    </i>
    <i>
      <x v="715"/>
      <x v="45"/>
      <x v="1"/>
      <x v="166"/>
      <x v="2"/>
    </i>
    <i>
      <x v="1173"/>
      <x v="60"/>
      <x/>
      <x v="180"/>
      <x v="2"/>
    </i>
    <i>
      <x v="444"/>
      <x v="25"/>
      <x v="1"/>
      <x v="179"/>
      <x v="2"/>
    </i>
    <i>
      <x v="847"/>
      <x v="41"/>
      <x v="1"/>
      <x v="333"/>
      <x v="3"/>
    </i>
    <i>
      <x v="224"/>
      <x v="60"/>
      <x v="1"/>
      <x v="329"/>
      <x v="4"/>
    </i>
    <i>
      <x v="774"/>
      <x v="23"/>
      <x v="1"/>
      <x v="203"/>
      <x v="4"/>
    </i>
    <i>
      <x v="798"/>
      <x v="23"/>
      <x v="1"/>
      <x v="158"/>
      <x v="3"/>
    </i>
    <i>
      <x v="1177"/>
      <x v="60"/>
      <x v="1"/>
      <x v="205"/>
      <x v="4"/>
    </i>
    <i>
      <x v="440"/>
      <x v="52"/>
      <x v="1"/>
      <x v="142"/>
      <x v="2"/>
    </i>
    <i>
      <x v="672"/>
      <x v="55"/>
      <x/>
      <x v="288"/>
      <x v="2"/>
    </i>
    <i>
      <x v="635"/>
      <x v="51"/>
      <x v="1"/>
      <x v="127"/>
      <x v="4"/>
    </i>
    <i>
      <x v="708"/>
      <x v="21"/>
      <x v="1"/>
      <x v="158"/>
      <x v="3"/>
    </i>
    <i>
      <x v="763"/>
      <x v="31"/>
      <x v="1"/>
      <x v="101"/>
      <x v="3"/>
    </i>
    <i>
      <x v="863"/>
      <x v="9"/>
      <x v="1"/>
      <x v="110"/>
      <x v="3"/>
    </i>
    <i>
      <x v="467"/>
      <x v="35"/>
      <x v="1"/>
      <x v="204"/>
      <x v="2"/>
    </i>
    <i>
      <x v="159"/>
      <x v="52"/>
      <x v="1"/>
      <x v="143"/>
      <x v="4"/>
    </i>
    <i>
      <x v="935"/>
      <x v="37"/>
      <x v="1"/>
      <x v="179"/>
      <x v="2"/>
    </i>
    <i>
      <x v="771"/>
      <x v="23"/>
      <x v="1"/>
      <x v="209"/>
      <x v="3"/>
    </i>
    <i>
      <x v="117"/>
      <x v="23"/>
      <x v="1"/>
      <x v="330"/>
      <x v="2"/>
    </i>
    <i>
      <x v="762"/>
      <x v="33"/>
      <x v="1"/>
      <x v="302"/>
      <x v="2"/>
    </i>
    <i>
      <x v="478"/>
      <x v="7"/>
      <x v="1"/>
      <x v="250"/>
      <x v="3"/>
    </i>
    <i>
      <x v="439"/>
      <x v="22"/>
      <x v="1"/>
      <x v="303"/>
      <x v="2"/>
    </i>
    <i>
      <x v="705"/>
      <x v="32"/>
      <x v="1"/>
      <x v="204"/>
      <x v="2"/>
    </i>
    <i>
      <x v="695"/>
      <x v="28"/>
      <x v="1"/>
      <x v="248"/>
      <x v="3"/>
    </i>
    <i>
      <x v="942"/>
      <x v="31"/>
      <x v="1"/>
      <x v="203"/>
      <x v="4"/>
    </i>
    <i>
      <x v="768"/>
      <x v="39"/>
      <x v="1"/>
      <x v="321"/>
      <x v="4"/>
    </i>
    <i>
      <x v="254"/>
      <x v="29"/>
      <x v="1"/>
      <x v="150"/>
      <x v="3"/>
    </i>
    <i>
      <x v="794"/>
      <x v="36"/>
      <x v="1"/>
      <x v="180"/>
      <x v="2"/>
    </i>
    <i>
      <x v="144"/>
      <x v="30"/>
      <x v="1"/>
      <x v="143"/>
      <x v="4"/>
    </i>
    <i>
      <x v="834"/>
      <x v="30"/>
      <x v="1"/>
      <x v="203"/>
      <x v="4"/>
    </i>
    <i>
      <x v="872"/>
      <x v="43"/>
      <x v="1"/>
      <x v="204"/>
      <x v="2"/>
    </i>
    <i>
      <x v="876"/>
      <x v="29"/>
      <x v="1"/>
      <x v="127"/>
      <x v="4"/>
    </i>
    <i>
      <x v="807"/>
      <x v="25"/>
      <x v="1"/>
      <x v="166"/>
      <x v="2"/>
    </i>
    <i>
      <x v="381"/>
      <x v="42"/>
      <x v="1"/>
      <x v="159"/>
      <x v="4"/>
    </i>
    <i>
      <x v="944"/>
      <x v="34"/>
      <x v="1"/>
      <x v="298"/>
      <x v="2"/>
    </i>
    <i>
      <x v="616"/>
      <x v="13"/>
      <x v="1"/>
      <x v="234"/>
      <x v="2"/>
    </i>
    <i>
      <x v="879"/>
      <x v="36"/>
      <x v="1"/>
      <x v="143"/>
      <x v="4"/>
    </i>
    <i>
      <x v="157"/>
      <x v="61"/>
      <x v="1"/>
      <x v="159"/>
      <x v="4"/>
    </i>
    <i>
      <x v="1089"/>
      <x v="50"/>
      <x/>
      <x v="150"/>
      <x v="3"/>
    </i>
    <i>
      <x v="945"/>
      <x v="48"/>
      <x/>
      <x v="203"/>
      <x v="4"/>
    </i>
    <i>
      <x v="526"/>
      <x v="30"/>
      <x v="1"/>
      <x v="297"/>
      <x v="4"/>
    </i>
    <i>
      <x v="401"/>
      <x v="38"/>
      <x v="1"/>
      <x v="167"/>
      <x v="4"/>
    </i>
    <i>
      <x v="642"/>
      <x v="44"/>
      <x v="1"/>
      <x v="321"/>
      <x v="4"/>
    </i>
    <i>
      <x v="438"/>
      <x v="37"/>
      <x v="1"/>
      <x v="179"/>
      <x v="2"/>
    </i>
    <i>
      <x v="481"/>
      <x v="34"/>
      <x v="1"/>
      <x v="330"/>
      <x v="2"/>
    </i>
    <i>
      <x v="1187"/>
      <x v="22"/>
      <x v="1"/>
      <x v="180"/>
      <x v="2"/>
    </i>
    <i>
      <x v="696"/>
      <x v="24"/>
      <x v="1"/>
      <x v="254"/>
      <x v="3"/>
    </i>
    <i>
      <x v="21"/>
      <x v="37"/>
      <x v="1"/>
      <x v="203"/>
      <x v="4"/>
    </i>
    <i>
      <x v="578"/>
      <x v="49"/>
      <x v="1"/>
      <x v="206"/>
      <x v="3"/>
    </i>
    <i>
      <x v="805"/>
      <x v="27"/>
      <x v="1"/>
      <x v="290"/>
      <x v="2"/>
    </i>
    <i>
      <x v="701"/>
      <x v="48"/>
      <x v="1"/>
      <x v="169"/>
      <x v="4"/>
    </i>
    <i>
      <x v="1233"/>
      <x v="57"/>
      <x/>
      <x v="143"/>
      <x v="4"/>
    </i>
    <i>
      <x v="919"/>
      <x v="36"/>
      <x v="1"/>
      <x v="156"/>
      <x v="3"/>
    </i>
    <i>
      <x v="466"/>
      <x v="39"/>
      <x v="1"/>
      <x v="204"/>
      <x v="2"/>
    </i>
    <i>
      <x v="974"/>
      <x v="29"/>
      <x v="1"/>
      <x v="329"/>
      <x v="4"/>
    </i>
    <i>
      <x v="14"/>
      <x v="24"/>
      <x v="1"/>
      <x v="143"/>
      <x v="4"/>
    </i>
    <i>
      <x v="531"/>
      <x v="2"/>
      <x v="1"/>
      <x v="183"/>
      <x v="4"/>
    </i>
    <i>
      <x v="372"/>
      <x v="27"/>
      <x v="1"/>
      <x v="249"/>
      <x v="2"/>
    </i>
    <i>
      <x v="489"/>
      <x v="16"/>
      <x v="1"/>
      <x v="110"/>
      <x v="3"/>
    </i>
    <i>
      <x v="1185"/>
      <x v="3"/>
      <x v="1"/>
      <x v="143"/>
      <x v="4"/>
    </i>
    <i>
      <x v="809"/>
      <x v="30"/>
      <x v="1"/>
      <x v="330"/>
      <x v="2"/>
    </i>
    <i>
      <x v="373"/>
      <x v="32"/>
      <x v="1"/>
      <x v="290"/>
      <x v="2"/>
    </i>
    <i>
      <x v="534"/>
      <x v="24"/>
      <x v="1"/>
      <x v="203"/>
      <x v="4"/>
    </i>
    <i>
      <x v="252"/>
      <x v="18"/>
      <x v="1"/>
      <x v="303"/>
      <x v="2"/>
    </i>
    <i>
      <x v="911"/>
      <x v="31"/>
      <x v="1"/>
      <x v="303"/>
      <x v="2"/>
    </i>
    <i>
      <x v="374"/>
      <x v="60"/>
      <x v="1"/>
      <x v="142"/>
      <x v="2"/>
    </i>
    <i>
      <x v="396"/>
      <x v="39"/>
      <x v="1"/>
      <x v="127"/>
      <x v="4"/>
    </i>
    <i>
      <x v="968"/>
      <x v="36"/>
      <x v="1"/>
      <x v="246"/>
      <x v="4"/>
    </i>
    <i>
      <x v="1219"/>
      <x v="18"/>
      <x v="1"/>
      <x v="250"/>
      <x v="3"/>
    </i>
    <i>
      <x v="662"/>
      <x v="31"/>
      <x v="1"/>
      <x v="181"/>
      <x v="3"/>
    </i>
    <i>
      <x v="1138"/>
      <x v="31"/>
      <x v="1"/>
      <x v="142"/>
      <x v="2"/>
    </i>
    <i>
      <x v="1008"/>
      <x v="31"/>
      <x v="1"/>
      <x v="249"/>
      <x v="2"/>
    </i>
    <i>
      <x v="1061"/>
      <x v="32"/>
      <x v="1"/>
      <x v="101"/>
      <x v="3"/>
    </i>
    <i>
      <x v="800"/>
      <x v="31"/>
      <x v="1"/>
      <x v="312"/>
      <x v="3"/>
    </i>
    <i>
      <x v="249"/>
      <x v="17"/>
      <x v="1"/>
      <x v="299"/>
      <x v="2"/>
    </i>
    <i>
      <x v="871"/>
      <x v="40"/>
      <x v="1"/>
      <x v="317"/>
      <x v="2"/>
    </i>
    <i>
      <x v="620"/>
      <x v="11"/>
      <x v="1"/>
      <x v="179"/>
      <x v="2"/>
    </i>
    <i>
      <x v="866"/>
      <x v="28"/>
      <x v="1"/>
      <x v="168"/>
      <x v="4"/>
    </i>
    <i>
      <x v="536"/>
      <x v="11"/>
      <x v="1"/>
      <x v="273"/>
      <x v="2"/>
    </i>
    <i>
      <x v="483"/>
      <x v="25"/>
      <x v="1"/>
      <x v="273"/>
      <x v="2"/>
    </i>
    <i>
      <x v="23"/>
      <x v="30"/>
      <x v="1"/>
      <x v="141"/>
      <x v="3"/>
    </i>
    <i>
      <x v="22"/>
      <x v="30"/>
      <x v="1"/>
      <x v="290"/>
      <x v="2"/>
    </i>
    <i>
      <x v="843"/>
      <x/>
      <x v="1"/>
      <x/>
      <x v="1"/>
    </i>
    <i>
      <x v="377"/>
      <x v="46"/>
      <x v="1"/>
      <x v="140"/>
      <x v="3"/>
    </i>
    <i>
      <x v="627"/>
      <x v="20"/>
      <x v="1"/>
      <x v="297"/>
      <x v="4"/>
    </i>
    <i>
      <x v="488"/>
      <x v="7"/>
      <x v="1"/>
      <x v="110"/>
      <x v="3"/>
    </i>
    <i>
      <x v="114"/>
      <x v="7"/>
      <x v="1"/>
      <x v="247"/>
      <x v="2"/>
    </i>
  </rowItems>
  <colFields count="1">
    <field x="-2"/>
  </colFields>
  <colItems count="2">
    <i>
      <x/>
    </i>
    <i i="1">
      <x v="1"/>
    </i>
  </colItems>
  <pageFields count="1">
    <pageField fld="13" item="0" hier="-1"/>
  </pageFields>
  <dataFields count="2">
    <dataField name="Součet z Bi×Kinp" fld="12" baseField="0" baseItem="0"/>
    <dataField name="Počet G" fld="13" subtotal="count" baseField="17" baseItem="1"/>
  </dataFields>
  <formats count="3">
    <format dxfId="0">
      <pivotArea type="all" dataOnly="0" outline="0" fieldPosition="0"/>
    </format>
    <format dxfId="1">
      <pivotArea field="13" type="button" dataOnly="0" labelOnly="1" outline="0" axis="axisPage" fieldPosition="0"/>
    </format>
    <format dxfId="2">
      <pivotArea type="origin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A01F2-9EAD-462B-8A5D-BFB974A52647}">
  <sheetPr codeName="List8">
    <pageSetUpPr fitToPage="1"/>
  </sheetPr>
  <dimension ref="A1:P2036"/>
  <sheetViews>
    <sheetView tabSelected="1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B7" sqref="B7"/>
    </sheetView>
  </sheetViews>
  <sheetFormatPr defaultColWidth="9" defaultRowHeight="12.75" x14ac:dyDescent="0.2"/>
  <cols>
    <col min="1" max="1" width="7" style="21" bestFit="1" customWidth="1"/>
    <col min="2" max="2" width="18.7109375" style="11" bestFit="1" customWidth="1"/>
    <col min="3" max="3" width="14.140625" style="11" bestFit="1" customWidth="1"/>
    <col min="4" max="4" width="6.5703125" style="11" bestFit="1" customWidth="1"/>
    <col min="5" max="5" width="22.140625" style="11" bestFit="1" customWidth="1"/>
    <col min="6" max="6" width="9" style="11" bestFit="1" customWidth="1"/>
    <col min="7" max="7" width="18" style="11" bestFit="1" customWidth="1"/>
    <col min="8" max="8" width="10.140625" style="11" bestFit="1" customWidth="1"/>
    <col min="9" max="9" width="8" style="21" customWidth="1"/>
    <col min="10" max="11" width="16" style="8" bestFit="1" customWidth="1"/>
    <col min="12" max="12" width="18.140625" style="23" customWidth="1"/>
    <col min="13" max="13" width="15.42578125" style="11" bestFit="1" customWidth="1"/>
    <col min="14" max="14" width="18" style="11" bestFit="1" customWidth="1"/>
    <col min="15" max="15" width="18.28515625" style="11" bestFit="1" customWidth="1"/>
    <col min="16" max="16" width="9.140625" customWidth="1"/>
    <col min="17" max="17" width="4" style="11" customWidth="1"/>
    <col min="18" max="18" width="12" style="11" customWidth="1"/>
    <col min="19" max="19" width="5" style="11" customWidth="1"/>
    <col min="20" max="20" width="13.140625" style="11" customWidth="1"/>
    <col min="21" max="21" width="5" style="11" customWidth="1"/>
    <col min="22" max="22" width="13.140625" style="11" customWidth="1"/>
    <col min="23" max="23" width="5" style="11" customWidth="1"/>
    <col min="24" max="24" width="13.140625" style="11" customWidth="1"/>
    <col min="25" max="25" width="5" style="11" customWidth="1"/>
    <col min="26" max="26" width="13.140625" style="11" customWidth="1"/>
    <col min="27" max="27" width="9" style="11" customWidth="1"/>
    <col min="28" max="28" width="13.140625" style="11" customWidth="1"/>
    <col min="29" max="29" width="5" style="11" customWidth="1"/>
    <col min="30" max="30" width="13.140625" style="11" customWidth="1"/>
    <col min="31" max="31" width="5" style="11" customWidth="1"/>
    <col min="32" max="32" width="13.140625" style="11" customWidth="1"/>
    <col min="33" max="33" width="5" style="11" customWidth="1"/>
    <col min="34" max="34" width="13.140625" style="11" customWidth="1"/>
    <col min="35" max="35" width="5" style="11" customWidth="1"/>
    <col min="36" max="36" width="13.140625" style="11" customWidth="1"/>
    <col min="37" max="37" width="5" style="11" customWidth="1"/>
    <col min="38" max="38" width="13.140625" style="11" customWidth="1"/>
    <col min="39" max="39" width="5" style="11" customWidth="1"/>
    <col min="40" max="40" width="13.140625" style="11" customWidth="1"/>
    <col min="41" max="41" width="5" style="11" customWidth="1"/>
    <col min="42" max="42" width="13.140625" style="11" customWidth="1"/>
    <col min="43" max="43" width="5" style="11" customWidth="1"/>
    <col min="44" max="44" width="13.140625" style="11" customWidth="1"/>
    <col min="45" max="45" width="5" style="11" customWidth="1"/>
    <col min="46" max="46" width="13.140625" style="11" customWidth="1"/>
    <col min="47" max="47" width="5" style="11" customWidth="1"/>
    <col min="48" max="48" width="13.140625" style="11" customWidth="1"/>
    <col min="49" max="49" width="5" style="11" customWidth="1"/>
    <col min="50" max="50" width="13.140625" style="11" customWidth="1"/>
    <col min="51" max="51" width="5" style="11" customWidth="1"/>
    <col min="52" max="52" width="13.140625" style="11" customWidth="1"/>
    <col min="53" max="53" width="5" style="11" customWidth="1"/>
    <col min="54" max="54" width="13.140625" style="11" customWidth="1"/>
    <col min="55" max="55" width="5" style="11" customWidth="1"/>
    <col min="56" max="56" width="13.140625" style="11" customWidth="1"/>
    <col min="57" max="57" width="5" style="11" customWidth="1"/>
    <col min="58" max="58" width="13.140625" style="11" customWidth="1"/>
    <col min="59" max="59" width="9" style="11" customWidth="1"/>
    <col min="60" max="60" width="13.140625" style="11" customWidth="1"/>
    <col min="61" max="61" width="5" style="11" customWidth="1"/>
    <col min="62" max="62" width="13.140625" style="11" customWidth="1"/>
    <col min="63" max="63" width="5" style="11" customWidth="1"/>
    <col min="64" max="64" width="13.140625" style="11" customWidth="1"/>
    <col min="65" max="65" width="5" style="11" customWidth="1"/>
    <col min="66" max="66" width="13.140625" style="11" customWidth="1"/>
    <col min="67" max="67" width="5" style="11" customWidth="1"/>
    <col min="68" max="68" width="13.140625" style="11" customWidth="1"/>
    <col min="69" max="69" width="5" style="11" customWidth="1"/>
    <col min="70" max="70" width="13.140625" style="11" customWidth="1"/>
    <col min="71" max="71" width="5" style="11" customWidth="1"/>
    <col min="72" max="72" width="13.140625" style="11" customWidth="1"/>
    <col min="73" max="73" width="5" style="11" customWidth="1"/>
    <col min="74" max="74" width="13.140625" style="11" customWidth="1"/>
    <col min="75" max="75" width="9" style="11" customWidth="1"/>
    <col min="76" max="76" width="13.140625" style="11" customWidth="1"/>
    <col min="77" max="77" width="5" style="11" customWidth="1"/>
    <col min="78" max="78" width="13.140625" style="11" customWidth="1"/>
    <col min="79" max="79" width="5" style="11" customWidth="1"/>
    <col min="80" max="80" width="13.140625" style="11" customWidth="1"/>
    <col min="81" max="81" width="5" style="11" customWidth="1"/>
    <col min="82" max="82" width="13.140625" style="11" customWidth="1"/>
    <col min="83" max="83" width="5" style="11" customWidth="1"/>
    <col min="84" max="84" width="13.140625" style="11" customWidth="1"/>
    <col min="85" max="85" width="5" style="11" customWidth="1"/>
    <col min="86" max="86" width="13.140625" style="11" customWidth="1"/>
    <col min="87" max="87" width="5" style="11" customWidth="1"/>
    <col min="88" max="88" width="13.140625" style="11" customWidth="1"/>
    <col min="89" max="89" width="5" style="11" customWidth="1"/>
    <col min="90" max="90" width="13.140625" style="11" customWidth="1"/>
    <col min="91" max="91" width="5" style="11" customWidth="1"/>
    <col min="92" max="92" width="13.140625" style="11" customWidth="1"/>
    <col min="93" max="93" width="5" style="11" customWidth="1"/>
    <col min="94" max="94" width="13.140625" style="11" customWidth="1"/>
    <col min="95" max="95" width="5" style="11" customWidth="1"/>
    <col min="96" max="96" width="13.140625" style="11" customWidth="1"/>
    <col min="97" max="97" width="5" style="11" customWidth="1"/>
    <col min="98" max="98" width="13.140625" style="11" customWidth="1"/>
    <col min="99" max="99" width="9" style="11" customWidth="1"/>
    <col min="100" max="100" width="13.140625" style="11" customWidth="1"/>
    <col min="101" max="101" width="5" style="11" customWidth="1"/>
    <col min="102" max="102" width="13.140625" style="11" customWidth="1"/>
    <col min="103" max="103" width="5" style="11" customWidth="1"/>
    <col min="104" max="104" width="13.140625" style="11" customWidth="1"/>
    <col min="105" max="105" width="5" style="11" customWidth="1"/>
    <col min="106" max="106" width="13.140625" style="11" customWidth="1"/>
    <col min="107" max="107" width="5" style="11" customWidth="1"/>
    <col min="108" max="108" width="13.140625" style="11" customWidth="1"/>
    <col min="109" max="109" width="5" style="11" customWidth="1"/>
    <col min="110" max="110" width="13.140625" style="11" customWidth="1"/>
    <col min="111" max="111" width="5" style="11" customWidth="1"/>
    <col min="112" max="112" width="13.140625" style="11" customWidth="1"/>
    <col min="113" max="113" width="5" style="11" customWidth="1"/>
    <col min="114" max="114" width="13.140625" style="11" customWidth="1"/>
    <col min="115" max="115" width="5" style="11" customWidth="1"/>
    <col min="116" max="116" width="13.140625" style="11" customWidth="1"/>
    <col min="117" max="117" width="5" style="11" customWidth="1"/>
    <col min="118" max="118" width="13.140625" style="11" customWidth="1"/>
    <col min="119" max="119" width="5" style="11" customWidth="1"/>
    <col min="120" max="120" width="13.140625" style="11" customWidth="1"/>
    <col min="121" max="121" width="5" style="11" customWidth="1"/>
    <col min="122" max="122" width="13.140625" style="11" customWidth="1"/>
    <col min="123" max="123" width="5" style="11" customWidth="1"/>
    <col min="124" max="124" width="13.140625" style="11" customWidth="1"/>
    <col min="125" max="125" width="5" style="11" customWidth="1"/>
    <col min="126" max="126" width="13.140625" style="11" customWidth="1"/>
    <col min="127" max="127" width="9" style="11" customWidth="1"/>
    <col min="128" max="128" width="13.140625" style="11" customWidth="1"/>
    <col min="129" max="129" width="5" style="11" customWidth="1"/>
    <col min="130" max="130" width="13.140625" style="11" customWidth="1"/>
    <col min="131" max="131" width="9" style="11" customWidth="1"/>
    <col min="132" max="132" width="13.140625" style="11" customWidth="1"/>
    <col min="133" max="133" width="5" style="11" customWidth="1"/>
    <col min="134" max="134" width="13.140625" style="11" customWidth="1"/>
    <col min="135" max="135" width="5" style="11" customWidth="1"/>
    <col min="136" max="136" width="13.140625" style="11" customWidth="1"/>
    <col min="137" max="137" width="9" style="11" customWidth="1"/>
    <col min="138" max="138" width="13.140625" style="11" customWidth="1"/>
    <col min="139" max="139" width="5" style="11" customWidth="1"/>
    <col min="140" max="140" width="13.140625" style="11" customWidth="1"/>
    <col min="141" max="141" width="5" style="11" customWidth="1"/>
    <col min="142" max="142" width="13.140625" style="11" customWidth="1"/>
    <col min="143" max="143" width="9" style="11" customWidth="1"/>
    <col min="144" max="144" width="13.140625" style="11" customWidth="1"/>
    <col min="145" max="145" width="5" style="11" customWidth="1"/>
    <col min="146" max="146" width="13.140625" style="11" customWidth="1"/>
    <col min="147" max="147" width="5" style="11" customWidth="1"/>
    <col min="148" max="148" width="13.140625" style="11" customWidth="1"/>
    <col min="149" max="149" width="5" style="11" customWidth="1"/>
    <col min="150" max="150" width="13.140625" style="11" customWidth="1"/>
    <col min="151" max="151" width="5" style="11" customWidth="1"/>
    <col min="152" max="152" width="13.140625" style="11" customWidth="1"/>
    <col min="153" max="153" width="9" style="11" customWidth="1"/>
    <col min="154" max="154" width="13.140625" style="11" customWidth="1"/>
    <col min="155" max="155" width="5" style="11" customWidth="1"/>
    <col min="156" max="156" width="13.140625" style="11" customWidth="1"/>
    <col min="157" max="157" width="5" style="11" customWidth="1"/>
    <col min="158" max="158" width="13.140625" style="11" customWidth="1"/>
    <col min="159" max="159" width="5" style="11" customWidth="1"/>
    <col min="160" max="160" width="13.140625" style="11" customWidth="1"/>
    <col min="161" max="161" width="5" style="11" customWidth="1"/>
    <col min="162" max="162" width="13.140625" style="11" customWidth="1"/>
    <col min="163" max="163" width="5" style="11" customWidth="1"/>
    <col min="164" max="164" width="13.140625" style="11" customWidth="1"/>
    <col min="165" max="165" width="5" style="11" customWidth="1"/>
    <col min="166" max="166" width="13.140625" style="11" customWidth="1"/>
    <col min="167" max="167" width="9" style="11" customWidth="1"/>
    <col min="168" max="168" width="13.140625" style="11" customWidth="1"/>
    <col min="169" max="169" width="5" style="11" customWidth="1"/>
    <col min="170" max="170" width="13.140625" style="11" customWidth="1"/>
    <col min="171" max="171" width="5" style="11" customWidth="1"/>
    <col min="172" max="172" width="13.140625" style="11" customWidth="1"/>
    <col min="173" max="173" width="5" style="11" customWidth="1"/>
    <col min="174" max="174" width="13.140625" style="11" customWidth="1"/>
    <col min="175" max="175" width="5" style="11" customWidth="1"/>
    <col min="176" max="176" width="13.140625" style="11" customWidth="1"/>
    <col min="177" max="177" width="5" style="11" customWidth="1"/>
    <col min="178" max="178" width="13.140625" style="11" customWidth="1"/>
    <col min="179" max="179" width="5" style="11" customWidth="1"/>
    <col min="180" max="180" width="13.140625" style="11" customWidth="1"/>
    <col min="181" max="181" width="5" style="11" customWidth="1"/>
    <col min="182" max="182" width="13.140625" style="11" customWidth="1"/>
    <col min="183" max="183" width="5" style="11" customWidth="1"/>
    <col min="184" max="184" width="13.140625" style="11" customWidth="1"/>
    <col min="185" max="185" width="5" style="11" customWidth="1"/>
    <col min="186" max="186" width="13.140625" style="11" customWidth="1"/>
    <col min="187" max="187" width="5" style="11" customWidth="1"/>
    <col min="188" max="188" width="13.140625" style="11" customWidth="1"/>
    <col min="189" max="189" width="5" style="11" customWidth="1"/>
    <col min="190" max="190" width="13.140625" style="11" customWidth="1"/>
    <col min="191" max="191" width="5" style="11" customWidth="1"/>
    <col min="192" max="192" width="13.140625" style="11" customWidth="1"/>
    <col min="193" max="193" width="5" style="11" customWidth="1"/>
    <col min="194" max="194" width="13.140625" style="11" customWidth="1"/>
    <col min="195" max="195" width="5" style="11" customWidth="1"/>
    <col min="196" max="196" width="13.140625" style="11" customWidth="1"/>
    <col min="197" max="197" width="5" style="11" customWidth="1"/>
    <col min="198" max="198" width="13.140625" style="11" customWidth="1"/>
    <col min="199" max="199" width="9" style="11" customWidth="1"/>
    <col min="200" max="200" width="13.140625" style="11" customWidth="1"/>
    <col min="201" max="201" width="5" style="11" customWidth="1"/>
    <col min="202" max="202" width="13.140625" style="11" customWidth="1"/>
    <col min="203" max="203" width="5" style="11" customWidth="1"/>
    <col min="204" max="204" width="13.140625" style="11" customWidth="1"/>
    <col min="205" max="205" width="5" style="11" customWidth="1"/>
    <col min="206" max="206" width="13.140625" style="11" customWidth="1"/>
    <col min="207" max="207" width="5" style="11" customWidth="1"/>
    <col min="208" max="208" width="13.140625" style="11" customWidth="1"/>
    <col min="209" max="209" width="5" style="11" customWidth="1"/>
    <col min="210" max="210" width="13.140625" style="11" customWidth="1"/>
    <col min="211" max="211" width="5" style="11" customWidth="1"/>
    <col min="212" max="212" width="13.140625" style="11" customWidth="1"/>
    <col min="213" max="213" width="5" style="11" customWidth="1"/>
    <col min="214" max="214" width="13.140625" style="11" customWidth="1"/>
    <col min="215" max="215" width="5" style="11" customWidth="1"/>
    <col min="216" max="216" width="13.140625" style="11" customWidth="1"/>
    <col min="217" max="217" width="5" style="11" customWidth="1"/>
    <col min="218" max="218" width="13.140625" style="11" customWidth="1"/>
    <col min="219" max="219" width="9" style="11" customWidth="1"/>
    <col min="220" max="220" width="13.140625" style="11" customWidth="1"/>
    <col min="221" max="221" width="5" style="11" customWidth="1"/>
    <col min="222" max="222" width="13.140625" style="11" customWidth="1"/>
    <col min="223" max="223" width="5" style="11" customWidth="1"/>
    <col min="224" max="224" width="13.140625" style="11" customWidth="1"/>
    <col min="225" max="225" width="5" style="11" customWidth="1"/>
    <col min="226" max="226" width="13.140625" style="11" customWidth="1"/>
    <col min="227" max="227" width="5" style="11" customWidth="1"/>
    <col min="228" max="228" width="13.140625" style="11" customWidth="1"/>
    <col min="229" max="229" width="5" style="11" customWidth="1"/>
    <col min="230" max="230" width="13.140625" style="11" customWidth="1"/>
    <col min="231" max="231" width="5" style="11" customWidth="1"/>
    <col min="232" max="232" width="13.140625" style="11" customWidth="1"/>
    <col min="233" max="233" width="5" style="11" customWidth="1"/>
    <col min="234" max="234" width="13.140625" style="11" customWidth="1"/>
    <col min="235" max="235" width="5" style="11" customWidth="1"/>
    <col min="236" max="236" width="13.140625" style="11" customWidth="1"/>
    <col min="237" max="237" width="5" style="11" customWidth="1"/>
    <col min="238" max="238" width="13.140625" style="11" customWidth="1"/>
    <col min="239" max="239" width="5" style="11" customWidth="1"/>
    <col min="240" max="240" width="13.140625" style="11" customWidth="1"/>
    <col min="241" max="241" width="5" style="11" customWidth="1"/>
    <col min="242" max="242" width="13.140625" style="11" customWidth="1"/>
    <col min="243" max="243" width="5" style="11" customWidth="1"/>
    <col min="244" max="244" width="13.140625" style="11" customWidth="1"/>
    <col min="245" max="245" width="5" style="11" customWidth="1"/>
    <col min="246" max="246" width="13.140625" style="11" customWidth="1"/>
    <col min="247" max="247" width="5" style="11" customWidth="1"/>
    <col min="248" max="248" width="13.140625" style="11" customWidth="1"/>
    <col min="249" max="249" width="5" style="11" customWidth="1"/>
    <col min="250" max="250" width="13.140625" style="11" customWidth="1"/>
    <col min="251" max="251" width="9" style="11" customWidth="1"/>
    <col min="252" max="252" width="13.140625" style="11" customWidth="1"/>
    <col min="253" max="253" width="5" style="11" customWidth="1"/>
    <col min="254" max="254" width="13.140625" style="11" customWidth="1"/>
    <col min="255" max="255" width="5" style="11" customWidth="1"/>
    <col min="256" max="256" width="13.140625" style="11" customWidth="1"/>
    <col min="257" max="16384" width="9" style="11"/>
  </cols>
  <sheetData>
    <row r="1" spans="1:15" s="1" customFormat="1" ht="15.75" x14ac:dyDescent="0.2">
      <c r="B1" s="2" t="str">
        <f>"Všeobecný Žebřík pilotů plachtařů PK AeČR "&amp;A6</f>
        <v>Všeobecný Žebřík pilotů plachtařů PK AeČR 2025</v>
      </c>
      <c r="J1" s="3">
        <f>[1]Zmeny!A4</f>
        <v>46004</v>
      </c>
      <c r="K1" s="4" t="s">
        <v>0</v>
      </c>
      <c r="L1" s="5" t="str">
        <f>[1]Zmeny!B4</f>
        <v>01</v>
      </c>
      <c r="M1" s="1" t="str">
        <f>[1]Zmeny!C4</f>
        <v>Doplněny chybějící koeficienty soutěží, rozšířen W/RV 2026</v>
      </c>
    </row>
    <row r="2" spans="1:15" s="7" customFormat="1" x14ac:dyDescent="0.2">
      <c r="A2" s="6"/>
      <c r="B2"/>
      <c r="C2"/>
      <c r="I2" s="6"/>
      <c r="J2" s="8"/>
      <c r="K2" s="8"/>
      <c r="L2" s="9"/>
    </row>
    <row r="3" spans="1:15" x14ac:dyDescent="0.2">
      <c r="A3" s="6"/>
      <c r="B3" s="10" t="s">
        <v>1</v>
      </c>
      <c r="C3" s="10" t="s">
        <v>2</v>
      </c>
      <c r="I3" s="6"/>
      <c r="J3" s="12" t="s">
        <v>3</v>
      </c>
      <c r="K3" s="12" t="s">
        <v>3</v>
      </c>
      <c r="L3" s="13" t="str">
        <f>"Repre družstvo "&amp;J4</f>
        <v>Repre družstvo 2026</v>
      </c>
      <c r="M3" s="14" t="str">
        <f>"Repre výběr "&amp;J4</f>
        <v>Repre výběr 2026</v>
      </c>
      <c r="N3" s="14" t="str">
        <f>"W "&amp;M3</f>
        <v>W Repre výběr 2026</v>
      </c>
      <c r="O3" s="14" t="s">
        <v>4</v>
      </c>
    </row>
    <row r="4" spans="1:15" x14ac:dyDescent="0.2">
      <c r="A4" s="6"/>
      <c r="I4" s="6"/>
      <c r="J4" s="12">
        <f>A6+1</f>
        <v>2026</v>
      </c>
      <c r="K4" s="12">
        <f>J4+1</f>
        <v>2027</v>
      </c>
      <c r="L4" s="13" t="s">
        <v>5</v>
      </c>
      <c r="M4" s="14" t="s">
        <v>6</v>
      </c>
      <c r="N4" s="15" t="s">
        <v>7</v>
      </c>
      <c r="O4" s="14"/>
    </row>
    <row r="5" spans="1:15" x14ac:dyDescent="0.2">
      <c r="A5" s="6" t="s">
        <v>8</v>
      </c>
      <c r="B5" s="16"/>
      <c r="C5" s="17"/>
      <c r="D5" s="17"/>
      <c r="E5" s="17"/>
      <c r="F5" s="17"/>
      <c r="G5" s="16" t="s">
        <v>9</v>
      </c>
      <c r="H5" s="18"/>
      <c r="I5" s="6" t="s">
        <v>8</v>
      </c>
      <c r="J5" s="6">
        <f>COUNTIF(J7:J1000,"Junior v roce "&amp;$J$4)</f>
        <v>43</v>
      </c>
      <c r="K5" s="6">
        <f>COUNTIF(K7:K1000,"Junior v roce "&amp;$K$4)</f>
        <v>36</v>
      </c>
      <c r="L5" s="19">
        <f>COUNTIF(L7:L1000,"RD "&amp;$J$4)</f>
        <v>0</v>
      </c>
      <c r="M5" s="19">
        <f>COUNTIF(M7:M1000,"RV "&amp;$J$4)</f>
        <v>32</v>
      </c>
      <c r="N5" s="19">
        <f>COUNTIF(N7:N1000,"WRV "&amp;$J$4)</f>
        <v>12</v>
      </c>
      <c r="O5" s="19">
        <f>COUNTIF(O7:O1000,"&lt;&gt;")</f>
        <v>0</v>
      </c>
    </row>
    <row r="6" spans="1:15" x14ac:dyDescent="0.2">
      <c r="A6" s="6">
        <v>2025</v>
      </c>
      <c r="B6" s="16" t="s">
        <v>10</v>
      </c>
      <c r="C6" s="16" t="s">
        <v>11</v>
      </c>
      <c r="D6" s="16" t="s">
        <v>12</v>
      </c>
      <c r="E6" s="16" t="s">
        <v>13</v>
      </c>
      <c r="F6" s="16" t="s">
        <v>14</v>
      </c>
      <c r="G6" s="16" t="s">
        <v>15</v>
      </c>
      <c r="H6" s="20" t="s">
        <v>16</v>
      </c>
      <c r="I6" s="6">
        <v>2025</v>
      </c>
      <c r="J6"/>
      <c r="K6"/>
      <c r="L6"/>
      <c r="M6"/>
      <c r="N6"/>
      <c r="O6" s="14"/>
    </row>
    <row r="7" spans="1:15" x14ac:dyDescent="0.2">
      <c r="A7" s="21">
        <f t="shared" ref="A7:A70" si="0">RANK(G7,G:G)</f>
        <v>1</v>
      </c>
      <c r="B7" s="16" t="s">
        <v>17</v>
      </c>
      <c r="C7" s="16">
        <v>1987</v>
      </c>
      <c r="D7" s="16" t="s">
        <v>18</v>
      </c>
      <c r="E7" s="16" t="s">
        <v>19</v>
      </c>
      <c r="F7" s="16" t="s">
        <v>20</v>
      </c>
      <c r="G7" s="16">
        <v>32031</v>
      </c>
      <c r="H7" s="20">
        <v>3</v>
      </c>
      <c r="I7" s="21">
        <f>RANK(G7,G:G)</f>
        <v>1</v>
      </c>
      <c r="J7" s="22" t="str">
        <f>IF(C7="(prázdné)","",IF(($J$4-C7)&gt;25,"","Junior v roce "&amp;$J$4))</f>
        <v/>
      </c>
      <c r="K7" s="22" t="str">
        <f>IF(C7="(prázdné)","",IF(($K$4-C7)&gt;25,"","Junior v roce "&amp;$K$4))</f>
        <v/>
      </c>
      <c r="L7"/>
      <c r="M7" t="s">
        <v>21</v>
      </c>
      <c r="N7" t="str">
        <f>IF(ISERROR(VLOOKUP(B7,'[1]Zebrik W'!$B$7:$M$1000,12,0)),"",IF(VLOOKUP(B7,'[1]Zebrik W'!$B$7:$M$1000,12,0)=0,"--",VLOOKUP(B7,'[1]Zebrik W'!$B$7:$M$1000,12,0)))</f>
        <v/>
      </c>
    </row>
    <row r="8" spans="1:15" x14ac:dyDescent="0.2">
      <c r="A8" s="21">
        <f t="shared" si="0"/>
        <v>2</v>
      </c>
      <c r="B8" s="16" t="s">
        <v>22</v>
      </c>
      <c r="C8" s="16">
        <v>1964</v>
      </c>
      <c r="D8" s="16" t="s">
        <v>18</v>
      </c>
      <c r="E8" s="16" t="s">
        <v>23</v>
      </c>
      <c r="F8" s="16" t="s">
        <v>24</v>
      </c>
      <c r="G8" s="16">
        <v>31583</v>
      </c>
      <c r="H8" s="20">
        <v>3</v>
      </c>
      <c r="I8" s="21">
        <f t="shared" ref="I8:I71" si="1">RANK(G8,G:G)</f>
        <v>2</v>
      </c>
      <c r="J8" s="22" t="str">
        <f t="shared" ref="J8:J71" si="2">IF(C8="(prázdné)","",IF(($J$4-C8)&gt;25,"","Junior v roce "&amp;$J$4))</f>
        <v/>
      </c>
      <c r="K8" s="22" t="str">
        <f t="shared" ref="K8:K71" si="3">IF(C8="(prázdné)","",IF(($K$4-C8)&gt;25,"","Junior v roce "&amp;$K$4))</f>
        <v/>
      </c>
      <c r="L8"/>
      <c r="M8" t="s">
        <v>21</v>
      </c>
      <c r="N8" t="str">
        <f>IF(ISERROR(VLOOKUP(B8,'[1]Zebrik W'!$B$7:$M$1000,12,0)),"",IF(VLOOKUP(B8,'[1]Zebrik W'!$B$7:$M$1000,12,0)=0,"--",VLOOKUP(B8,'[1]Zebrik W'!$B$7:$M$1000,12,0)))</f>
        <v/>
      </c>
    </row>
    <row r="9" spans="1:15" x14ac:dyDescent="0.2">
      <c r="A9" s="21">
        <f t="shared" si="0"/>
        <v>3</v>
      </c>
      <c r="B9" s="16" t="s">
        <v>25</v>
      </c>
      <c r="C9" s="16">
        <v>2003</v>
      </c>
      <c r="D9" s="16" t="s">
        <v>18</v>
      </c>
      <c r="E9" s="16" t="s">
        <v>19</v>
      </c>
      <c r="F9" s="16" t="s">
        <v>20</v>
      </c>
      <c r="G9" s="16">
        <v>31536</v>
      </c>
      <c r="H9" s="20">
        <v>3</v>
      </c>
      <c r="I9" s="21">
        <f t="shared" si="1"/>
        <v>3</v>
      </c>
      <c r="J9" s="22" t="str">
        <f t="shared" si="2"/>
        <v>Junior v roce 2026</v>
      </c>
      <c r="K9" s="22" t="str">
        <f t="shared" si="3"/>
        <v>Junior v roce 2027</v>
      </c>
      <c r="L9"/>
      <c r="M9" t="s">
        <v>21</v>
      </c>
      <c r="N9" t="str">
        <f>IF(ISERROR(VLOOKUP(B9,'[1]Zebrik W'!$B$7:$M$1000,12,0)),"",IF(VLOOKUP(B9,'[1]Zebrik W'!$B$7:$M$1000,12,0)=0,"--",VLOOKUP(B9,'[1]Zebrik W'!$B$7:$M$1000,12,0)))</f>
        <v/>
      </c>
    </row>
    <row r="10" spans="1:15" x14ac:dyDescent="0.2">
      <c r="A10" s="21">
        <f t="shared" si="0"/>
        <v>4</v>
      </c>
      <c r="B10" s="16" t="s">
        <v>26</v>
      </c>
      <c r="C10" s="16">
        <v>1991</v>
      </c>
      <c r="D10" s="16" t="s">
        <v>18</v>
      </c>
      <c r="E10" s="16" t="s">
        <v>27</v>
      </c>
      <c r="F10" s="16" t="s">
        <v>20</v>
      </c>
      <c r="G10" s="16">
        <v>31348</v>
      </c>
      <c r="H10" s="20">
        <v>3</v>
      </c>
      <c r="I10" s="21">
        <f t="shared" si="1"/>
        <v>4</v>
      </c>
      <c r="J10" s="22" t="str">
        <f t="shared" si="2"/>
        <v/>
      </c>
      <c r="K10" s="22" t="str">
        <f t="shared" si="3"/>
        <v/>
      </c>
      <c r="L10"/>
      <c r="M10" t="s">
        <v>21</v>
      </c>
      <c r="N10" t="str">
        <f>IF(ISERROR(VLOOKUP(B10,'[1]Zebrik W'!$B$7:$M$1000,12,0)),"",IF(VLOOKUP(B10,'[1]Zebrik W'!$B$7:$M$1000,12,0)=0,"--",VLOOKUP(B10,'[1]Zebrik W'!$B$7:$M$1000,12,0)))</f>
        <v/>
      </c>
    </row>
    <row r="11" spans="1:15" x14ac:dyDescent="0.2">
      <c r="A11" s="21">
        <f t="shared" si="0"/>
        <v>5</v>
      </c>
      <c r="B11" s="16" t="s">
        <v>28</v>
      </c>
      <c r="C11" s="16">
        <v>1987</v>
      </c>
      <c r="D11" s="16" t="s">
        <v>18</v>
      </c>
      <c r="E11" s="16" t="s">
        <v>29</v>
      </c>
      <c r="F11" s="16" t="s">
        <v>24</v>
      </c>
      <c r="G11" s="16">
        <v>30530</v>
      </c>
      <c r="H11" s="20">
        <v>3</v>
      </c>
      <c r="I11" s="21">
        <f t="shared" si="1"/>
        <v>5</v>
      </c>
      <c r="J11" s="22" t="str">
        <f t="shared" si="2"/>
        <v/>
      </c>
      <c r="K11" s="22" t="str">
        <f t="shared" si="3"/>
        <v/>
      </c>
      <c r="L11"/>
      <c r="M11" t="s">
        <v>21</v>
      </c>
      <c r="N11" t="str">
        <f>IF(ISERROR(VLOOKUP(B11,'[1]Zebrik W'!$B$7:$M$1000,12,0)),"",IF(VLOOKUP(B11,'[1]Zebrik W'!$B$7:$M$1000,12,0)=0,"--",VLOOKUP(B11,'[1]Zebrik W'!$B$7:$M$1000,12,0)))</f>
        <v/>
      </c>
    </row>
    <row r="12" spans="1:15" x14ac:dyDescent="0.2">
      <c r="A12" s="21">
        <f t="shared" si="0"/>
        <v>6</v>
      </c>
      <c r="B12" s="16" t="s">
        <v>30</v>
      </c>
      <c r="C12" s="16">
        <v>1975</v>
      </c>
      <c r="D12" s="16" t="s">
        <v>18</v>
      </c>
      <c r="E12" s="16" t="s">
        <v>31</v>
      </c>
      <c r="F12" s="16" t="s">
        <v>24</v>
      </c>
      <c r="G12" s="16">
        <v>30243</v>
      </c>
      <c r="H12" s="20">
        <v>3</v>
      </c>
      <c r="I12" s="21">
        <f t="shared" si="1"/>
        <v>6</v>
      </c>
      <c r="J12" s="22" t="str">
        <f t="shared" si="2"/>
        <v/>
      </c>
      <c r="K12" s="22" t="str">
        <f t="shared" si="3"/>
        <v/>
      </c>
      <c r="L12"/>
      <c r="M12" t="s">
        <v>21</v>
      </c>
      <c r="N12" t="str">
        <f>IF(ISERROR(VLOOKUP(B12,'[1]Zebrik W'!$B$7:$M$1000,12,0)),"",IF(VLOOKUP(B12,'[1]Zebrik W'!$B$7:$M$1000,12,0)=0,"--",VLOOKUP(B12,'[1]Zebrik W'!$B$7:$M$1000,12,0)))</f>
        <v/>
      </c>
    </row>
    <row r="13" spans="1:15" x14ac:dyDescent="0.2">
      <c r="A13" s="21">
        <f t="shared" si="0"/>
        <v>7</v>
      </c>
      <c r="B13" s="16" t="s">
        <v>32</v>
      </c>
      <c r="C13" s="16">
        <v>2003</v>
      </c>
      <c r="D13" s="16" t="s">
        <v>18</v>
      </c>
      <c r="E13" s="16" t="s">
        <v>33</v>
      </c>
      <c r="F13" s="16" t="s">
        <v>20</v>
      </c>
      <c r="G13" s="16">
        <v>29735</v>
      </c>
      <c r="H13" s="20">
        <v>3</v>
      </c>
      <c r="I13" s="21">
        <f t="shared" si="1"/>
        <v>7</v>
      </c>
      <c r="J13" s="22" t="str">
        <f t="shared" si="2"/>
        <v>Junior v roce 2026</v>
      </c>
      <c r="K13" s="22" t="str">
        <f t="shared" si="3"/>
        <v>Junior v roce 2027</v>
      </c>
      <c r="L13"/>
      <c r="M13" t="s">
        <v>21</v>
      </c>
      <c r="N13" t="str">
        <f>IF(ISERROR(VLOOKUP(B13,'[1]Zebrik W'!$B$7:$M$1000,12,0)),"",IF(VLOOKUP(B13,'[1]Zebrik W'!$B$7:$M$1000,12,0)=0,"--",VLOOKUP(B13,'[1]Zebrik W'!$B$7:$M$1000,12,0)))</f>
        <v/>
      </c>
    </row>
    <row r="14" spans="1:15" x14ac:dyDescent="0.2">
      <c r="A14" s="21">
        <f t="shared" si="0"/>
        <v>8</v>
      </c>
      <c r="B14" s="16" t="s">
        <v>34</v>
      </c>
      <c r="C14" s="16">
        <v>1973</v>
      </c>
      <c r="D14" s="16" t="s">
        <v>18</v>
      </c>
      <c r="E14" s="16" t="s">
        <v>31</v>
      </c>
      <c r="F14" s="16" t="s">
        <v>24</v>
      </c>
      <c r="G14" s="16">
        <v>29671</v>
      </c>
      <c r="H14" s="20">
        <v>3</v>
      </c>
      <c r="I14" s="21">
        <f t="shared" si="1"/>
        <v>8</v>
      </c>
      <c r="J14" s="22" t="str">
        <f t="shared" si="2"/>
        <v/>
      </c>
      <c r="K14" s="22" t="str">
        <f t="shared" si="3"/>
        <v/>
      </c>
      <c r="L14"/>
      <c r="M14" t="s">
        <v>21</v>
      </c>
      <c r="N14" t="str">
        <f>IF(ISERROR(VLOOKUP(B14,'[1]Zebrik W'!$B$7:$M$1000,12,0)),"",IF(VLOOKUP(B14,'[1]Zebrik W'!$B$7:$M$1000,12,0)=0,"--",VLOOKUP(B14,'[1]Zebrik W'!$B$7:$M$1000,12,0)))</f>
        <v/>
      </c>
    </row>
    <row r="15" spans="1:15" x14ac:dyDescent="0.2">
      <c r="A15" s="21">
        <f t="shared" si="0"/>
        <v>9</v>
      </c>
      <c r="B15" s="16" t="s">
        <v>35</v>
      </c>
      <c r="C15" s="16">
        <v>1966</v>
      </c>
      <c r="D15" s="16" t="s">
        <v>18</v>
      </c>
      <c r="E15" s="16" t="s">
        <v>36</v>
      </c>
      <c r="F15" s="16" t="s">
        <v>20</v>
      </c>
      <c r="G15" s="16">
        <v>29627</v>
      </c>
      <c r="H15" s="20">
        <v>3</v>
      </c>
      <c r="I15" s="21">
        <f t="shared" si="1"/>
        <v>9</v>
      </c>
      <c r="J15" s="22" t="str">
        <f t="shared" si="2"/>
        <v/>
      </c>
      <c r="K15" s="22" t="str">
        <f t="shared" si="3"/>
        <v/>
      </c>
      <c r="L15"/>
      <c r="M15" t="s">
        <v>21</v>
      </c>
      <c r="N15" t="str">
        <f>IF(ISERROR(VLOOKUP(B15,'[1]Zebrik W'!$B$7:$M$1000,12,0)),"",IF(VLOOKUP(B15,'[1]Zebrik W'!$B$7:$M$1000,12,0)=0,"--",VLOOKUP(B15,'[1]Zebrik W'!$B$7:$M$1000,12,0)))</f>
        <v/>
      </c>
    </row>
    <row r="16" spans="1:15" x14ac:dyDescent="0.2">
      <c r="A16" s="21">
        <f t="shared" si="0"/>
        <v>10</v>
      </c>
      <c r="B16" s="16" t="s">
        <v>37</v>
      </c>
      <c r="C16" s="16">
        <v>1993</v>
      </c>
      <c r="D16" s="16" t="s">
        <v>18</v>
      </c>
      <c r="E16" s="16" t="s">
        <v>38</v>
      </c>
      <c r="F16" s="16" t="s">
        <v>24</v>
      </c>
      <c r="G16" s="16">
        <v>29256</v>
      </c>
      <c r="H16" s="20">
        <v>3</v>
      </c>
      <c r="I16" s="21">
        <f t="shared" si="1"/>
        <v>10</v>
      </c>
      <c r="J16" s="22" t="str">
        <f t="shared" si="2"/>
        <v/>
      </c>
      <c r="K16" s="22" t="str">
        <f t="shared" si="3"/>
        <v/>
      </c>
      <c r="L16"/>
      <c r="M16" t="s">
        <v>21</v>
      </c>
      <c r="N16" t="str">
        <f>IF(ISERROR(VLOOKUP(B16,'[1]Zebrik W'!$B$7:$M$1000,12,0)),"",IF(VLOOKUP(B16,'[1]Zebrik W'!$B$7:$M$1000,12,0)=0,"--",VLOOKUP(B16,'[1]Zebrik W'!$B$7:$M$1000,12,0)))</f>
        <v/>
      </c>
    </row>
    <row r="17" spans="1:14" x14ac:dyDescent="0.2">
      <c r="A17" s="21">
        <f t="shared" si="0"/>
        <v>11</v>
      </c>
      <c r="B17" s="16" t="s">
        <v>39</v>
      </c>
      <c r="C17" s="16">
        <v>1990</v>
      </c>
      <c r="D17" s="16" t="s">
        <v>18</v>
      </c>
      <c r="E17" s="16" t="s">
        <v>40</v>
      </c>
      <c r="F17" s="16" t="s">
        <v>41</v>
      </c>
      <c r="G17" s="16">
        <v>29141</v>
      </c>
      <c r="H17" s="20">
        <v>3</v>
      </c>
      <c r="I17" s="21">
        <f t="shared" si="1"/>
        <v>11</v>
      </c>
      <c r="J17" s="22" t="str">
        <f t="shared" si="2"/>
        <v/>
      </c>
      <c r="K17" s="22" t="str">
        <f t="shared" si="3"/>
        <v/>
      </c>
      <c r="L17"/>
      <c r="M17" t="s">
        <v>21</v>
      </c>
      <c r="N17" t="str">
        <f>IF(ISERROR(VLOOKUP(B17,'[1]Zebrik W'!$B$7:$M$1000,12,0)),"",IF(VLOOKUP(B17,'[1]Zebrik W'!$B$7:$M$1000,12,0)=0,"--",VLOOKUP(B17,'[1]Zebrik W'!$B$7:$M$1000,12,0)))</f>
        <v/>
      </c>
    </row>
    <row r="18" spans="1:14" x14ac:dyDescent="0.2">
      <c r="A18" s="21">
        <f t="shared" si="0"/>
        <v>12</v>
      </c>
      <c r="B18" s="16" t="s">
        <v>42</v>
      </c>
      <c r="C18" s="16">
        <v>1957</v>
      </c>
      <c r="D18" s="16" t="s">
        <v>18</v>
      </c>
      <c r="E18" s="16" t="s">
        <v>43</v>
      </c>
      <c r="F18" s="16" t="s">
        <v>41</v>
      </c>
      <c r="G18" s="16">
        <v>28790</v>
      </c>
      <c r="H18" s="20">
        <v>3</v>
      </c>
      <c r="I18" s="21">
        <f t="shared" si="1"/>
        <v>12</v>
      </c>
      <c r="J18" s="22" t="str">
        <f t="shared" si="2"/>
        <v/>
      </c>
      <c r="K18" s="22" t="str">
        <f t="shared" si="3"/>
        <v/>
      </c>
      <c r="L18"/>
      <c r="M18" t="s">
        <v>21</v>
      </c>
      <c r="N18" t="str">
        <f>IF(ISERROR(VLOOKUP(B18,'[1]Zebrik W'!$B$7:$M$1000,12,0)),"",IF(VLOOKUP(B18,'[1]Zebrik W'!$B$7:$M$1000,12,0)=0,"--",VLOOKUP(B18,'[1]Zebrik W'!$B$7:$M$1000,12,0)))</f>
        <v/>
      </c>
    </row>
    <row r="19" spans="1:14" x14ac:dyDescent="0.2">
      <c r="A19" s="21">
        <f t="shared" si="0"/>
        <v>13</v>
      </c>
      <c r="B19" s="16" t="s">
        <v>44</v>
      </c>
      <c r="C19" s="16">
        <v>1965</v>
      </c>
      <c r="D19" s="16" t="s">
        <v>18</v>
      </c>
      <c r="E19" s="16" t="s">
        <v>45</v>
      </c>
      <c r="F19" s="16" t="s">
        <v>24</v>
      </c>
      <c r="G19" s="16">
        <v>28712</v>
      </c>
      <c r="H19" s="20">
        <v>3</v>
      </c>
      <c r="I19" s="21">
        <f t="shared" si="1"/>
        <v>13</v>
      </c>
      <c r="J19" s="22" t="str">
        <f t="shared" si="2"/>
        <v/>
      </c>
      <c r="K19" s="22" t="str">
        <f t="shared" si="3"/>
        <v/>
      </c>
      <c r="L19"/>
      <c r="M19" t="s">
        <v>21</v>
      </c>
      <c r="N19" t="str">
        <f>IF(ISERROR(VLOOKUP(B19,'[1]Zebrik W'!$B$7:$M$1000,12,0)),"",IF(VLOOKUP(B19,'[1]Zebrik W'!$B$7:$M$1000,12,0)=0,"--",VLOOKUP(B19,'[1]Zebrik W'!$B$7:$M$1000,12,0)))</f>
        <v/>
      </c>
    </row>
    <row r="20" spans="1:14" x14ac:dyDescent="0.2">
      <c r="A20" s="21">
        <f t="shared" si="0"/>
        <v>14</v>
      </c>
      <c r="B20" s="16" t="s">
        <v>46</v>
      </c>
      <c r="C20" s="16">
        <v>1959</v>
      </c>
      <c r="D20" s="16" t="s">
        <v>18</v>
      </c>
      <c r="E20" s="16" t="s">
        <v>47</v>
      </c>
      <c r="F20" s="16" t="s">
        <v>20</v>
      </c>
      <c r="G20" s="16">
        <v>28711</v>
      </c>
      <c r="H20" s="20">
        <v>3</v>
      </c>
      <c r="I20" s="21">
        <f t="shared" si="1"/>
        <v>14</v>
      </c>
      <c r="J20" s="22" t="str">
        <f t="shared" si="2"/>
        <v/>
      </c>
      <c r="K20" s="22" t="str">
        <f t="shared" si="3"/>
        <v/>
      </c>
      <c r="L20"/>
      <c r="M20" t="s">
        <v>21</v>
      </c>
      <c r="N20" t="str">
        <f>IF(ISERROR(VLOOKUP(B20,'[1]Zebrik W'!$B$7:$M$1000,12,0)),"",IF(VLOOKUP(B20,'[1]Zebrik W'!$B$7:$M$1000,12,0)=0,"--",VLOOKUP(B20,'[1]Zebrik W'!$B$7:$M$1000,12,0)))</f>
        <v/>
      </c>
    </row>
    <row r="21" spans="1:14" x14ac:dyDescent="0.2">
      <c r="A21" s="21">
        <f t="shared" si="0"/>
        <v>15</v>
      </c>
      <c r="B21" s="16" t="s">
        <v>48</v>
      </c>
      <c r="C21" s="16">
        <v>2001</v>
      </c>
      <c r="D21" s="16" t="s">
        <v>49</v>
      </c>
      <c r="E21" s="16" t="s">
        <v>43</v>
      </c>
      <c r="F21" s="16" t="s">
        <v>41</v>
      </c>
      <c r="G21" s="16">
        <v>28488</v>
      </c>
      <c r="H21" s="20">
        <v>3</v>
      </c>
      <c r="I21" s="21">
        <f t="shared" si="1"/>
        <v>15</v>
      </c>
      <c r="J21" s="22" t="str">
        <f t="shared" si="2"/>
        <v>Junior v roce 2026</v>
      </c>
      <c r="K21" s="22" t="str">
        <f t="shared" si="3"/>
        <v/>
      </c>
      <c r="L21"/>
      <c r="M21" t="s">
        <v>21</v>
      </c>
      <c r="N21" t="str">
        <f>IF(ISERROR(VLOOKUP(B21,'[1]Zebrik W'!$B$7:$M$1000,12,0)),"",IF(VLOOKUP(B21,'[1]Zebrik W'!$B$7:$M$1000,12,0)=0,"--",VLOOKUP(B21,'[1]Zebrik W'!$B$7:$M$1000,12,0)))</f>
        <v>WRV 2026</v>
      </c>
    </row>
    <row r="22" spans="1:14" x14ac:dyDescent="0.2">
      <c r="A22" s="21">
        <f t="shared" si="0"/>
        <v>16</v>
      </c>
      <c r="B22" s="16" t="s">
        <v>50</v>
      </c>
      <c r="C22" s="16">
        <v>1960</v>
      </c>
      <c r="D22" s="16" t="s">
        <v>18</v>
      </c>
      <c r="E22" s="16" t="s">
        <v>27</v>
      </c>
      <c r="F22" s="16" t="s">
        <v>20</v>
      </c>
      <c r="G22" s="16">
        <v>28173</v>
      </c>
      <c r="H22" s="20">
        <v>3</v>
      </c>
      <c r="I22" s="21">
        <f t="shared" si="1"/>
        <v>16</v>
      </c>
      <c r="J22" s="22" t="str">
        <f t="shared" si="2"/>
        <v/>
      </c>
      <c r="K22" s="22" t="str">
        <f t="shared" si="3"/>
        <v/>
      </c>
      <c r="L22"/>
      <c r="M22" t="s">
        <v>21</v>
      </c>
      <c r="N22" t="str">
        <f>IF(ISERROR(VLOOKUP(B22,'[1]Zebrik W'!$B$7:$M$1000,12,0)),"",IF(VLOOKUP(B22,'[1]Zebrik W'!$B$7:$M$1000,12,0)=0,"--",VLOOKUP(B22,'[1]Zebrik W'!$B$7:$M$1000,12,0)))</f>
        <v/>
      </c>
    </row>
    <row r="23" spans="1:14" x14ac:dyDescent="0.2">
      <c r="A23" s="21">
        <f t="shared" si="0"/>
        <v>17</v>
      </c>
      <c r="B23" s="16" t="s">
        <v>51</v>
      </c>
      <c r="C23" s="16">
        <v>2004</v>
      </c>
      <c r="D23" s="16" t="s">
        <v>49</v>
      </c>
      <c r="E23" s="16" t="s">
        <v>45</v>
      </c>
      <c r="F23" s="16" t="s">
        <v>24</v>
      </c>
      <c r="G23" s="16">
        <v>27869</v>
      </c>
      <c r="H23" s="20">
        <v>3</v>
      </c>
      <c r="I23" s="21">
        <f t="shared" si="1"/>
        <v>17</v>
      </c>
      <c r="J23" s="22" t="str">
        <f t="shared" si="2"/>
        <v>Junior v roce 2026</v>
      </c>
      <c r="K23" s="22" t="str">
        <f t="shared" si="3"/>
        <v>Junior v roce 2027</v>
      </c>
      <c r="L23"/>
      <c r="M23" t="s">
        <v>21</v>
      </c>
      <c r="N23" t="str">
        <f>IF(ISERROR(VLOOKUP(B23,'[1]Zebrik W'!$B$7:$M$1000,12,0)),"",IF(VLOOKUP(B23,'[1]Zebrik W'!$B$7:$M$1000,12,0)=0,"--",VLOOKUP(B23,'[1]Zebrik W'!$B$7:$M$1000,12,0)))</f>
        <v>WRV 2026</v>
      </c>
    </row>
    <row r="24" spans="1:14" x14ac:dyDescent="0.2">
      <c r="A24" s="21">
        <f t="shared" si="0"/>
        <v>18</v>
      </c>
      <c r="B24" s="16" t="s">
        <v>52</v>
      </c>
      <c r="C24" s="16">
        <v>1962</v>
      </c>
      <c r="D24" s="16" t="s">
        <v>18</v>
      </c>
      <c r="E24" s="16" t="s">
        <v>38</v>
      </c>
      <c r="F24" s="16" t="s">
        <v>24</v>
      </c>
      <c r="G24" s="16">
        <v>27777</v>
      </c>
      <c r="H24" s="20">
        <v>3</v>
      </c>
      <c r="I24" s="21">
        <f t="shared" si="1"/>
        <v>18</v>
      </c>
      <c r="J24" s="22" t="str">
        <f t="shared" si="2"/>
        <v/>
      </c>
      <c r="K24" s="22" t="str">
        <f t="shared" si="3"/>
        <v/>
      </c>
      <c r="L24"/>
      <c r="M24" t="s">
        <v>21</v>
      </c>
      <c r="N24" t="str">
        <f>IF(ISERROR(VLOOKUP(B24,'[1]Zebrik W'!$B$7:$M$1000,12,0)),"",IF(VLOOKUP(B24,'[1]Zebrik W'!$B$7:$M$1000,12,0)=0,"--",VLOOKUP(B24,'[1]Zebrik W'!$B$7:$M$1000,12,0)))</f>
        <v/>
      </c>
    </row>
    <row r="25" spans="1:14" x14ac:dyDescent="0.2">
      <c r="A25" s="21">
        <f t="shared" si="0"/>
        <v>19</v>
      </c>
      <c r="B25" s="16" t="s">
        <v>53</v>
      </c>
      <c r="C25" s="16">
        <v>2000</v>
      </c>
      <c r="D25" s="16" t="s">
        <v>18</v>
      </c>
      <c r="E25" s="16" t="s">
        <v>54</v>
      </c>
      <c r="F25" s="16" t="s">
        <v>41</v>
      </c>
      <c r="G25" s="16">
        <v>27674</v>
      </c>
      <c r="H25" s="20">
        <v>3</v>
      </c>
      <c r="I25" s="21">
        <f t="shared" si="1"/>
        <v>19</v>
      </c>
      <c r="J25" s="22" t="str">
        <f t="shared" si="2"/>
        <v/>
      </c>
      <c r="K25" s="22" t="str">
        <f t="shared" si="3"/>
        <v/>
      </c>
      <c r="L25"/>
      <c r="M25" t="s">
        <v>21</v>
      </c>
      <c r="N25" t="str">
        <f>IF(ISERROR(VLOOKUP(B25,'[1]Zebrik W'!$B$7:$M$1000,12,0)),"",IF(VLOOKUP(B25,'[1]Zebrik W'!$B$7:$M$1000,12,0)=0,"--",VLOOKUP(B25,'[1]Zebrik W'!$B$7:$M$1000,12,0)))</f>
        <v/>
      </c>
    </row>
    <row r="26" spans="1:14" x14ac:dyDescent="0.2">
      <c r="A26" s="21">
        <f t="shared" si="0"/>
        <v>20</v>
      </c>
      <c r="B26" s="16" t="s">
        <v>55</v>
      </c>
      <c r="C26" s="16">
        <v>1973</v>
      </c>
      <c r="D26" s="16" t="s">
        <v>18</v>
      </c>
      <c r="E26" s="16" t="s">
        <v>31</v>
      </c>
      <c r="F26" s="16" t="s">
        <v>24</v>
      </c>
      <c r="G26" s="16">
        <v>27561</v>
      </c>
      <c r="H26" s="20">
        <v>3</v>
      </c>
      <c r="I26" s="21">
        <f t="shared" si="1"/>
        <v>20</v>
      </c>
      <c r="J26" s="22" t="str">
        <f t="shared" si="2"/>
        <v/>
      </c>
      <c r="K26" s="22" t="str">
        <f t="shared" si="3"/>
        <v/>
      </c>
      <c r="L26"/>
      <c r="M26" t="s">
        <v>21</v>
      </c>
      <c r="N26" t="str">
        <f>IF(ISERROR(VLOOKUP(B26,'[1]Zebrik W'!$B$7:$M$1000,12,0)),"",IF(VLOOKUP(B26,'[1]Zebrik W'!$B$7:$M$1000,12,0)=0,"--",VLOOKUP(B26,'[1]Zebrik W'!$B$7:$M$1000,12,0)))</f>
        <v/>
      </c>
    </row>
    <row r="27" spans="1:14" x14ac:dyDescent="0.2">
      <c r="A27" s="21">
        <f t="shared" si="0"/>
        <v>21</v>
      </c>
      <c r="B27" s="16" t="s">
        <v>56</v>
      </c>
      <c r="C27" s="16">
        <v>1982</v>
      </c>
      <c r="D27" s="16" t="s">
        <v>18</v>
      </c>
      <c r="E27" s="16" t="s">
        <v>57</v>
      </c>
      <c r="F27" s="16" t="s">
        <v>24</v>
      </c>
      <c r="G27" s="16">
        <v>27475</v>
      </c>
      <c r="H27" s="20">
        <v>3</v>
      </c>
      <c r="I27" s="21">
        <f t="shared" si="1"/>
        <v>21</v>
      </c>
      <c r="J27" s="22" t="str">
        <f t="shared" si="2"/>
        <v/>
      </c>
      <c r="K27" s="22" t="str">
        <f t="shared" si="3"/>
        <v/>
      </c>
      <c r="L27"/>
      <c r="M27"/>
      <c r="N27" t="str">
        <f>IF(ISERROR(VLOOKUP(B27,'[1]Zebrik W'!$B$7:$M$1000,12,0)),"",IF(VLOOKUP(B27,'[1]Zebrik W'!$B$7:$M$1000,12,0)=0,"--",VLOOKUP(B27,'[1]Zebrik W'!$B$7:$M$1000,12,0)))</f>
        <v/>
      </c>
    </row>
    <row r="28" spans="1:14" x14ac:dyDescent="0.2">
      <c r="A28" s="21">
        <f t="shared" si="0"/>
        <v>22</v>
      </c>
      <c r="B28" s="16" t="s">
        <v>58</v>
      </c>
      <c r="C28" s="16">
        <v>1991</v>
      </c>
      <c r="D28" s="16" t="s">
        <v>49</v>
      </c>
      <c r="E28" s="16" t="s">
        <v>59</v>
      </c>
      <c r="F28" s="16" t="s">
        <v>41</v>
      </c>
      <c r="G28" s="16">
        <v>27433</v>
      </c>
      <c r="H28" s="20">
        <v>3</v>
      </c>
      <c r="I28" s="21">
        <f t="shared" si="1"/>
        <v>22</v>
      </c>
      <c r="J28" s="22" t="str">
        <f t="shared" si="2"/>
        <v/>
      </c>
      <c r="K28" s="22" t="str">
        <f t="shared" si="3"/>
        <v/>
      </c>
      <c r="L28"/>
      <c r="M28" t="s">
        <v>21</v>
      </c>
      <c r="N28" t="str">
        <f>IF(ISERROR(VLOOKUP(B28,'[1]Zebrik W'!$B$7:$M$1000,12,0)),"",IF(VLOOKUP(B28,'[1]Zebrik W'!$B$7:$M$1000,12,0)=0,"--",VLOOKUP(B28,'[1]Zebrik W'!$B$7:$M$1000,12,0)))</f>
        <v>WRV 2026</v>
      </c>
    </row>
    <row r="29" spans="1:14" x14ac:dyDescent="0.2">
      <c r="A29" s="21">
        <f t="shared" si="0"/>
        <v>23</v>
      </c>
      <c r="B29" s="16" t="s">
        <v>60</v>
      </c>
      <c r="C29" s="16">
        <v>1966</v>
      </c>
      <c r="D29" s="16" t="s">
        <v>18</v>
      </c>
      <c r="E29" s="16" t="s">
        <v>23</v>
      </c>
      <c r="F29" s="16" t="s">
        <v>24</v>
      </c>
      <c r="G29" s="16">
        <v>27371</v>
      </c>
      <c r="H29" s="20">
        <v>3</v>
      </c>
      <c r="I29" s="21">
        <f t="shared" si="1"/>
        <v>23</v>
      </c>
      <c r="J29" s="22" t="str">
        <f t="shared" si="2"/>
        <v/>
      </c>
      <c r="K29" s="22" t="str">
        <f t="shared" si="3"/>
        <v/>
      </c>
      <c r="L29"/>
      <c r="M29"/>
      <c r="N29" t="str">
        <f>IF(ISERROR(VLOOKUP(B29,'[1]Zebrik W'!$B$7:$M$1000,12,0)),"",IF(VLOOKUP(B29,'[1]Zebrik W'!$B$7:$M$1000,12,0)=0,"--",VLOOKUP(B29,'[1]Zebrik W'!$B$7:$M$1000,12,0)))</f>
        <v/>
      </c>
    </row>
    <row r="30" spans="1:14" x14ac:dyDescent="0.2">
      <c r="A30" s="21">
        <f t="shared" si="0"/>
        <v>24</v>
      </c>
      <c r="B30" s="16" t="s">
        <v>61</v>
      </c>
      <c r="C30" s="16">
        <v>1967</v>
      </c>
      <c r="D30" s="16" t="s">
        <v>18</v>
      </c>
      <c r="E30" s="16" t="s">
        <v>36</v>
      </c>
      <c r="F30" s="16" t="s">
        <v>20</v>
      </c>
      <c r="G30" s="16">
        <v>27321</v>
      </c>
      <c r="H30" s="20">
        <v>3</v>
      </c>
      <c r="I30" s="21">
        <f t="shared" si="1"/>
        <v>24</v>
      </c>
      <c r="J30" s="22" t="str">
        <f t="shared" si="2"/>
        <v/>
      </c>
      <c r="K30" s="22" t="str">
        <f t="shared" si="3"/>
        <v/>
      </c>
      <c r="L30"/>
      <c r="N30" t="str">
        <f>IF(ISERROR(VLOOKUP(B30,'[1]Zebrik W'!$B$7:$M$1000,12,0)),"",IF(VLOOKUP(B30,'[1]Zebrik W'!$B$7:$M$1000,12,0)=0,"--",VLOOKUP(B30,'[1]Zebrik W'!$B$7:$M$1000,12,0)))</f>
        <v/>
      </c>
    </row>
    <row r="31" spans="1:14" x14ac:dyDescent="0.2">
      <c r="A31" s="21">
        <f t="shared" si="0"/>
        <v>25</v>
      </c>
      <c r="B31" s="16" t="s">
        <v>62</v>
      </c>
      <c r="C31" s="16">
        <v>1999</v>
      </c>
      <c r="D31" s="16" t="s">
        <v>49</v>
      </c>
      <c r="E31" s="16" t="s">
        <v>63</v>
      </c>
      <c r="F31" s="16" t="s">
        <v>41</v>
      </c>
      <c r="G31" s="16">
        <v>27285</v>
      </c>
      <c r="H31" s="20">
        <v>3</v>
      </c>
      <c r="I31" s="21">
        <f t="shared" si="1"/>
        <v>25</v>
      </c>
      <c r="J31" s="22" t="str">
        <f t="shared" si="2"/>
        <v/>
      </c>
      <c r="K31" s="22" t="str">
        <f t="shared" si="3"/>
        <v/>
      </c>
      <c r="L31"/>
      <c r="M31" t="s">
        <v>21</v>
      </c>
      <c r="N31" t="str">
        <f>IF(ISERROR(VLOOKUP(B31,'[1]Zebrik W'!$B$7:$M$1000,12,0)),"",IF(VLOOKUP(B31,'[1]Zebrik W'!$B$7:$M$1000,12,0)=0,"--",VLOOKUP(B31,'[1]Zebrik W'!$B$7:$M$1000,12,0)))</f>
        <v>WRV 2026</v>
      </c>
    </row>
    <row r="32" spans="1:14" x14ac:dyDescent="0.2">
      <c r="A32" s="21">
        <f t="shared" si="0"/>
        <v>26</v>
      </c>
      <c r="B32" s="16" t="s">
        <v>64</v>
      </c>
      <c r="C32" s="16">
        <v>2002</v>
      </c>
      <c r="D32" s="16" t="s">
        <v>18</v>
      </c>
      <c r="E32" s="16" t="s">
        <v>65</v>
      </c>
      <c r="F32" s="16" t="s">
        <v>41</v>
      </c>
      <c r="G32" s="16">
        <v>27180</v>
      </c>
      <c r="H32" s="20">
        <v>3</v>
      </c>
      <c r="I32" s="21">
        <f t="shared" si="1"/>
        <v>26</v>
      </c>
      <c r="J32" s="22" t="str">
        <f t="shared" si="2"/>
        <v>Junior v roce 2026</v>
      </c>
      <c r="K32" s="22" t="str">
        <f t="shared" si="3"/>
        <v>Junior v roce 2027</v>
      </c>
      <c r="L32"/>
      <c r="M32" t="s">
        <v>21</v>
      </c>
      <c r="N32" t="str">
        <f>IF(ISERROR(VLOOKUP(B32,'[1]Zebrik W'!$B$7:$M$1000,12,0)),"",IF(VLOOKUP(B32,'[1]Zebrik W'!$B$7:$M$1000,12,0)=0,"--",VLOOKUP(B32,'[1]Zebrik W'!$B$7:$M$1000,12,0)))</f>
        <v/>
      </c>
    </row>
    <row r="33" spans="1:14" x14ac:dyDescent="0.2">
      <c r="A33" s="21">
        <f t="shared" si="0"/>
        <v>27</v>
      </c>
      <c r="B33" s="16" t="s">
        <v>66</v>
      </c>
      <c r="C33" s="16">
        <v>1973</v>
      </c>
      <c r="D33" s="16" t="s">
        <v>18</v>
      </c>
      <c r="E33" s="16" t="s">
        <v>67</v>
      </c>
      <c r="F33" s="16" t="s">
        <v>41</v>
      </c>
      <c r="G33" s="16">
        <v>27072</v>
      </c>
      <c r="H33" s="20">
        <v>3</v>
      </c>
      <c r="I33" s="21">
        <f t="shared" si="1"/>
        <v>27</v>
      </c>
      <c r="J33" s="22" t="str">
        <f t="shared" si="2"/>
        <v/>
      </c>
      <c r="K33" s="22" t="str">
        <f t="shared" si="3"/>
        <v/>
      </c>
      <c r="L33"/>
      <c r="M33"/>
      <c r="N33" t="str">
        <f>IF(ISERROR(VLOOKUP(B33,'[1]Zebrik W'!$B$7:$M$1000,12,0)),"",IF(VLOOKUP(B33,'[1]Zebrik W'!$B$7:$M$1000,12,0)=0,"--",VLOOKUP(B33,'[1]Zebrik W'!$B$7:$M$1000,12,0)))</f>
        <v/>
      </c>
    </row>
    <row r="34" spans="1:14" x14ac:dyDescent="0.2">
      <c r="A34" s="21">
        <f t="shared" si="0"/>
        <v>28</v>
      </c>
      <c r="B34" s="16" t="s">
        <v>68</v>
      </c>
      <c r="C34" s="16">
        <v>1978</v>
      </c>
      <c r="D34" s="16" t="s">
        <v>18</v>
      </c>
      <c r="E34" s="16" t="s">
        <v>31</v>
      </c>
      <c r="F34" s="16" t="s">
        <v>24</v>
      </c>
      <c r="G34" s="16">
        <v>27043</v>
      </c>
      <c r="H34" s="20">
        <v>3</v>
      </c>
      <c r="I34" s="21">
        <f t="shared" si="1"/>
        <v>28</v>
      </c>
      <c r="J34" s="22" t="str">
        <f t="shared" si="2"/>
        <v/>
      </c>
      <c r="K34" s="22" t="str">
        <f t="shared" si="3"/>
        <v/>
      </c>
      <c r="L34"/>
      <c r="M34"/>
      <c r="N34" t="str">
        <f>IF(ISERROR(VLOOKUP(B34,'[1]Zebrik W'!$B$7:$M$1000,12,0)),"",IF(VLOOKUP(B34,'[1]Zebrik W'!$B$7:$M$1000,12,0)=0,"--",VLOOKUP(B34,'[1]Zebrik W'!$B$7:$M$1000,12,0)))</f>
        <v/>
      </c>
    </row>
    <row r="35" spans="1:14" x14ac:dyDescent="0.2">
      <c r="A35" s="21">
        <f t="shared" si="0"/>
        <v>29</v>
      </c>
      <c r="B35" s="16" t="s">
        <v>69</v>
      </c>
      <c r="C35" s="16">
        <v>1978</v>
      </c>
      <c r="D35" s="16" t="s">
        <v>18</v>
      </c>
      <c r="E35" s="16" t="s">
        <v>57</v>
      </c>
      <c r="F35" s="16" t="s">
        <v>24</v>
      </c>
      <c r="G35" s="16">
        <v>27038</v>
      </c>
      <c r="H35" s="20">
        <v>3</v>
      </c>
      <c r="I35" s="21">
        <f t="shared" si="1"/>
        <v>29</v>
      </c>
      <c r="J35" s="22" t="str">
        <f t="shared" si="2"/>
        <v/>
      </c>
      <c r="K35" s="22" t="str">
        <f t="shared" si="3"/>
        <v/>
      </c>
      <c r="L35"/>
      <c r="M35"/>
      <c r="N35" t="str">
        <f>IF(ISERROR(VLOOKUP(B35,'[1]Zebrik W'!$B$7:$M$1000,12,0)),"",IF(VLOOKUP(B35,'[1]Zebrik W'!$B$7:$M$1000,12,0)=0,"--",VLOOKUP(B35,'[1]Zebrik W'!$B$7:$M$1000,12,0)))</f>
        <v/>
      </c>
    </row>
    <row r="36" spans="1:14" x14ac:dyDescent="0.2">
      <c r="A36" s="21">
        <f t="shared" si="0"/>
        <v>30</v>
      </c>
      <c r="B36" s="16" t="s">
        <v>70</v>
      </c>
      <c r="C36" s="16">
        <v>1994</v>
      </c>
      <c r="D36" s="16" t="s">
        <v>18</v>
      </c>
      <c r="E36" s="16" t="s">
        <v>71</v>
      </c>
      <c r="F36" s="16" t="s">
        <v>41</v>
      </c>
      <c r="G36" s="16">
        <v>26690</v>
      </c>
      <c r="H36" s="20">
        <v>3</v>
      </c>
      <c r="I36" s="21">
        <f t="shared" si="1"/>
        <v>30</v>
      </c>
      <c r="J36" s="22" t="str">
        <f t="shared" si="2"/>
        <v/>
      </c>
      <c r="K36" s="22" t="str">
        <f t="shared" si="3"/>
        <v/>
      </c>
      <c r="L36"/>
      <c r="M36"/>
      <c r="N36" t="str">
        <f>IF(ISERROR(VLOOKUP(B36,'[1]Zebrik W'!$B$7:$M$1000,12,0)),"",IF(VLOOKUP(B36,'[1]Zebrik W'!$B$7:$M$1000,12,0)=0,"--",VLOOKUP(B36,'[1]Zebrik W'!$B$7:$M$1000,12,0)))</f>
        <v/>
      </c>
    </row>
    <row r="37" spans="1:14" x14ac:dyDescent="0.2">
      <c r="A37" s="21">
        <f t="shared" si="0"/>
        <v>31</v>
      </c>
      <c r="B37" s="16" t="s">
        <v>72</v>
      </c>
      <c r="C37" s="16">
        <v>2001</v>
      </c>
      <c r="D37" s="16" t="s">
        <v>18</v>
      </c>
      <c r="E37" s="16" t="s">
        <v>73</v>
      </c>
      <c r="F37" s="16" t="s">
        <v>20</v>
      </c>
      <c r="G37" s="16">
        <v>26689</v>
      </c>
      <c r="H37" s="20">
        <v>3</v>
      </c>
      <c r="I37" s="21">
        <f t="shared" si="1"/>
        <v>31</v>
      </c>
      <c r="J37" s="22" t="str">
        <f t="shared" si="2"/>
        <v>Junior v roce 2026</v>
      </c>
      <c r="K37" s="22" t="str">
        <f t="shared" si="3"/>
        <v/>
      </c>
      <c r="L37"/>
      <c r="M37"/>
      <c r="N37" t="str">
        <f>IF(ISERROR(VLOOKUP(B37,'[1]Zebrik W'!$B$7:$M$1000,12,0)),"",IF(VLOOKUP(B37,'[1]Zebrik W'!$B$7:$M$1000,12,0)=0,"--",VLOOKUP(B37,'[1]Zebrik W'!$B$7:$M$1000,12,0)))</f>
        <v/>
      </c>
    </row>
    <row r="38" spans="1:14" x14ac:dyDescent="0.2">
      <c r="A38" s="21">
        <f t="shared" si="0"/>
        <v>32</v>
      </c>
      <c r="B38" s="16" t="s">
        <v>74</v>
      </c>
      <c r="C38" s="16">
        <v>1971</v>
      </c>
      <c r="D38" s="16" t="s">
        <v>18</v>
      </c>
      <c r="E38" s="16" t="s">
        <v>19</v>
      </c>
      <c r="F38" s="16" t="s">
        <v>20</v>
      </c>
      <c r="G38" s="16">
        <v>26624</v>
      </c>
      <c r="H38" s="20">
        <v>3</v>
      </c>
      <c r="I38" s="21">
        <f t="shared" si="1"/>
        <v>32</v>
      </c>
      <c r="J38" s="22" t="str">
        <f t="shared" si="2"/>
        <v/>
      </c>
      <c r="K38" s="22" t="str">
        <f t="shared" si="3"/>
        <v/>
      </c>
      <c r="L38"/>
      <c r="M38"/>
      <c r="N38" t="str">
        <f>IF(ISERROR(VLOOKUP(B38,'[1]Zebrik W'!$B$7:$M$1000,12,0)),"",IF(VLOOKUP(B38,'[1]Zebrik W'!$B$7:$M$1000,12,0)=0,"--",VLOOKUP(B38,'[1]Zebrik W'!$B$7:$M$1000,12,0)))</f>
        <v/>
      </c>
    </row>
    <row r="39" spans="1:14" x14ac:dyDescent="0.2">
      <c r="A39" s="21">
        <f t="shared" si="0"/>
        <v>33</v>
      </c>
      <c r="B39" s="16" t="s">
        <v>75</v>
      </c>
      <c r="C39" s="16">
        <v>1983</v>
      </c>
      <c r="D39" s="16" t="s">
        <v>18</v>
      </c>
      <c r="E39" s="16" t="s">
        <v>76</v>
      </c>
      <c r="F39" s="16" t="s">
        <v>20</v>
      </c>
      <c r="G39" s="16">
        <v>26438</v>
      </c>
      <c r="H39" s="20">
        <v>3</v>
      </c>
      <c r="I39" s="21">
        <f t="shared" si="1"/>
        <v>33</v>
      </c>
      <c r="J39" s="22" t="str">
        <f t="shared" si="2"/>
        <v/>
      </c>
      <c r="K39" s="22" t="str">
        <f t="shared" si="3"/>
        <v/>
      </c>
      <c r="L39"/>
      <c r="M39"/>
      <c r="N39" t="str">
        <f>IF(ISERROR(VLOOKUP(B39,'[1]Zebrik W'!$B$7:$M$1000,12,0)),"",IF(VLOOKUP(B39,'[1]Zebrik W'!$B$7:$M$1000,12,0)=0,"--",VLOOKUP(B39,'[1]Zebrik W'!$B$7:$M$1000,12,0)))</f>
        <v/>
      </c>
    </row>
    <row r="40" spans="1:14" x14ac:dyDescent="0.2">
      <c r="A40" s="21">
        <f t="shared" si="0"/>
        <v>34</v>
      </c>
      <c r="B40" s="16" t="s">
        <v>77</v>
      </c>
      <c r="C40" s="16">
        <v>1984</v>
      </c>
      <c r="D40" s="16" t="s">
        <v>18</v>
      </c>
      <c r="E40" s="16" t="s">
        <v>78</v>
      </c>
      <c r="F40" s="16" t="s">
        <v>41</v>
      </c>
      <c r="G40" s="16">
        <v>26422</v>
      </c>
      <c r="H40" s="20">
        <v>3</v>
      </c>
      <c r="I40" s="21">
        <f t="shared" si="1"/>
        <v>34</v>
      </c>
      <c r="J40" s="22" t="str">
        <f t="shared" si="2"/>
        <v/>
      </c>
      <c r="K40" s="22" t="str">
        <f t="shared" si="3"/>
        <v/>
      </c>
      <c r="L40"/>
      <c r="M40"/>
      <c r="N40" t="str">
        <f>IF(ISERROR(VLOOKUP(B40,'[1]Zebrik W'!$B$7:$M$1000,12,0)),"",IF(VLOOKUP(B40,'[1]Zebrik W'!$B$7:$M$1000,12,0)=0,"--",VLOOKUP(B40,'[1]Zebrik W'!$B$7:$M$1000,12,0)))</f>
        <v/>
      </c>
    </row>
    <row r="41" spans="1:14" x14ac:dyDescent="0.2">
      <c r="A41" s="21">
        <f t="shared" si="0"/>
        <v>35</v>
      </c>
      <c r="B41" s="16" t="s">
        <v>79</v>
      </c>
      <c r="C41" s="16">
        <v>1980</v>
      </c>
      <c r="D41" s="16" t="s">
        <v>18</v>
      </c>
      <c r="E41" s="16" t="s">
        <v>80</v>
      </c>
      <c r="F41" s="16" t="s">
        <v>20</v>
      </c>
      <c r="G41" s="16">
        <v>26337</v>
      </c>
      <c r="H41" s="20">
        <v>3</v>
      </c>
      <c r="I41" s="21">
        <f t="shared" si="1"/>
        <v>35</v>
      </c>
      <c r="J41" s="22" t="str">
        <f t="shared" si="2"/>
        <v/>
      </c>
      <c r="K41" s="22" t="str">
        <f t="shared" si="3"/>
        <v/>
      </c>
      <c r="L41"/>
      <c r="M41"/>
      <c r="N41" t="str">
        <f>IF(ISERROR(VLOOKUP(B41,'[1]Zebrik W'!$B$7:$M$1000,12,0)),"",IF(VLOOKUP(B41,'[1]Zebrik W'!$B$7:$M$1000,12,0)=0,"--",VLOOKUP(B41,'[1]Zebrik W'!$B$7:$M$1000,12,0)))</f>
        <v/>
      </c>
    </row>
    <row r="42" spans="1:14" x14ac:dyDescent="0.2">
      <c r="A42" s="21">
        <f t="shared" si="0"/>
        <v>36</v>
      </c>
      <c r="B42" s="16" t="s">
        <v>81</v>
      </c>
      <c r="C42" s="16">
        <v>1995</v>
      </c>
      <c r="D42" s="16" t="s">
        <v>18</v>
      </c>
      <c r="E42" s="16" t="s">
        <v>82</v>
      </c>
      <c r="F42" s="16" t="s">
        <v>20</v>
      </c>
      <c r="G42" s="16">
        <v>26234</v>
      </c>
      <c r="H42" s="20">
        <v>3</v>
      </c>
      <c r="I42" s="21">
        <f t="shared" si="1"/>
        <v>36</v>
      </c>
      <c r="J42" s="22" t="str">
        <f t="shared" si="2"/>
        <v/>
      </c>
      <c r="K42" s="22" t="str">
        <f t="shared" si="3"/>
        <v/>
      </c>
      <c r="L42"/>
      <c r="M42"/>
      <c r="N42" t="str">
        <f>IF(ISERROR(VLOOKUP(B42,'[1]Zebrik W'!$B$7:$M$1000,12,0)),"",IF(VLOOKUP(B42,'[1]Zebrik W'!$B$7:$M$1000,12,0)=0,"--",VLOOKUP(B42,'[1]Zebrik W'!$B$7:$M$1000,12,0)))</f>
        <v/>
      </c>
    </row>
    <row r="43" spans="1:14" x14ac:dyDescent="0.2">
      <c r="A43" s="21">
        <f t="shared" si="0"/>
        <v>37</v>
      </c>
      <c r="B43" s="16" t="s">
        <v>83</v>
      </c>
      <c r="C43" s="16">
        <v>1999</v>
      </c>
      <c r="D43" s="16" t="s">
        <v>18</v>
      </c>
      <c r="E43" s="16" t="s">
        <v>78</v>
      </c>
      <c r="F43" s="16" t="s">
        <v>41</v>
      </c>
      <c r="G43" s="16">
        <v>26226</v>
      </c>
      <c r="H43" s="20">
        <v>3</v>
      </c>
      <c r="I43" s="21">
        <f t="shared" si="1"/>
        <v>37</v>
      </c>
      <c r="J43" s="22" t="str">
        <f t="shared" si="2"/>
        <v/>
      </c>
      <c r="K43" s="22" t="str">
        <f t="shared" si="3"/>
        <v/>
      </c>
      <c r="L43"/>
      <c r="M43"/>
      <c r="N43" t="str">
        <f>IF(ISERROR(VLOOKUP(B43,'[1]Zebrik W'!$B$7:$M$1000,12,0)),"",IF(VLOOKUP(B43,'[1]Zebrik W'!$B$7:$M$1000,12,0)=0,"--",VLOOKUP(B43,'[1]Zebrik W'!$B$7:$M$1000,12,0)))</f>
        <v/>
      </c>
    </row>
    <row r="44" spans="1:14" x14ac:dyDescent="0.2">
      <c r="A44" s="21">
        <f t="shared" si="0"/>
        <v>38</v>
      </c>
      <c r="B44" s="16" t="s">
        <v>84</v>
      </c>
      <c r="C44" s="16">
        <v>1992</v>
      </c>
      <c r="D44" s="16" t="s">
        <v>18</v>
      </c>
      <c r="E44" s="16" t="s">
        <v>57</v>
      </c>
      <c r="F44" s="16" t="s">
        <v>24</v>
      </c>
      <c r="G44" s="16">
        <v>26203</v>
      </c>
      <c r="H44" s="20">
        <v>3</v>
      </c>
      <c r="I44" s="21">
        <f t="shared" si="1"/>
        <v>38</v>
      </c>
      <c r="J44" s="22" t="str">
        <f t="shared" si="2"/>
        <v/>
      </c>
      <c r="K44" s="22" t="str">
        <f t="shared" si="3"/>
        <v/>
      </c>
      <c r="L44"/>
      <c r="M44"/>
      <c r="N44" t="str">
        <f>IF(ISERROR(VLOOKUP(B44,'[1]Zebrik W'!$B$7:$M$1000,12,0)),"",IF(VLOOKUP(B44,'[1]Zebrik W'!$B$7:$M$1000,12,0)=0,"--",VLOOKUP(B44,'[1]Zebrik W'!$B$7:$M$1000,12,0)))</f>
        <v/>
      </c>
    </row>
    <row r="45" spans="1:14" x14ac:dyDescent="0.2">
      <c r="A45" s="21">
        <f t="shared" si="0"/>
        <v>39</v>
      </c>
      <c r="B45" s="16" t="s">
        <v>85</v>
      </c>
      <c r="C45" s="16">
        <v>1984</v>
      </c>
      <c r="D45" s="16" t="s">
        <v>18</v>
      </c>
      <c r="E45" s="16" t="s">
        <v>57</v>
      </c>
      <c r="F45" s="16" t="s">
        <v>24</v>
      </c>
      <c r="G45" s="16">
        <v>26174</v>
      </c>
      <c r="H45" s="20">
        <v>3</v>
      </c>
      <c r="I45" s="21">
        <f t="shared" si="1"/>
        <v>39</v>
      </c>
      <c r="J45" s="22" t="str">
        <f t="shared" si="2"/>
        <v/>
      </c>
      <c r="K45" s="22" t="str">
        <f t="shared" si="3"/>
        <v/>
      </c>
      <c r="L45"/>
      <c r="M45"/>
      <c r="N45" t="str">
        <f>IF(ISERROR(VLOOKUP(B45,'[1]Zebrik W'!$B$7:$M$1000,12,0)),"",IF(VLOOKUP(B45,'[1]Zebrik W'!$B$7:$M$1000,12,0)=0,"--",VLOOKUP(B45,'[1]Zebrik W'!$B$7:$M$1000,12,0)))</f>
        <v/>
      </c>
    </row>
    <row r="46" spans="1:14" x14ac:dyDescent="0.2">
      <c r="A46" s="21">
        <f t="shared" si="0"/>
        <v>40</v>
      </c>
      <c r="B46" s="16" t="s">
        <v>86</v>
      </c>
      <c r="C46" s="16">
        <v>1983</v>
      </c>
      <c r="D46" s="16" t="s">
        <v>18</v>
      </c>
      <c r="E46" s="16" t="s">
        <v>57</v>
      </c>
      <c r="F46" s="16" t="s">
        <v>24</v>
      </c>
      <c r="G46" s="16">
        <v>25777</v>
      </c>
      <c r="H46" s="20">
        <v>3</v>
      </c>
      <c r="I46" s="21">
        <f t="shared" si="1"/>
        <v>40</v>
      </c>
      <c r="J46" s="22" t="str">
        <f t="shared" si="2"/>
        <v/>
      </c>
      <c r="K46" s="22" t="str">
        <f t="shared" si="3"/>
        <v/>
      </c>
      <c r="L46"/>
      <c r="M46"/>
      <c r="N46" t="str">
        <f>IF(ISERROR(VLOOKUP(B46,'[1]Zebrik W'!$B$7:$M$1000,12,0)),"",IF(VLOOKUP(B46,'[1]Zebrik W'!$B$7:$M$1000,12,0)=0,"--",VLOOKUP(B46,'[1]Zebrik W'!$B$7:$M$1000,12,0)))</f>
        <v/>
      </c>
    </row>
    <row r="47" spans="1:14" x14ac:dyDescent="0.2">
      <c r="A47" s="21">
        <f t="shared" si="0"/>
        <v>41</v>
      </c>
      <c r="B47" s="16" t="s">
        <v>87</v>
      </c>
      <c r="C47" s="16">
        <v>1993</v>
      </c>
      <c r="D47" s="16" t="s">
        <v>18</v>
      </c>
      <c r="E47" s="16" t="s">
        <v>45</v>
      </c>
      <c r="F47" s="16" t="s">
        <v>24</v>
      </c>
      <c r="G47" s="16">
        <v>25754</v>
      </c>
      <c r="H47" s="20">
        <v>3</v>
      </c>
      <c r="I47" s="21">
        <f t="shared" si="1"/>
        <v>41</v>
      </c>
      <c r="J47" s="22" t="str">
        <f t="shared" si="2"/>
        <v/>
      </c>
      <c r="K47" s="22" t="str">
        <f t="shared" si="3"/>
        <v/>
      </c>
      <c r="L47"/>
      <c r="M47"/>
      <c r="N47" t="str">
        <f>IF(ISERROR(VLOOKUP(B47,'[1]Zebrik W'!$B$7:$M$1000,12,0)),"",IF(VLOOKUP(B47,'[1]Zebrik W'!$B$7:$M$1000,12,0)=0,"--",VLOOKUP(B47,'[1]Zebrik W'!$B$7:$M$1000,12,0)))</f>
        <v/>
      </c>
    </row>
    <row r="48" spans="1:14" x14ac:dyDescent="0.2">
      <c r="A48" s="21">
        <f t="shared" si="0"/>
        <v>42</v>
      </c>
      <c r="B48" s="16" t="s">
        <v>88</v>
      </c>
      <c r="C48" s="16">
        <v>1979</v>
      </c>
      <c r="D48" s="16" t="s">
        <v>18</v>
      </c>
      <c r="E48" s="16" t="s">
        <v>29</v>
      </c>
      <c r="F48" s="16" t="s">
        <v>24</v>
      </c>
      <c r="G48" s="16">
        <v>25724</v>
      </c>
      <c r="H48" s="20">
        <v>3</v>
      </c>
      <c r="I48" s="21">
        <f t="shared" si="1"/>
        <v>42</v>
      </c>
      <c r="J48" s="22" t="str">
        <f t="shared" si="2"/>
        <v/>
      </c>
      <c r="K48" s="22" t="str">
        <f t="shared" si="3"/>
        <v/>
      </c>
      <c r="L48"/>
      <c r="M48"/>
      <c r="N48" t="str">
        <f>IF(ISERROR(VLOOKUP(B48,'[1]Zebrik W'!$B$7:$M$1000,12,0)),"",IF(VLOOKUP(B48,'[1]Zebrik W'!$B$7:$M$1000,12,0)=0,"--",VLOOKUP(B48,'[1]Zebrik W'!$B$7:$M$1000,12,0)))</f>
        <v/>
      </c>
    </row>
    <row r="49" spans="1:14" x14ac:dyDescent="0.2">
      <c r="A49" s="21">
        <f t="shared" si="0"/>
        <v>43</v>
      </c>
      <c r="B49" s="16" t="s">
        <v>89</v>
      </c>
      <c r="C49" s="16">
        <v>1970</v>
      </c>
      <c r="D49" s="16" t="s">
        <v>49</v>
      </c>
      <c r="E49" s="16" t="s">
        <v>31</v>
      </c>
      <c r="F49" s="16" t="s">
        <v>24</v>
      </c>
      <c r="G49" s="16">
        <v>25657</v>
      </c>
      <c r="H49" s="20">
        <v>3</v>
      </c>
      <c r="I49" s="21">
        <f t="shared" si="1"/>
        <v>43</v>
      </c>
      <c r="J49" s="22" t="str">
        <f t="shared" si="2"/>
        <v/>
      </c>
      <c r="K49" s="22" t="str">
        <f t="shared" si="3"/>
        <v/>
      </c>
      <c r="L49"/>
      <c r="M49" t="s">
        <v>21</v>
      </c>
      <c r="N49" t="str">
        <f>IF(ISERROR(VLOOKUP(B49,'[1]Zebrik W'!$B$7:$M$1000,12,0)),"",IF(VLOOKUP(B49,'[1]Zebrik W'!$B$7:$M$1000,12,0)=0,"--",VLOOKUP(B49,'[1]Zebrik W'!$B$7:$M$1000,12,0)))</f>
        <v>WRV 2026</v>
      </c>
    </row>
    <row r="50" spans="1:14" x14ac:dyDescent="0.2">
      <c r="A50" s="21">
        <f t="shared" si="0"/>
        <v>44</v>
      </c>
      <c r="B50" s="16" t="s">
        <v>90</v>
      </c>
      <c r="C50" s="16">
        <v>1966</v>
      </c>
      <c r="D50" s="16" t="s">
        <v>18</v>
      </c>
      <c r="E50" s="16" t="s">
        <v>27</v>
      </c>
      <c r="F50" s="16" t="s">
        <v>20</v>
      </c>
      <c r="G50" s="16">
        <v>25346</v>
      </c>
      <c r="H50" s="20">
        <v>3</v>
      </c>
      <c r="I50" s="21">
        <f t="shared" si="1"/>
        <v>44</v>
      </c>
      <c r="J50" s="22" t="str">
        <f t="shared" si="2"/>
        <v/>
      </c>
      <c r="K50" s="22" t="str">
        <f t="shared" si="3"/>
        <v/>
      </c>
      <c r="L50"/>
      <c r="M50"/>
      <c r="N50" t="str">
        <f>IF(ISERROR(VLOOKUP(B50,'[1]Zebrik W'!$B$7:$M$1000,12,0)),"",IF(VLOOKUP(B50,'[1]Zebrik W'!$B$7:$M$1000,12,0)=0,"--",VLOOKUP(B50,'[1]Zebrik W'!$B$7:$M$1000,12,0)))</f>
        <v/>
      </c>
    </row>
    <row r="51" spans="1:14" x14ac:dyDescent="0.2">
      <c r="A51" s="21">
        <f t="shared" si="0"/>
        <v>45</v>
      </c>
      <c r="B51" s="16" t="s">
        <v>91</v>
      </c>
      <c r="C51" s="16">
        <v>1969</v>
      </c>
      <c r="D51" s="16" t="s">
        <v>18</v>
      </c>
      <c r="E51" s="16" t="s">
        <v>80</v>
      </c>
      <c r="F51" s="16" t="s">
        <v>20</v>
      </c>
      <c r="G51" s="16">
        <v>25104</v>
      </c>
      <c r="H51" s="20">
        <v>3</v>
      </c>
      <c r="I51" s="21">
        <f t="shared" si="1"/>
        <v>45</v>
      </c>
      <c r="J51" s="22" t="str">
        <f t="shared" si="2"/>
        <v/>
      </c>
      <c r="K51" s="22" t="str">
        <f t="shared" si="3"/>
        <v/>
      </c>
      <c r="L51"/>
      <c r="M51"/>
      <c r="N51" t="str">
        <f>IF(ISERROR(VLOOKUP(B51,'[1]Zebrik W'!$B$7:$M$1000,12,0)),"",IF(VLOOKUP(B51,'[1]Zebrik W'!$B$7:$M$1000,12,0)=0,"--",VLOOKUP(B51,'[1]Zebrik W'!$B$7:$M$1000,12,0)))</f>
        <v/>
      </c>
    </row>
    <row r="52" spans="1:14" x14ac:dyDescent="0.2">
      <c r="A52" s="21">
        <f t="shared" si="0"/>
        <v>46</v>
      </c>
      <c r="B52" s="16" t="s">
        <v>92</v>
      </c>
      <c r="C52" s="16">
        <v>2004</v>
      </c>
      <c r="D52" s="16" t="s">
        <v>18</v>
      </c>
      <c r="E52" s="16" t="s">
        <v>93</v>
      </c>
      <c r="F52" s="16" t="s">
        <v>24</v>
      </c>
      <c r="G52" s="16">
        <v>24979</v>
      </c>
      <c r="H52" s="20">
        <v>3</v>
      </c>
      <c r="I52" s="21">
        <f t="shared" si="1"/>
        <v>46</v>
      </c>
      <c r="J52" s="22" t="str">
        <f t="shared" si="2"/>
        <v>Junior v roce 2026</v>
      </c>
      <c r="K52" s="22" t="str">
        <f t="shared" si="3"/>
        <v>Junior v roce 2027</v>
      </c>
      <c r="L52"/>
      <c r="M52"/>
      <c r="N52" t="str">
        <f>IF(ISERROR(VLOOKUP(B52,'[1]Zebrik W'!$B$7:$M$1000,12,0)),"",IF(VLOOKUP(B52,'[1]Zebrik W'!$B$7:$M$1000,12,0)=0,"--",VLOOKUP(B52,'[1]Zebrik W'!$B$7:$M$1000,12,0)))</f>
        <v/>
      </c>
    </row>
    <row r="53" spans="1:14" x14ac:dyDescent="0.2">
      <c r="A53" s="21">
        <f t="shared" si="0"/>
        <v>47</v>
      </c>
      <c r="B53" s="16" t="s">
        <v>94</v>
      </c>
      <c r="C53" s="16">
        <v>1988</v>
      </c>
      <c r="D53" s="16" t="s">
        <v>18</v>
      </c>
      <c r="E53" s="16" t="s">
        <v>95</v>
      </c>
      <c r="F53" s="16" t="s">
        <v>24</v>
      </c>
      <c r="G53" s="16">
        <v>24600</v>
      </c>
      <c r="H53" s="20">
        <v>3</v>
      </c>
      <c r="I53" s="21">
        <f t="shared" si="1"/>
        <v>47</v>
      </c>
      <c r="J53" s="22" t="str">
        <f t="shared" si="2"/>
        <v/>
      </c>
      <c r="K53" s="22" t="str">
        <f t="shared" si="3"/>
        <v/>
      </c>
      <c r="L53"/>
      <c r="N53" t="str">
        <f>IF(ISERROR(VLOOKUP(B53,'[1]Zebrik W'!$B$7:$M$1000,12,0)),"",IF(VLOOKUP(B53,'[1]Zebrik W'!$B$7:$M$1000,12,0)=0,"--",VLOOKUP(B53,'[1]Zebrik W'!$B$7:$M$1000,12,0)))</f>
        <v/>
      </c>
    </row>
    <row r="54" spans="1:14" x14ac:dyDescent="0.2">
      <c r="A54" s="21">
        <f t="shared" si="0"/>
        <v>48</v>
      </c>
      <c r="B54" s="16" t="s">
        <v>96</v>
      </c>
      <c r="C54" s="16">
        <v>1989</v>
      </c>
      <c r="D54" s="16" t="s">
        <v>18</v>
      </c>
      <c r="E54" s="16" t="s">
        <v>97</v>
      </c>
      <c r="F54" s="16" t="s">
        <v>24</v>
      </c>
      <c r="G54" s="16">
        <v>24447</v>
      </c>
      <c r="H54" s="20">
        <v>3</v>
      </c>
      <c r="I54" s="21">
        <f t="shared" si="1"/>
        <v>48</v>
      </c>
      <c r="J54" s="22" t="str">
        <f t="shared" si="2"/>
        <v/>
      </c>
      <c r="K54" s="22" t="str">
        <f t="shared" si="3"/>
        <v/>
      </c>
      <c r="L54"/>
      <c r="M54"/>
      <c r="N54" t="str">
        <f>IF(ISERROR(VLOOKUP(B54,'[1]Zebrik W'!$B$7:$M$1000,12,0)),"",IF(VLOOKUP(B54,'[1]Zebrik W'!$B$7:$M$1000,12,0)=0,"--",VLOOKUP(B54,'[1]Zebrik W'!$B$7:$M$1000,12,0)))</f>
        <v/>
      </c>
    </row>
    <row r="55" spans="1:14" x14ac:dyDescent="0.2">
      <c r="A55" s="21">
        <f t="shared" si="0"/>
        <v>49</v>
      </c>
      <c r="B55" s="16" t="s">
        <v>98</v>
      </c>
      <c r="C55" s="16">
        <v>1967</v>
      </c>
      <c r="D55" s="16" t="s">
        <v>18</v>
      </c>
      <c r="E55" s="16" t="s">
        <v>99</v>
      </c>
      <c r="F55" s="16" t="s">
        <v>24</v>
      </c>
      <c r="G55" s="16">
        <v>24373</v>
      </c>
      <c r="H55" s="20">
        <v>3</v>
      </c>
      <c r="I55" s="21">
        <f t="shared" si="1"/>
        <v>49</v>
      </c>
      <c r="J55" s="22" t="str">
        <f t="shared" si="2"/>
        <v/>
      </c>
      <c r="K55" s="22" t="str">
        <f t="shared" si="3"/>
        <v/>
      </c>
      <c r="L55"/>
      <c r="M55"/>
      <c r="N55" t="str">
        <f>IF(ISERROR(VLOOKUP(B55,'[1]Zebrik W'!$B$7:$M$1000,12,0)),"",IF(VLOOKUP(B55,'[1]Zebrik W'!$B$7:$M$1000,12,0)=0,"--",VLOOKUP(B55,'[1]Zebrik W'!$B$7:$M$1000,12,0)))</f>
        <v/>
      </c>
    </row>
    <row r="56" spans="1:14" x14ac:dyDescent="0.2">
      <c r="A56" s="21">
        <f t="shared" si="0"/>
        <v>50</v>
      </c>
      <c r="B56" s="16" t="s">
        <v>100</v>
      </c>
      <c r="C56" s="16">
        <v>1969</v>
      </c>
      <c r="D56" s="16" t="s">
        <v>18</v>
      </c>
      <c r="E56" s="16" t="s">
        <v>101</v>
      </c>
      <c r="F56" s="16" t="s">
        <v>20</v>
      </c>
      <c r="G56" s="16">
        <v>24314</v>
      </c>
      <c r="H56" s="20">
        <v>3</v>
      </c>
      <c r="I56" s="21">
        <f t="shared" si="1"/>
        <v>50</v>
      </c>
      <c r="J56" s="22" t="str">
        <f t="shared" si="2"/>
        <v/>
      </c>
      <c r="K56" s="22" t="str">
        <f t="shared" si="3"/>
        <v/>
      </c>
      <c r="L56"/>
      <c r="M56"/>
      <c r="N56" t="str">
        <f>IF(ISERROR(VLOOKUP(B56,'[1]Zebrik W'!$B$7:$M$1000,12,0)),"",IF(VLOOKUP(B56,'[1]Zebrik W'!$B$7:$M$1000,12,0)=0,"--",VLOOKUP(B56,'[1]Zebrik W'!$B$7:$M$1000,12,0)))</f>
        <v/>
      </c>
    </row>
    <row r="57" spans="1:14" x14ac:dyDescent="0.2">
      <c r="A57" s="21">
        <f t="shared" si="0"/>
        <v>51</v>
      </c>
      <c r="B57" s="16" t="s">
        <v>102</v>
      </c>
      <c r="C57" s="16">
        <v>1974</v>
      </c>
      <c r="D57" s="16" t="s">
        <v>18</v>
      </c>
      <c r="E57" s="16" t="s">
        <v>103</v>
      </c>
      <c r="F57" s="16" t="s">
        <v>41</v>
      </c>
      <c r="G57" s="16">
        <v>24261</v>
      </c>
      <c r="H57" s="20">
        <v>3</v>
      </c>
      <c r="I57" s="21">
        <f t="shared" si="1"/>
        <v>51</v>
      </c>
      <c r="J57" s="22" t="str">
        <f t="shared" si="2"/>
        <v/>
      </c>
      <c r="K57" s="22" t="str">
        <f t="shared" si="3"/>
        <v/>
      </c>
      <c r="L57"/>
      <c r="M57"/>
      <c r="N57" t="str">
        <f>IF(ISERROR(VLOOKUP(B57,'[1]Zebrik W'!$B$7:$M$1000,12,0)),"",IF(VLOOKUP(B57,'[1]Zebrik W'!$B$7:$M$1000,12,0)=0,"--",VLOOKUP(B57,'[1]Zebrik W'!$B$7:$M$1000,12,0)))</f>
        <v/>
      </c>
    </row>
    <row r="58" spans="1:14" x14ac:dyDescent="0.2">
      <c r="A58" s="21">
        <f t="shared" si="0"/>
        <v>52</v>
      </c>
      <c r="B58" s="16" t="s">
        <v>104</v>
      </c>
      <c r="C58" s="16">
        <v>1978</v>
      </c>
      <c r="D58" s="16" t="s">
        <v>18</v>
      </c>
      <c r="E58" s="16" t="s">
        <v>105</v>
      </c>
      <c r="F58" s="16" t="s">
        <v>20</v>
      </c>
      <c r="G58" s="16">
        <v>24135</v>
      </c>
      <c r="H58" s="20">
        <v>3</v>
      </c>
      <c r="I58" s="21">
        <f t="shared" si="1"/>
        <v>52</v>
      </c>
      <c r="J58" s="22" t="str">
        <f t="shared" si="2"/>
        <v/>
      </c>
      <c r="K58" s="22" t="str">
        <f t="shared" si="3"/>
        <v/>
      </c>
      <c r="L58"/>
      <c r="M58"/>
      <c r="N58" t="str">
        <f>IF(ISERROR(VLOOKUP(B58,'[1]Zebrik W'!$B$7:$M$1000,12,0)),"",IF(VLOOKUP(B58,'[1]Zebrik W'!$B$7:$M$1000,12,0)=0,"--",VLOOKUP(B58,'[1]Zebrik W'!$B$7:$M$1000,12,0)))</f>
        <v/>
      </c>
    </row>
    <row r="59" spans="1:14" x14ac:dyDescent="0.2">
      <c r="A59" s="21">
        <f t="shared" si="0"/>
        <v>53</v>
      </c>
      <c r="B59" s="16" t="s">
        <v>106</v>
      </c>
      <c r="C59" s="16">
        <v>1999</v>
      </c>
      <c r="D59" s="16" t="s">
        <v>18</v>
      </c>
      <c r="E59" s="16" t="s">
        <v>97</v>
      </c>
      <c r="F59" s="16" t="s">
        <v>24</v>
      </c>
      <c r="G59" s="16">
        <v>24128</v>
      </c>
      <c r="H59" s="20">
        <v>3</v>
      </c>
      <c r="I59" s="21">
        <f t="shared" si="1"/>
        <v>53</v>
      </c>
      <c r="J59" s="22" t="str">
        <f t="shared" si="2"/>
        <v/>
      </c>
      <c r="K59" s="22" t="str">
        <f t="shared" si="3"/>
        <v/>
      </c>
      <c r="L59"/>
      <c r="M59"/>
      <c r="N59" t="str">
        <f>IF(ISERROR(VLOOKUP(B59,'[1]Zebrik W'!$B$7:$M$1000,12,0)),"",IF(VLOOKUP(B59,'[1]Zebrik W'!$B$7:$M$1000,12,0)=0,"--",VLOOKUP(B59,'[1]Zebrik W'!$B$7:$M$1000,12,0)))</f>
        <v/>
      </c>
    </row>
    <row r="60" spans="1:14" x14ac:dyDescent="0.2">
      <c r="A60" s="21">
        <f t="shared" si="0"/>
        <v>54</v>
      </c>
      <c r="B60" s="16" t="s">
        <v>107</v>
      </c>
      <c r="C60" s="16">
        <v>1975</v>
      </c>
      <c r="D60" s="16" t="s">
        <v>18</v>
      </c>
      <c r="E60" s="16" t="s">
        <v>65</v>
      </c>
      <c r="F60" s="16" t="s">
        <v>41</v>
      </c>
      <c r="G60" s="16">
        <v>24049</v>
      </c>
      <c r="H60" s="20">
        <v>3</v>
      </c>
      <c r="I60" s="21">
        <f t="shared" si="1"/>
        <v>54</v>
      </c>
      <c r="J60" s="22" t="str">
        <f t="shared" si="2"/>
        <v/>
      </c>
      <c r="K60" s="22" t="str">
        <f t="shared" si="3"/>
        <v/>
      </c>
      <c r="L60"/>
      <c r="M60"/>
      <c r="N60" t="str">
        <f>IF(ISERROR(VLOOKUP(B60,'[1]Zebrik W'!$B$7:$M$1000,12,0)),"",IF(VLOOKUP(B60,'[1]Zebrik W'!$B$7:$M$1000,12,0)=0,"--",VLOOKUP(B60,'[1]Zebrik W'!$B$7:$M$1000,12,0)))</f>
        <v/>
      </c>
    </row>
    <row r="61" spans="1:14" x14ac:dyDescent="0.2">
      <c r="A61" s="21">
        <f t="shared" si="0"/>
        <v>55</v>
      </c>
      <c r="B61" s="16" t="s">
        <v>108</v>
      </c>
      <c r="C61" s="16">
        <v>1986</v>
      </c>
      <c r="D61" s="16" t="s">
        <v>18</v>
      </c>
      <c r="E61" s="16" t="s">
        <v>38</v>
      </c>
      <c r="F61" s="16" t="s">
        <v>24</v>
      </c>
      <c r="G61" s="16">
        <v>23896</v>
      </c>
      <c r="H61" s="20">
        <v>3</v>
      </c>
      <c r="I61" s="21">
        <f t="shared" si="1"/>
        <v>55</v>
      </c>
      <c r="J61" s="22" t="str">
        <f t="shared" si="2"/>
        <v/>
      </c>
      <c r="K61" s="22" t="str">
        <f t="shared" si="3"/>
        <v/>
      </c>
      <c r="L61"/>
      <c r="M61"/>
      <c r="N61" t="str">
        <f>IF(ISERROR(VLOOKUP(B61,'[1]Zebrik W'!$B$7:$M$1000,12,0)),"",IF(VLOOKUP(B61,'[1]Zebrik W'!$B$7:$M$1000,12,0)=0,"--",VLOOKUP(B61,'[1]Zebrik W'!$B$7:$M$1000,12,0)))</f>
        <v/>
      </c>
    </row>
    <row r="62" spans="1:14" x14ac:dyDescent="0.2">
      <c r="A62" s="21">
        <f t="shared" si="0"/>
        <v>56</v>
      </c>
      <c r="B62" s="16" t="s">
        <v>109</v>
      </c>
      <c r="C62" s="16">
        <v>1980</v>
      </c>
      <c r="D62" s="16" t="s">
        <v>18</v>
      </c>
      <c r="E62" s="16" t="s">
        <v>67</v>
      </c>
      <c r="F62" s="16" t="s">
        <v>41</v>
      </c>
      <c r="G62" s="16">
        <v>23895</v>
      </c>
      <c r="H62" s="20">
        <v>3</v>
      </c>
      <c r="I62" s="21">
        <f t="shared" si="1"/>
        <v>56</v>
      </c>
      <c r="J62" s="22" t="str">
        <f t="shared" si="2"/>
        <v/>
      </c>
      <c r="K62" s="22" t="str">
        <f t="shared" si="3"/>
        <v/>
      </c>
      <c r="L62"/>
      <c r="M62"/>
      <c r="N62" t="str">
        <f>IF(ISERROR(VLOOKUP(B62,'[1]Zebrik W'!$B$7:$M$1000,12,0)),"",IF(VLOOKUP(B62,'[1]Zebrik W'!$B$7:$M$1000,12,0)=0,"--",VLOOKUP(B62,'[1]Zebrik W'!$B$7:$M$1000,12,0)))</f>
        <v/>
      </c>
    </row>
    <row r="63" spans="1:14" x14ac:dyDescent="0.2">
      <c r="A63" s="21">
        <f t="shared" si="0"/>
        <v>57</v>
      </c>
      <c r="B63" s="16" t="s">
        <v>110</v>
      </c>
      <c r="C63" s="16">
        <v>1972</v>
      </c>
      <c r="D63" s="16" t="s">
        <v>18</v>
      </c>
      <c r="E63" s="16" t="s">
        <v>111</v>
      </c>
      <c r="F63" s="16" t="s">
        <v>20</v>
      </c>
      <c r="G63" s="16">
        <v>23841</v>
      </c>
      <c r="H63" s="20">
        <v>3</v>
      </c>
      <c r="I63" s="21">
        <f t="shared" si="1"/>
        <v>57</v>
      </c>
      <c r="J63" s="22" t="str">
        <f t="shared" si="2"/>
        <v/>
      </c>
      <c r="K63" s="22" t="str">
        <f t="shared" si="3"/>
        <v/>
      </c>
      <c r="L63"/>
      <c r="M63"/>
      <c r="N63" t="str">
        <f>IF(ISERROR(VLOOKUP(B63,'[1]Zebrik W'!$B$7:$M$1000,12,0)),"",IF(VLOOKUP(B63,'[1]Zebrik W'!$B$7:$M$1000,12,0)=0,"--",VLOOKUP(B63,'[1]Zebrik W'!$B$7:$M$1000,12,0)))</f>
        <v/>
      </c>
    </row>
    <row r="64" spans="1:14" x14ac:dyDescent="0.2">
      <c r="A64" s="21">
        <f t="shared" si="0"/>
        <v>58</v>
      </c>
      <c r="B64" s="16" t="s">
        <v>112</v>
      </c>
      <c r="C64" s="16">
        <v>1965</v>
      </c>
      <c r="D64" s="16" t="s">
        <v>49</v>
      </c>
      <c r="E64" s="16" t="s">
        <v>38</v>
      </c>
      <c r="F64" s="16" t="s">
        <v>24</v>
      </c>
      <c r="G64" s="16">
        <v>23751</v>
      </c>
      <c r="H64" s="20">
        <v>3</v>
      </c>
      <c r="I64" s="21">
        <f t="shared" si="1"/>
        <v>58</v>
      </c>
      <c r="J64" s="22" t="str">
        <f t="shared" si="2"/>
        <v/>
      </c>
      <c r="K64" s="22" t="str">
        <f t="shared" si="3"/>
        <v/>
      </c>
      <c r="L64"/>
      <c r="M64" t="s">
        <v>21</v>
      </c>
      <c r="N64" t="str">
        <f>IF(ISERROR(VLOOKUP(B64,'[1]Zebrik W'!$B$7:$M$1000,12,0)),"",IF(VLOOKUP(B64,'[1]Zebrik W'!$B$7:$M$1000,12,0)=0,"--",VLOOKUP(B64,'[1]Zebrik W'!$B$7:$M$1000,12,0)))</f>
        <v>WRV 2026</v>
      </c>
    </row>
    <row r="65" spans="1:14" x14ac:dyDescent="0.2">
      <c r="A65" s="21">
        <f t="shared" si="0"/>
        <v>59</v>
      </c>
      <c r="B65" s="16" t="s">
        <v>113</v>
      </c>
      <c r="C65" s="16">
        <v>1981</v>
      </c>
      <c r="D65" s="16" t="s">
        <v>18</v>
      </c>
      <c r="E65" s="16" t="s">
        <v>111</v>
      </c>
      <c r="F65" s="16" t="s">
        <v>20</v>
      </c>
      <c r="G65" s="16">
        <v>23617</v>
      </c>
      <c r="H65" s="20">
        <v>3</v>
      </c>
      <c r="I65" s="21">
        <f t="shared" si="1"/>
        <v>59</v>
      </c>
      <c r="J65" s="22" t="str">
        <f t="shared" si="2"/>
        <v/>
      </c>
      <c r="K65" s="22" t="str">
        <f t="shared" si="3"/>
        <v/>
      </c>
      <c r="L65"/>
      <c r="M65"/>
      <c r="N65" t="str">
        <f>IF(ISERROR(VLOOKUP(B65,'[1]Zebrik W'!$B$7:$M$1000,12,0)),"",IF(VLOOKUP(B65,'[1]Zebrik W'!$B$7:$M$1000,12,0)=0,"--",VLOOKUP(B65,'[1]Zebrik W'!$B$7:$M$1000,12,0)))</f>
        <v/>
      </c>
    </row>
    <row r="66" spans="1:14" x14ac:dyDescent="0.2">
      <c r="A66" s="21">
        <f t="shared" si="0"/>
        <v>60</v>
      </c>
      <c r="B66" s="16" t="s">
        <v>114</v>
      </c>
      <c r="C66" s="16">
        <v>2005</v>
      </c>
      <c r="D66" s="16" t="s">
        <v>18</v>
      </c>
      <c r="E66" s="16" t="s">
        <v>115</v>
      </c>
      <c r="F66" s="16" t="s">
        <v>24</v>
      </c>
      <c r="G66" s="16">
        <v>23570</v>
      </c>
      <c r="H66" s="20">
        <v>3</v>
      </c>
      <c r="I66" s="21">
        <f t="shared" si="1"/>
        <v>60</v>
      </c>
      <c r="J66" s="22" t="str">
        <f t="shared" si="2"/>
        <v>Junior v roce 2026</v>
      </c>
      <c r="K66" s="22" t="str">
        <f t="shared" si="3"/>
        <v>Junior v roce 2027</v>
      </c>
      <c r="L66"/>
      <c r="M66"/>
      <c r="N66" t="str">
        <f>IF(ISERROR(VLOOKUP(B66,'[1]Zebrik W'!$B$7:$M$1000,12,0)),"",IF(VLOOKUP(B66,'[1]Zebrik W'!$B$7:$M$1000,12,0)=0,"--",VLOOKUP(B66,'[1]Zebrik W'!$B$7:$M$1000,12,0)))</f>
        <v/>
      </c>
    </row>
    <row r="67" spans="1:14" x14ac:dyDescent="0.2">
      <c r="A67" s="21">
        <f t="shared" si="0"/>
        <v>61</v>
      </c>
      <c r="B67" s="16" t="s">
        <v>116</v>
      </c>
      <c r="C67" s="16">
        <v>2005</v>
      </c>
      <c r="D67" s="16" t="s">
        <v>18</v>
      </c>
      <c r="E67" s="16" t="s">
        <v>33</v>
      </c>
      <c r="F67" s="16" t="s">
        <v>20</v>
      </c>
      <c r="G67" s="16">
        <v>23533</v>
      </c>
      <c r="H67" s="20">
        <v>3</v>
      </c>
      <c r="I67" s="21">
        <f t="shared" si="1"/>
        <v>61</v>
      </c>
      <c r="J67" s="22" t="str">
        <f t="shared" si="2"/>
        <v>Junior v roce 2026</v>
      </c>
      <c r="K67" s="22" t="str">
        <f t="shared" si="3"/>
        <v>Junior v roce 2027</v>
      </c>
      <c r="L67"/>
      <c r="M67" t="s">
        <v>21</v>
      </c>
      <c r="N67" t="str">
        <f>IF(ISERROR(VLOOKUP(B67,'[1]Zebrik W'!$B$7:$M$1000,12,0)),"",IF(VLOOKUP(B67,'[1]Zebrik W'!$B$7:$M$1000,12,0)=0,"--",VLOOKUP(B67,'[1]Zebrik W'!$B$7:$M$1000,12,0)))</f>
        <v/>
      </c>
    </row>
    <row r="68" spans="1:14" x14ac:dyDescent="0.2">
      <c r="A68" s="21">
        <f t="shared" si="0"/>
        <v>62</v>
      </c>
      <c r="B68" s="16" t="s">
        <v>117</v>
      </c>
      <c r="C68" s="16">
        <v>1994</v>
      </c>
      <c r="D68" s="16" t="s">
        <v>49</v>
      </c>
      <c r="E68" s="16" t="s">
        <v>31</v>
      </c>
      <c r="F68" s="16" t="s">
        <v>24</v>
      </c>
      <c r="G68" s="16">
        <v>23439</v>
      </c>
      <c r="H68" s="20">
        <v>3</v>
      </c>
      <c r="I68" s="21">
        <f t="shared" si="1"/>
        <v>62</v>
      </c>
      <c r="J68" s="22" t="str">
        <f t="shared" si="2"/>
        <v/>
      </c>
      <c r="K68" s="22" t="str">
        <f t="shared" si="3"/>
        <v/>
      </c>
      <c r="L68"/>
      <c r="M68" t="s">
        <v>21</v>
      </c>
      <c r="N68" t="str">
        <f>IF(ISERROR(VLOOKUP(B68,'[1]Zebrik W'!$B$7:$M$1000,12,0)),"",IF(VLOOKUP(B68,'[1]Zebrik W'!$B$7:$M$1000,12,0)=0,"--",VLOOKUP(B68,'[1]Zebrik W'!$B$7:$M$1000,12,0)))</f>
        <v>WRV 2026</v>
      </c>
    </row>
    <row r="69" spans="1:14" x14ac:dyDescent="0.2">
      <c r="A69" s="21">
        <f t="shared" si="0"/>
        <v>63</v>
      </c>
      <c r="B69" s="16" t="s">
        <v>118</v>
      </c>
      <c r="C69" s="16">
        <v>1974</v>
      </c>
      <c r="D69" s="16" t="s">
        <v>18</v>
      </c>
      <c r="E69" s="16" t="s">
        <v>57</v>
      </c>
      <c r="F69" s="16" t="s">
        <v>24</v>
      </c>
      <c r="G69" s="16">
        <v>23325</v>
      </c>
      <c r="H69" s="20">
        <v>3</v>
      </c>
      <c r="I69" s="21">
        <f t="shared" si="1"/>
        <v>63</v>
      </c>
      <c r="J69" s="22" t="str">
        <f t="shared" si="2"/>
        <v/>
      </c>
      <c r="K69" s="22" t="str">
        <f t="shared" si="3"/>
        <v/>
      </c>
      <c r="L69"/>
      <c r="M69"/>
      <c r="N69" t="str">
        <f>IF(ISERROR(VLOOKUP(B69,'[1]Zebrik W'!$B$7:$M$1000,12,0)),"",IF(VLOOKUP(B69,'[1]Zebrik W'!$B$7:$M$1000,12,0)=0,"--",VLOOKUP(B69,'[1]Zebrik W'!$B$7:$M$1000,12,0)))</f>
        <v/>
      </c>
    </row>
    <row r="70" spans="1:14" x14ac:dyDescent="0.2">
      <c r="A70" s="21">
        <f t="shared" si="0"/>
        <v>64</v>
      </c>
      <c r="B70" s="16" t="s">
        <v>119</v>
      </c>
      <c r="C70" s="16">
        <v>1963</v>
      </c>
      <c r="D70" s="16" t="s">
        <v>49</v>
      </c>
      <c r="E70" s="16" t="s">
        <v>59</v>
      </c>
      <c r="F70" s="16" t="s">
        <v>41</v>
      </c>
      <c r="G70" s="16">
        <v>23262</v>
      </c>
      <c r="H70" s="20">
        <v>3</v>
      </c>
      <c r="I70" s="21">
        <f t="shared" si="1"/>
        <v>64</v>
      </c>
      <c r="J70" s="22" t="str">
        <f t="shared" si="2"/>
        <v/>
      </c>
      <c r="K70" s="22" t="str">
        <f t="shared" si="3"/>
        <v/>
      </c>
      <c r="L70"/>
      <c r="M70" t="s">
        <v>21</v>
      </c>
      <c r="N70" t="str">
        <f>IF(ISERROR(VLOOKUP(B70,'[1]Zebrik W'!$B$7:$M$1000,12,0)),"",IF(VLOOKUP(B70,'[1]Zebrik W'!$B$7:$M$1000,12,0)=0,"--",VLOOKUP(B70,'[1]Zebrik W'!$B$7:$M$1000,12,0)))</f>
        <v>WRV 2026</v>
      </c>
    </row>
    <row r="71" spans="1:14" x14ac:dyDescent="0.2">
      <c r="A71" s="21">
        <f t="shared" ref="A71:A134" si="4">RANK(G71,G:G)</f>
        <v>65</v>
      </c>
      <c r="B71" s="16" t="s">
        <v>120</v>
      </c>
      <c r="C71" s="16">
        <v>1990</v>
      </c>
      <c r="D71" s="16" t="s">
        <v>18</v>
      </c>
      <c r="E71" s="16" t="s">
        <v>59</v>
      </c>
      <c r="F71" s="16" t="s">
        <v>41</v>
      </c>
      <c r="G71" s="16">
        <v>23248</v>
      </c>
      <c r="H71" s="20">
        <v>3</v>
      </c>
      <c r="I71" s="21">
        <f t="shared" si="1"/>
        <v>65</v>
      </c>
      <c r="J71" s="22" t="str">
        <f t="shared" si="2"/>
        <v/>
      </c>
      <c r="K71" s="22" t="str">
        <f t="shared" si="3"/>
        <v/>
      </c>
      <c r="L71"/>
      <c r="N71" t="str">
        <f>IF(ISERROR(VLOOKUP(B71,'[1]Zebrik W'!$B$7:$M$1000,12,0)),"",IF(VLOOKUP(B71,'[1]Zebrik W'!$B$7:$M$1000,12,0)=0,"--",VLOOKUP(B71,'[1]Zebrik W'!$B$7:$M$1000,12,0)))</f>
        <v/>
      </c>
    </row>
    <row r="72" spans="1:14" x14ac:dyDescent="0.2">
      <c r="A72" s="21">
        <f t="shared" si="4"/>
        <v>66</v>
      </c>
      <c r="B72" s="16" t="s">
        <v>121</v>
      </c>
      <c r="C72" s="16">
        <v>1970</v>
      </c>
      <c r="D72" s="16" t="s">
        <v>18</v>
      </c>
      <c r="E72" s="16" t="s">
        <v>122</v>
      </c>
      <c r="F72" s="16" t="s">
        <v>24</v>
      </c>
      <c r="G72" s="16">
        <v>23082</v>
      </c>
      <c r="H72" s="20">
        <v>3</v>
      </c>
      <c r="I72" s="21">
        <f t="shared" ref="I72:I135" si="5">RANK(G72,G:G)</f>
        <v>66</v>
      </c>
      <c r="J72" s="22" t="str">
        <f t="shared" ref="J72:J135" si="6">IF(C72="(prázdné)","",IF(($J$4-C72)&gt;25,"","Junior v roce "&amp;$J$4))</f>
        <v/>
      </c>
      <c r="K72" s="22" t="str">
        <f t="shared" ref="K72:K135" si="7">IF(C72="(prázdné)","",IF(($K$4-C72)&gt;25,"","Junior v roce "&amp;$K$4))</f>
        <v/>
      </c>
      <c r="L72"/>
      <c r="M72"/>
      <c r="N72" t="str">
        <f>IF(ISERROR(VLOOKUP(B72,'[1]Zebrik W'!$B$7:$M$1000,12,0)),"",IF(VLOOKUP(B72,'[1]Zebrik W'!$B$7:$M$1000,12,0)=0,"--",VLOOKUP(B72,'[1]Zebrik W'!$B$7:$M$1000,12,0)))</f>
        <v/>
      </c>
    </row>
    <row r="73" spans="1:14" x14ac:dyDescent="0.2">
      <c r="A73" s="21">
        <f t="shared" si="4"/>
        <v>67</v>
      </c>
      <c r="B73" s="16" t="s">
        <v>123</v>
      </c>
      <c r="C73" s="16">
        <v>1966</v>
      </c>
      <c r="D73" s="16" t="s">
        <v>18</v>
      </c>
      <c r="E73" s="16" t="s">
        <v>124</v>
      </c>
      <c r="F73" s="16" t="s">
        <v>41</v>
      </c>
      <c r="G73" s="16">
        <v>22827</v>
      </c>
      <c r="H73" s="20">
        <v>3</v>
      </c>
      <c r="I73" s="21">
        <f t="shared" si="5"/>
        <v>67</v>
      </c>
      <c r="J73" s="22" t="str">
        <f t="shared" si="6"/>
        <v/>
      </c>
      <c r="K73" s="22" t="str">
        <f t="shared" si="7"/>
        <v/>
      </c>
      <c r="L73"/>
      <c r="N73" t="str">
        <f>IF(ISERROR(VLOOKUP(B73,'[1]Zebrik W'!$B$7:$M$1000,12,0)),"",IF(VLOOKUP(B73,'[1]Zebrik W'!$B$7:$M$1000,12,0)=0,"--",VLOOKUP(B73,'[1]Zebrik W'!$B$7:$M$1000,12,0)))</f>
        <v/>
      </c>
    </row>
    <row r="74" spans="1:14" x14ac:dyDescent="0.2">
      <c r="A74" s="21">
        <f t="shared" si="4"/>
        <v>68</v>
      </c>
      <c r="B74" s="16" t="s">
        <v>125</v>
      </c>
      <c r="C74" s="16">
        <v>1970</v>
      </c>
      <c r="D74" s="16" t="s">
        <v>18</v>
      </c>
      <c r="E74" s="16" t="s">
        <v>38</v>
      </c>
      <c r="F74" s="16" t="s">
        <v>24</v>
      </c>
      <c r="G74" s="16">
        <v>22722</v>
      </c>
      <c r="H74" s="20">
        <v>3</v>
      </c>
      <c r="I74" s="21">
        <f t="shared" si="5"/>
        <v>68</v>
      </c>
      <c r="J74" s="22" t="str">
        <f t="shared" si="6"/>
        <v/>
      </c>
      <c r="K74" s="22" t="str">
        <f t="shared" si="7"/>
        <v/>
      </c>
      <c r="L74"/>
      <c r="M74"/>
      <c r="N74" t="str">
        <f>IF(ISERROR(VLOOKUP(B74,'[1]Zebrik W'!$B$7:$M$1000,12,0)),"",IF(VLOOKUP(B74,'[1]Zebrik W'!$B$7:$M$1000,12,0)=0,"--",VLOOKUP(B74,'[1]Zebrik W'!$B$7:$M$1000,12,0)))</f>
        <v/>
      </c>
    </row>
    <row r="75" spans="1:14" x14ac:dyDescent="0.2">
      <c r="A75" s="21">
        <f t="shared" si="4"/>
        <v>69</v>
      </c>
      <c r="B75" s="16" t="s">
        <v>126</v>
      </c>
      <c r="C75" s="16">
        <v>1958</v>
      </c>
      <c r="D75" s="16" t="s">
        <v>18</v>
      </c>
      <c r="E75" s="16" t="s">
        <v>127</v>
      </c>
      <c r="F75" s="16" t="s">
        <v>41</v>
      </c>
      <c r="G75" s="16">
        <v>22713</v>
      </c>
      <c r="H75" s="20">
        <v>3</v>
      </c>
      <c r="I75" s="21">
        <f t="shared" si="5"/>
        <v>69</v>
      </c>
      <c r="J75" s="22" t="str">
        <f t="shared" si="6"/>
        <v/>
      </c>
      <c r="K75" s="22" t="str">
        <f t="shared" si="7"/>
        <v/>
      </c>
      <c r="L75"/>
      <c r="N75" t="str">
        <f>IF(ISERROR(VLOOKUP(B75,'[1]Zebrik W'!$B$7:$M$1000,12,0)),"",IF(VLOOKUP(B75,'[1]Zebrik W'!$B$7:$M$1000,12,0)=0,"--",VLOOKUP(B75,'[1]Zebrik W'!$B$7:$M$1000,12,0)))</f>
        <v/>
      </c>
    </row>
    <row r="76" spans="1:14" x14ac:dyDescent="0.2">
      <c r="A76" s="21">
        <f t="shared" si="4"/>
        <v>70</v>
      </c>
      <c r="B76" s="16" t="s">
        <v>128</v>
      </c>
      <c r="C76" s="16">
        <v>1953</v>
      </c>
      <c r="D76" s="16" t="s">
        <v>18</v>
      </c>
      <c r="E76" s="16" t="s">
        <v>73</v>
      </c>
      <c r="F76" s="16" t="s">
        <v>20</v>
      </c>
      <c r="G76" s="16">
        <v>22697</v>
      </c>
      <c r="H76" s="20">
        <v>3</v>
      </c>
      <c r="I76" s="21">
        <f t="shared" si="5"/>
        <v>70</v>
      </c>
      <c r="J76" s="22" t="str">
        <f t="shared" si="6"/>
        <v/>
      </c>
      <c r="K76" s="22" t="str">
        <f t="shared" si="7"/>
        <v/>
      </c>
      <c r="L76"/>
      <c r="M76"/>
      <c r="N76" t="str">
        <f>IF(ISERROR(VLOOKUP(B76,'[1]Zebrik W'!$B$7:$M$1000,12,0)),"",IF(VLOOKUP(B76,'[1]Zebrik W'!$B$7:$M$1000,12,0)=0,"--",VLOOKUP(B76,'[1]Zebrik W'!$B$7:$M$1000,12,0)))</f>
        <v/>
      </c>
    </row>
    <row r="77" spans="1:14" x14ac:dyDescent="0.2">
      <c r="A77" s="21">
        <f t="shared" si="4"/>
        <v>71</v>
      </c>
      <c r="B77" s="16" t="s">
        <v>129</v>
      </c>
      <c r="C77" s="16">
        <v>1978</v>
      </c>
      <c r="D77" s="16" t="s">
        <v>18</v>
      </c>
      <c r="E77" s="16" t="s">
        <v>122</v>
      </c>
      <c r="F77" s="16" t="s">
        <v>24</v>
      </c>
      <c r="G77" s="16">
        <v>22584</v>
      </c>
      <c r="H77" s="20">
        <v>3</v>
      </c>
      <c r="I77" s="21">
        <f t="shared" si="5"/>
        <v>71</v>
      </c>
      <c r="J77" s="22" t="str">
        <f t="shared" si="6"/>
        <v/>
      </c>
      <c r="K77" s="22" t="str">
        <f t="shared" si="7"/>
        <v/>
      </c>
      <c r="L77"/>
      <c r="N77" t="str">
        <f>IF(ISERROR(VLOOKUP(B77,'[1]Zebrik W'!$B$7:$M$1000,12,0)),"",IF(VLOOKUP(B77,'[1]Zebrik W'!$B$7:$M$1000,12,0)=0,"--",VLOOKUP(B77,'[1]Zebrik W'!$B$7:$M$1000,12,0)))</f>
        <v/>
      </c>
    </row>
    <row r="78" spans="1:14" x14ac:dyDescent="0.2">
      <c r="A78" s="21">
        <f t="shared" si="4"/>
        <v>72</v>
      </c>
      <c r="B78" s="16" t="s">
        <v>130</v>
      </c>
      <c r="C78" s="16">
        <v>1978</v>
      </c>
      <c r="D78" s="16" t="s">
        <v>18</v>
      </c>
      <c r="E78" s="16" t="s">
        <v>131</v>
      </c>
      <c r="F78" s="16" t="s">
        <v>41</v>
      </c>
      <c r="G78" s="16">
        <v>22451</v>
      </c>
      <c r="H78" s="20">
        <v>3</v>
      </c>
      <c r="I78" s="21">
        <f t="shared" si="5"/>
        <v>72</v>
      </c>
      <c r="J78" s="22" t="str">
        <f t="shared" si="6"/>
        <v/>
      </c>
      <c r="K78" s="22" t="str">
        <f t="shared" si="7"/>
        <v/>
      </c>
      <c r="L78"/>
      <c r="M78"/>
      <c r="N78" t="str">
        <f>IF(ISERROR(VLOOKUP(B78,'[1]Zebrik W'!$B$7:$M$1000,12,0)),"",IF(VLOOKUP(B78,'[1]Zebrik W'!$B$7:$M$1000,12,0)=0,"--",VLOOKUP(B78,'[1]Zebrik W'!$B$7:$M$1000,12,0)))</f>
        <v/>
      </c>
    </row>
    <row r="79" spans="1:14" x14ac:dyDescent="0.2">
      <c r="A79" s="21">
        <f t="shared" si="4"/>
        <v>73</v>
      </c>
      <c r="B79" s="16" t="s">
        <v>132</v>
      </c>
      <c r="C79" s="16">
        <v>1976</v>
      </c>
      <c r="D79" s="16" t="s">
        <v>18</v>
      </c>
      <c r="E79" s="16" t="s">
        <v>31</v>
      </c>
      <c r="F79" s="16" t="s">
        <v>24</v>
      </c>
      <c r="G79" s="16">
        <v>22315</v>
      </c>
      <c r="H79" s="20">
        <v>3</v>
      </c>
      <c r="I79" s="21">
        <f t="shared" si="5"/>
        <v>73</v>
      </c>
      <c r="J79" s="22" t="str">
        <f t="shared" si="6"/>
        <v/>
      </c>
      <c r="K79" s="22" t="str">
        <f t="shared" si="7"/>
        <v/>
      </c>
      <c r="L79"/>
      <c r="M79"/>
      <c r="N79" t="str">
        <f>IF(ISERROR(VLOOKUP(B79,'[1]Zebrik W'!$B$7:$M$1000,12,0)),"",IF(VLOOKUP(B79,'[1]Zebrik W'!$B$7:$M$1000,12,0)=0,"--",VLOOKUP(B79,'[1]Zebrik W'!$B$7:$M$1000,12,0)))</f>
        <v/>
      </c>
    </row>
    <row r="80" spans="1:14" x14ac:dyDescent="0.2">
      <c r="A80" s="21">
        <f t="shared" si="4"/>
        <v>74</v>
      </c>
      <c r="B80" s="16" t="s">
        <v>133</v>
      </c>
      <c r="C80" s="16">
        <v>1971</v>
      </c>
      <c r="D80" s="16" t="s">
        <v>18</v>
      </c>
      <c r="E80" s="16" t="s">
        <v>80</v>
      </c>
      <c r="F80" s="16" t="s">
        <v>20</v>
      </c>
      <c r="G80" s="16">
        <v>22276</v>
      </c>
      <c r="H80" s="20">
        <v>3</v>
      </c>
      <c r="I80" s="21">
        <f t="shared" si="5"/>
        <v>74</v>
      </c>
      <c r="J80" s="22" t="str">
        <f t="shared" si="6"/>
        <v/>
      </c>
      <c r="K80" s="22" t="str">
        <f t="shared" si="7"/>
        <v/>
      </c>
      <c r="L80"/>
      <c r="N80" t="str">
        <f>IF(ISERROR(VLOOKUP(B80,'[1]Zebrik W'!$B$7:$M$1000,12,0)),"",IF(VLOOKUP(B80,'[1]Zebrik W'!$B$7:$M$1000,12,0)=0,"--",VLOOKUP(B80,'[1]Zebrik W'!$B$7:$M$1000,12,0)))</f>
        <v/>
      </c>
    </row>
    <row r="81" spans="1:14" x14ac:dyDescent="0.2">
      <c r="A81" s="21">
        <f t="shared" si="4"/>
        <v>75</v>
      </c>
      <c r="B81" s="16" t="s">
        <v>134</v>
      </c>
      <c r="C81" s="16">
        <v>1967</v>
      </c>
      <c r="D81" s="16" t="s">
        <v>18</v>
      </c>
      <c r="E81" s="16" t="s">
        <v>105</v>
      </c>
      <c r="F81" s="16" t="s">
        <v>20</v>
      </c>
      <c r="G81" s="16">
        <v>22071</v>
      </c>
      <c r="H81" s="20">
        <v>3</v>
      </c>
      <c r="I81" s="21">
        <f t="shared" si="5"/>
        <v>75</v>
      </c>
      <c r="J81" s="22" t="str">
        <f t="shared" si="6"/>
        <v/>
      </c>
      <c r="K81" s="22" t="str">
        <f t="shared" si="7"/>
        <v/>
      </c>
      <c r="L81"/>
      <c r="N81" t="str">
        <f>IF(ISERROR(VLOOKUP(B81,'[1]Zebrik W'!$B$7:$M$1000,12,0)),"",IF(VLOOKUP(B81,'[1]Zebrik W'!$B$7:$M$1000,12,0)=0,"--",VLOOKUP(B81,'[1]Zebrik W'!$B$7:$M$1000,12,0)))</f>
        <v/>
      </c>
    </row>
    <row r="82" spans="1:14" x14ac:dyDescent="0.2">
      <c r="A82" s="21">
        <f t="shared" si="4"/>
        <v>76</v>
      </c>
      <c r="B82" s="16" t="s">
        <v>135</v>
      </c>
      <c r="C82" s="16">
        <v>1969</v>
      </c>
      <c r="D82" s="16" t="s">
        <v>18</v>
      </c>
      <c r="E82" s="16" t="s">
        <v>122</v>
      </c>
      <c r="F82" s="16" t="s">
        <v>24</v>
      </c>
      <c r="G82" s="16">
        <v>22044</v>
      </c>
      <c r="H82" s="20">
        <v>3</v>
      </c>
      <c r="I82" s="21">
        <f t="shared" si="5"/>
        <v>76</v>
      </c>
      <c r="J82" s="22" t="str">
        <f t="shared" si="6"/>
        <v/>
      </c>
      <c r="K82" s="22" t="str">
        <f t="shared" si="7"/>
        <v/>
      </c>
      <c r="L82"/>
      <c r="M82"/>
      <c r="N82" t="str">
        <f>IF(ISERROR(VLOOKUP(B82,'[1]Zebrik W'!$B$7:$M$1000,12,0)),"",IF(VLOOKUP(B82,'[1]Zebrik W'!$B$7:$M$1000,12,0)=0,"--",VLOOKUP(B82,'[1]Zebrik W'!$B$7:$M$1000,12,0)))</f>
        <v/>
      </c>
    </row>
    <row r="83" spans="1:14" x14ac:dyDescent="0.2">
      <c r="A83" s="21">
        <f t="shared" si="4"/>
        <v>77</v>
      </c>
      <c r="B83" s="16" t="s">
        <v>136</v>
      </c>
      <c r="C83" s="16">
        <v>1989</v>
      </c>
      <c r="D83" s="16" t="s">
        <v>18</v>
      </c>
      <c r="E83" s="16" t="s">
        <v>36</v>
      </c>
      <c r="F83" s="16" t="s">
        <v>20</v>
      </c>
      <c r="G83" s="16">
        <v>21994</v>
      </c>
      <c r="H83" s="20">
        <v>3</v>
      </c>
      <c r="I83" s="21">
        <f t="shared" si="5"/>
        <v>77</v>
      </c>
      <c r="J83" s="22" t="str">
        <f t="shared" si="6"/>
        <v/>
      </c>
      <c r="K83" s="22" t="str">
        <f t="shared" si="7"/>
        <v/>
      </c>
      <c r="L83"/>
      <c r="M83"/>
      <c r="N83" t="str">
        <f>IF(ISERROR(VLOOKUP(B83,'[1]Zebrik W'!$B$7:$M$1000,12,0)),"",IF(VLOOKUP(B83,'[1]Zebrik W'!$B$7:$M$1000,12,0)=0,"--",VLOOKUP(B83,'[1]Zebrik W'!$B$7:$M$1000,12,0)))</f>
        <v/>
      </c>
    </row>
    <row r="84" spans="1:14" x14ac:dyDescent="0.2">
      <c r="A84" s="21">
        <f t="shared" si="4"/>
        <v>78</v>
      </c>
      <c r="B84" s="16" t="s">
        <v>137</v>
      </c>
      <c r="C84" s="16">
        <v>2006</v>
      </c>
      <c r="D84" s="16" t="s">
        <v>49</v>
      </c>
      <c r="E84" s="16" t="s">
        <v>138</v>
      </c>
      <c r="F84" s="16" t="s">
        <v>24</v>
      </c>
      <c r="G84" s="16">
        <v>21916</v>
      </c>
      <c r="H84" s="20">
        <v>3</v>
      </c>
      <c r="I84" s="21">
        <f t="shared" si="5"/>
        <v>78</v>
      </c>
      <c r="J84" s="22" t="str">
        <f t="shared" si="6"/>
        <v>Junior v roce 2026</v>
      </c>
      <c r="K84" s="22" t="str">
        <f t="shared" si="7"/>
        <v>Junior v roce 2027</v>
      </c>
      <c r="L84"/>
      <c r="M84" t="s">
        <v>21</v>
      </c>
      <c r="N84" t="str">
        <f>IF(ISERROR(VLOOKUP(B84,'[1]Zebrik W'!$B$7:$M$1000,12,0)),"",IF(VLOOKUP(B84,'[1]Zebrik W'!$B$7:$M$1000,12,0)=0,"--",VLOOKUP(B84,'[1]Zebrik W'!$B$7:$M$1000,12,0)))</f>
        <v>WRV 2026</v>
      </c>
    </row>
    <row r="85" spans="1:14" x14ac:dyDescent="0.2">
      <c r="A85" s="21">
        <f t="shared" si="4"/>
        <v>79</v>
      </c>
      <c r="B85" s="16" t="s">
        <v>139</v>
      </c>
      <c r="C85" s="16">
        <v>1971</v>
      </c>
      <c r="D85" s="16" t="s">
        <v>18</v>
      </c>
      <c r="E85" s="16" t="s">
        <v>140</v>
      </c>
      <c r="F85" s="16" t="s">
        <v>20</v>
      </c>
      <c r="G85" s="16">
        <v>21905</v>
      </c>
      <c r="H85" s="20">
        <v>3</v>
      </c>
      <c r="I85" s="21">
        <f t="shared" si="5"/>
        <v>79</v>
      </c>
      <c r="J85" s="22" t="str">
        <f t="shared" si="6"/>
        <v/>
      </c>
      <c r="K85" s="22" t="str">
        <f t="shared" si="7"/>
        <v/>
      </c>
      <c r="L85"/>
      <c r="M85"/>
      <c r="N85" t="str">
        <f>IF(ISERROR(VLOOKUP(B85,'[1]Zebrik W'!$B$7:$M$1000,12,0)),"",IF(VLOOKUP(B85,'[1]Zebrik W'!$B$7:$M$1000,12,0)=0,"--",VLOOKUP(B85,'[1]Zebrik W'!$B$7:$M$1000,12,0)))</f>
        <v/>
      </c>
    </row>
    <row r="86" spans="1:14" x14ac:dyDescent="0.2">
      <c r="A86" s="21">
        <f t="shared" si="4"/>
        <v>80</v>
      </c>
      <c r="B86" s="16" t="s">
        <v>141</v>
      </c>
      <c r="C86" s="16">
        <v>1956</v>
      </c>
      <c r="D86" s="16" t="s">
        <v>18</v>
      </c>
      <c r="E86" s="16" t="s">
        <v>36</v>
      </c>
      <c r="F86" s="16" t="s">
        <v>20</v>
      </c>
      <c r="G86" s="16">
        <v>21861</v>
      </c>
      <c r="H86" s="20">
        <v>3</v>
      </c>
      <c r="I86" s="21">
        <f t="shared" si="5"/>
        <v>80</v>
      </c>
      <c r="J86" s="22" t="str">
        <f t="shared" si="6"/>
        <v/>
      </c>
      <c r="K86" s="22" t="str">
        <f t="shared" si="7"/>
        <v/>
      </c>
      <c r="L86"/>
      <c r="M86"/>
      <c r="N86" t="str">
        <f>IF(ISERROR(VLOOKUP(B86,'[1]Zebrik W'!$B$7:$M$1000,12,0)),"",IF(VLOOKUP(B86,'[1]Zebrik W'!$B$7:$M$1000,12,0)=0,"--",VLOOKUP(B86,'[1]Zebrik W'!$B$7:$M$1000,12,0)))</f>
        <v/>
      </c>
    </row>
    <row r="87" spans="1:14" x14ac:dyDescent="0.2">
      <c r="A87" s="21">
        <f t="shared" si="4"/>
        <v>81</v>
      </c>
      <c r="B87" s="16" t="s">
        <v>142</v>
      </c>
      <c r="C87" s="16">
        <v>1986</v>
      </c>
      <c r="D87" s="16" t="s">
        <v>18</v>
      </c>
      <c r="E87" s="16" t="s">
        <v>78</v>
      </c>
      <c r="F87" s="16" t="s">
        <v>41</v>
      </c>
      <c r="G87" s="16">
        <v>21752</v>
      </c>
      <c r="H87" s="20">
        <v>3</v>
      </c>
      <c r="I87" s="21">
        <f t="shared" si="5"/>
        <v>81</v>
      </c>
      <c r="J87" s="22" t="str">
        <f t="shared" si="6"/>
        <v/>
      </c>
      <c r="K87" s="22" t="str">
        <f t="shared" si="7"/>
        <v/>
      </c>
      <c r="L87"/>
      <c r="M87"/>
      <c r="N87" t="str">
        <f>IF(ISERROR(VLOOKUP(B87,'[1]Zebrik W'!$B$7:$M$1000,12,0)),"",IF(VLOOKUP(B87,'[1]Zebrik W'!$B$7:$M$1000,12,0)=0,"--",VLOOKUP(B87,'[1]Zebrik W'!$B$7:$M$1000,12,0)))</f>
        <v/>
      </c>
    </row>
    <row r="88" spans="1:14" x14ac:dyDescent="0.2">
      <c r="A88" s="21">
        <f t="shared" si="4"/>
        <v>82</v>
      </c>
      <c r="B88" s="16" t="s">
        <v>143</v>
      </c>
      <c r="C88" s="16">
        <v>1991</v>
      </c>
      <c r="D88" s="16" t="s">
        <v>18</v>
      </c>
      <c r="E88" s="16" t="s">
        <v>33</v>
      </c>
      <c r="F88" s="16" t="s">
        <v>20</v>
      </c>
      <c r="G88" s="16">
        <v>21658</v>
      </c>
      <c r="H88" s="20">
        <v>3</v>
      </c>
      <c r="I88" s="21">
        <f t="shared" si="5"/>
        <v>82</v>
      </c>
      <c r="J88" s="22" t="str">
        <f t="shared" si="6"/>
        <v/>
      </c>
      <c r="K88" s="22" t="str">
        <f t="shared" si="7"/>
        <v/>
      </c>
      <c r="L88"/>
      <c r="M88"/>
      <c r="N88" t="str">
        <f>IF(ISERROR(VLOOKUP(B88,'[1]Zebrik W'!$B$7:$M$1000,12,0)),"",IF(VLOOKUP(B88,'[1]Zebrik W'!$B$7:$M$1000,12,0)=0,"--",VLOOKUP(B88,'[1]Zebrik W'!$B$7:$M$1000,12,0)))</f>
        <v/>
      </c>
    </row>
    <row r="89" spans="1:14" x14ac:dyDescent="0.2">
      <c r="A89" s="21">
        <f t="shared" si="4"/>
        <v>83</v>
      </c>
      <c r="B89" s="16" t="s">
        <v>144</v>
      </c>
      <c r="C89" s="16">
        <v>1991</v>
      </c>
      <c r="D89" s="16" t="s">
        <v>18</v>
      </c>
      <c r="E89" s="16" t="s">
        <v>45</v>
      </c>
      <c r="F89" s="16" t="s">
        <v>24</v>
      </c>
      <c r="G89" s="16">
        <v>21585</v>
      </c>
      <c r="H89" s="20">
        <v>3</v>
      </c>
      <c r="I89" s="21">
        <f t="shared" si="5"/>
        <v>83</v>
      </c>
      <c r="J89" s="22" t="str">
        <f t="shared" si="6"/>
        <v/>
      </c>
      <c r="K89" s="22" t="str">
        <f t="shared" si="7"/>
        <v/>
      </c>
      <c r="L89"/>
      <c r="M89"/>
      <c r="N89" t="str">
        <f>IF(ISERROR(VLOOKUP(B89,'[1]Zebrik W'!$B$7:$M$1000,12,0)),"",IF(VLOOKUP(B89,'[1]Zebrik W'!$B$7:$M$1000,12,0)=0,"--",VLOOKUP(B89,'[1]Zebrik W'!$B$7:$M$1000,12,0)))</f>
        <v/>
      </c>
    </row>
    <row r="90" spans="1:14" x14ac:dyDescent="0.2">
      <c r="A90" s="21">
        <f t="shared" si="4"/>
        <v>84</v>
      </c>
      <c r="B90" s="16" t="s">
        <v>145</v>
      </c>
      <c r="C90" s="16">
        <v>1983</v>
      </c>
      <c r="D90" s="16" t="s">
        <v>49</v>
      </c>
      <c r="E90" s="16" t="s">
        <v>115</v>
      </c>
      <c r="F90" s="16" t="s">
        <v>24</v>
      </c>
      <c r="G90" s="16">
        <v>21407</v>
      </c>
      <c r="H90" s="20">
        <v>3</v>
      </c>
      <c r="I90" s="21">
        <f t="shared" si="5"/>
        <v>84</v>
      </c>
      <c r="J90" s="22" t="str">
        <f t="shared" si="6"/>
        <v/>
      </c>
      <c r="K90" s="22" t="str">
        <f t="shared" si="7"/>
        <v/>
      </c>
      <c r="L90"/>
      <c r="M90" t="s">
        <v>21</v>
      </c>
      <c r="N90" t="str">
        <f>IF(ISERROR(VLOOKUP(B90,'[1]Zebrik W'!$B$7:$M$1000,12,0)),"",IF(VLOOKUP(B90,'[1]Zebrik W'!$B$7:$M$1000,12,0)=0,"--",VLOOKUP(B90,'[1]Zebrik W'!$B$7:$M$1000,12,0)))</f>
        <v>WRV 2026</v>
      </c>
    </row>
    <row r="91" spans="1:14" x14ac:dyDescent="0.2">
      <c r="A91" s="21">
        <f t="shared" si="4"/>
        <v>85</v>
      </c>
      <c r="B91" s="16" t="s">
        <v>146</v>
      </c>
      <c r="C91" s="16">
        <v>1971</v>
      </c>
      <c r="D91" s="16" t="s">
        <v>18</v>
      </c>
      <c r="E91" s="16" t="s">
        <v>45</v>
      </c>
      <c r="F91" s="16" t="s">
        <v>24</v>
      </c>
      <c r="G91" s="16">
        <v>21352</v>
      </c>
      <c r="H91" s="20">
        <v>3</v>
      </c>
      <c r="I91" s="21">
        <f t="shared" si="5"/>
        <v>85</v>
      </c>
      <c r="J91" s="22" t="str">
        <f t="shared" si="6"/>
        <v/>
      </c>
      <c r="K91" s="22" t="str">
        <f t="shared" si="7"/>
        <v/>
      </c>
      <c r="L91"/>
      <c r="N91" t="str">
        <f>IF(ISERROR(VLOOKUP(B91,'[1]Zebrik W'!$B$7:$M$1000,12,0)),"",IF(VLOOKUP(B91,'[1]Zebrik W'!$B$7:$M$1000,12,0)=0,"--",VLOOKUP(B91,'[1]Zebrik W'!$B$7:$M$1000,12,0)))</f>
        <v/>
      </c>
    </row>
    <row r="92" spans="1:14" x14ac:dyDescent="0.2">
      <c r="A92" s="21">
        <f t="shared" si="4"/>
        <v>86</v>
      </c>
      <c r="B92" s="16" t="s">
        <v>147</v>
      </c>
      <c r="C92" s="16">
        <v>1991</v>
      </c>
      <c r="D92" s="16" t="s">
        <v>18</v>
      </c>
      <c r="E92" s="16" t="s">
        <v>29</v>
      </c>
      <c r="F92" s="16" t="s">
        <v>24</v>
      </c>
      <c r="G92" s="16">
        <v>21329</v>
      </c>
      <c r="H92" s="20">
        <v>3</v>
      </c>
      <c r="I92" s="21">
        <f t="shared" si="5"/>
        <v>86</v>
      </c>
      <c r="J92" s="22" t="str">
        <f t="shared" si="6"/>
        <v/>
      </c>
      <c r="K92" s="22" t="str">
        <f t="shared" si="7"/>
        <v/>
      </c>
      <c r="L92"/>
      <c r="M92"/>
      <c r="N92" t="str">
        <f>IF(ISERROR(VLOOKUP(B92,'[1]Zebrik W'!$B$7:$M$1000,12,0)),"",IF(VLOOKUP(B92,'[1]Zebrik W'!$B$7:$M$1000,12,0)=0,"--",VLOOKUP(B92,'[1]Zebrik W'!$B$7:$M$1000,12,0)))</f>
        <v/>
      </c>
    </row>
    <row r="93" spans="1:14" x14ac:dyDescent="0.2">
      <c r="A93" s="21">
        <f t="shared" si="4"/>
        <v>87</v>
      </c>
      <c r="B93" s="16" t="s">
        <v>148</v>
      </c>
      <c r="C93" s="16">
        <v>1977</v>
      </c>
      <c r="D93" s="16" t="s">
        <v>18</v>
      </c>
      <c r="E93" s="16" t="s">
        <v>27</v>
      </c>
      <c r="F93" s="16" t="s">
        <v>20</v>
      </c>
      <c r="G93" s="16">
        <v>21296</v>
      </c>
      <c r="H93" s="20">
        <v>3</v>
      </c>
      <c r="I93" s="21">
        <f t="shared" si="5"/>
        <v>87</v>
      </c>
      <c r="J93" s="22" t="str">
        <f t="shared" si="6"/>
        <v/>
      </c>
      <c r="K93" s="22" t="str">
        <f t="shared" si="7"/>
        <v/>
      </c>
      <c r="L93"/>
      <c r="M93"/>
      <c r="N93" t="str">
        <f>IF(ISERROR(VLOOKUP(B93,'[1]Zebrik W'!$B$7:$M$1000,12,0)),"",IF(VLOOKUP(B93,'[1]Zebrik W'!$B$7:$M$1000,12,0)=0,"--",VLOOKUP(B93,'[1]Zebrik W'!$B$7:$M$1000,12,0)))</f>
        <v/>
      </c>
    </row>
    <row r="94" spans="1:14" x14ac:dyDescent="0.2">
      <c r="A94" s="21">
        <f t="shared" si="4"/>
        <v>88</v>
      </c>
      <c r="B94" s="16" t="s">
        <v>149</v>
      </c>
      <c r="C94" s="16">
        <v>1984</v>
      </c>
      <c r="D94" s="16" t="s">
        <v>18</v>
      </c>
      <c r="E94" s="16" t="s">
        <v>29</v>
      </c>
      <c r="F94" s="16" t="s">
        <v>24</v>
      </c>
      <c r="G94" s="16">
        <v>21200</v>
      </c>
      <c r="H94" s="20">
        <v>3</v>
      </c>
      <c r="I94" s="21">
        <f t="shared" si="5"/>
        <v>88</v>
      </c>
      <c r="J94" s="22" t="str">
        <f t="shared" si="6"/>
        <v/>
      </c>
      <c r="K94" s="22" t="str">
        <f t="shared" si="7"/>
        <v/>
      </c>
      <c r="L94"/>
      <c r="M94"/>
      <c r="N94" t="str">
        <f>IF(ISERROR(VLOOKUP(B94,'[1]Zebrik W'!$B$7:$M$1000,12,0)),"",IF(VLOOKUP(B94,'[1]Zebrik W'!$B$7:$M$1000,12,0)=0,"--",VLOOKUP(B94,'[1]Zebrik W'!$B$7:$M$1000,12,0)))</f>
        <v/>
      </c>
    </row>
    <row r="95" spans="1:14" x14ac:dyDescent="0.2">
      <c r="A95" s="21">
        <f t="shared" si="4"/>
        <v>89</v>
      </c>
      <c r="B95" s="16" t="s">
        <v>150</v>
      </c>
      <c r="C95" s="16">
        <v>1980</v>
      </c>
      <c r="D95" s="16" t="s">
        <v>18</v>
      </c>
      <c r="E95" s="16" t="s">
        <v>29</v>
      </c>
      <c r="F95" s="16" t="s">
        <v>24</v>
      </c>
      <c r="G95" s="16">
        <v>21195</v>
      </c>
      <c r="H95" s="20">
        <v>3</v>
      </c>
      <c r="I95" s="21">
        <f t="shared" si="5"/>
        <v>89</v>
      </c>
      <c r="J95" s="22" t="str">
        <f t="shared" si="6"/>
        <v/>
      </c>
      <c r="K95" s="22" t="str">
        <f t="shared" si="7"/>
        <v/>
      </c>
      <c r="L95"/>
      <c r="N95" t="str">
        <f>IF(ISERROR(VLOOKUP(B95,'[1]Zebrik W'!$B$7:$M$1000,12,0)),"",IF(VLOOKUP(B95,'[1]Zebrik W'!$B$7:$M$1000,12,0)=0,"--",VLOOKUP(B95,'[1]Zebrik W'!$B$7:$M$1000,12,0)))</f>
        <v/>
      </c>
    </row>
    <row r="96" spans="1:14" x14ac:dyDescent="0.2">
      <c r="A96" s="21">
        <f t="shared" si="4"/>
        <v>90</v>
      </c>
      <c r="B96" s="16" t="s">
        <v>151</v>
      </c>
      <c r="C96" s="16">
        <v>1984</v>
      </c>
      <c r="D96" s="16" t="s">
        <v>18</v>
      </c>
      <c r="E96" s="16" t="s">
        <v>80</v>
      </c>
      <c r="F96" s="16" t="s">
        <v>20</v>
      </c>
      <c r="G96" s="16">
        <v>21096</v>
      </c>
      <c r="H96" s="20">
        <v>3</v>
      </c>
      <c r="I96" s="21">
        <f t="shared" si="5"/>
        <v>90</v>
      </c>
      <c r="J96" s="22" t="str">
        <f t="shared" si="6"/>
        <v/>
      </c>
      <c r="K96" s="22" t="str">
        <f t="shared" si="7"/>
        <v/>
      </c>
      <c r="L96"/>
      <c r="M96"/>
      <c r="N96" t="str">
        <f>IF(ISERROR(VLOOKUP(B96,'[1]Zebrik W'!$B$7:$M$1000,12,0)),"",IF(VLOOKUP(B96,'[1]Zebrik W'!$B$7:$M$1000,12,0)=0,"--",VLOOKUP(B96,'[1]Zebrik W'!$B$7:$M$1000,12,0)))</f>
        <v/>
      </c>
    </row>
    <row r="97" spans="1:14" x14ac:dyDescent="0.2">
      <c r="A97" s="21">
        <f t="shared" si="4"/>
        <v>91</v>
      </c>
      <c r="B97" s="16" t="s">
        <v>152</v>
      </c>
      <c r="C97" s="16">
        <v>1992</v>
      </c>
      <c r="D97" s="16" t="s">
        <v>18</v>
      </c>
      <c r="E97" s="16" t="s">
        <v>29</v>
      </c>
      <c r="F97" s="16" t="s">
        <v>24</v>
      </c>
      <c r="G97" s="16">
        <v>21081</v>
      </c>
      <c r="H97" s="20">
        <v>3</v>
      </c>
      <c r="I97" s="21">
        <f t="shared" si="5"/>
        <v>91</v>
      </c>
      <c r="J97" s="22" t="str">
        <f t="shared" si="6"/>
        <v/>
      </c>
      <c r="K97" s="22" t="str">
        <f t="shared" si="7"/>
        <v/>
      </c>
      <c r="L97"/>
      <c r="M97"/>
      <c r="N97" t="str">
        <f>IF(ISERROR(VLOOKUP(B97,'[1]Zebrik W'!$B$7:$M$1000,12,0)),"",IF(VLOOKUP(B97,'[1]Zebrik W'!$B$7:$M$1000,12,0)=0,"--",VLOOKUP(B97,'[1]Zebrik W'!$B$7:$M$1000,12,0)))</f>
        <v/>
      </c>
    </row>
    <row r="98" spans="1:14" x14ac:dyDescent="0.2">
      <c r="A98" s="21">
        <f t="shared" si="4"/>
        <v>92</v>
      </c>
      <c r="B98" s="16" t="s">
        <v>153</v>
      </c>
      <c r="C98" s="16">
        <v>1958</v>
      </c>
      <c r="D98" s="16" t="s">
        <v>18</v>
      </c>
      <c r="E98" s="16" t="s">
        <v>127</v>
      </c>
      <c r="F98" s="16" t="s">
        <v>41</v>
      </c>
      <c r="G98" s="16">
        <v>21054</v>
      </c>
      <c r="H98" s="20">
        <v>3</v>
      </c>
      <c r="I98" s="21">
        <f t="shared" si="5"/>
        <v>92</v>
      </c>
      <c r="J98" s="22" t="str">
        <f t="shared" si="6"/>
        <v/>
      </c>
      <c r="K98" s="22" t="str">
        <f t="shared" si="7"/>
        <v/>
      </c>
      <c r="L98"/>
      <c r="M98"/>
      <c r="N98" t="str">
        <f>IF(ISERROR(VLOOKUP(B98,'[1]Zebrik W'!$B$7:$M$1000,12,0)),"",IF(VLOOKUP(B98,'[1]Zebrik W'!$B$7:$M$1000,12,0)=0,"--",VLOOKUP(B98,'[1]Zebrik W'!$B$7:$M$1000,12,0)))</f>
        <v/>
      </c>
    </row>
    <row r="99" spans="1:14" x14ac:dyDescent="0.2">
      <c r="A99" s="21">
        <f t="shared" si="4"/>
        <v>93</v>
      </c>
      <c r="B99" s="16" t="s">
        <v>154</v>
      </c>
      <c r="C99" s="16">
        <v>2003</v>
      </c>
      <c r="D99" s="16" t="s">
        <v>18</v>
      </c>
      <c r="E99" s="16" t="s">
        <v>155</v>
      </c>
      <c r="F99" s="16" t="s">
        <v>41</v>
      </c>
      <c r="G99" s="16">
        <v>21015</v>
      </c>
      <c r="H99" s="20">
        <v>3</v>
      </c>
      <c r="I99" s="21">
        <f t="shared" si="5"/>
        <v>93</v>
      </c>
      <c r="J99" s="22" t="str">
        <f t="shared" si="6"/>
        <v>Junior v roce 2026</v>
      </c>
      <c r="K99" s="22" t="str">
        <f t="shared" si="7"/>
        <v>Junior v roce 2027</v>
      </c>
      <c r="L99"/>
      <c r="M99"/>
      <c r="N99" t="str">
        <f>IF(ISERROR(VLOOKUP(B99,'[1]Zebrik W'!$B$7:$M$1000,12,0)),"",IF(VLOOKUP(B99,'[1]Zebrik W'!$B$7:$M$1000,12,0)=0,"--",VLOOKUP(B99,'[1]Zebrik W'!$B$7:$M$1000,12,0)))</f>
        <v/>
      </c>
    </row>
    <row r="100" spans="1:14" x14ac:dyDescent="0.2">
      <c r="A100" s="21">
        <f t="shared" si="4"/>
        <v>94</v>
      </c>
      <c r="B100" s="16" t="s">
        <v>156</v>
      </c>
      <c r="C100" s="16">
        <v>1995</v>
      </c>
      <c r="D100" s="16" t="s">
        <v>18</v>
      </c>
      <c r="E100" s="16" t="s">
        <v>157</v>
      </c>
      <c r="F100" s="16" t="s">
        <v>24</v>
      </c>
      <c r="G100" s="16">
        <v>20793</v>
      </c>
      <c r="H100" s="20">
        <v>3</v>
      </c>
      <c r="I100" s="21">
        <f t="shared" si="5"/>
        <v>94</v>
      </c>
      <c r="J100" s="22" t="str">
        <f t="shared" si="6"/>
        <v/>
      </c>
      <c r="K100" s="22" t="str">
        <f t="shared" si="7"/>
        <v/>
      </c>
      <c r="L100"/>
      <c r="M100"/>
      <c r="N100" t="str">
        <f>IF(ISERROR(VLOOKUP(B100,'[1]Zebrik W'!$B$7:$M$1000,12,0)),"",IF(VLOOKUP(B100,'[1]Zebrik W'!$B$7:$M$1000,12,0)=0,"--",VLOOKUP(B100,'[1]Zebrik W'!$B$7:$M$1000,12,0)))</f>
        <v/>
      </c>
    </row>
    <row r="101" spans="1:14" x14ac:dyDescent="0.2">
      <c r="A101" s="21">
        <f t="shared" si="4"/>
        <v>95</v>
      </c>
      <c r="B101" s="16" t="s">
        <v>158</v>
      </c>
      <c r="C101" s="16">
        <v>1974</v>
      </c>
      <c r="D101" s="16" t="s">
        <v>18</v>
      </c>
      <c r="E101" s="16" t="s">
        <v>95</v>
      </c>
      <c r="F101" s="16" t="s">
        <v>24</v>
      </c>
      <c r="G101" s="16">
        <v>20681</v>
      </c>
      <c r="H101" s="20">
        <v>3</v>
      </c>
      <c r="I101" s="21">
        <f t="shared" si="5"/>
        <v>95</v>
      </c>
      <c r="J101" s="22" t="str">
        <f t="shared" si="6"/>
        <v/>
      </c>
      <c r="K101" s="22" t="str">
        <f t="shared" si="7"/>
        <v/>
      </c>
      <c r="L101"/>
      <c r="M101"/>
      <c r="N101" t="str">
        <f>IF(ISERROR(VLOOKUP(B101,'[1]Zebrik W'!$B$7:$M$1000,12,0)),"",IF(VLOOKUP(B101,'[1]Zebrik W'!$B$7:$M$1000,12,0)=0,"--",VLOOKUP(B101,'[1]Zebrik W'!$B$7:$M$1000,12,0)))</f>
        <v/>
      </c>
    </row>
    <row r="102" spans="1:14" x14ac:dyDescent="0.2">
      <c r="A102" s="21">
        <f t="shared" si="4"/>
        <v>96</v>
      </c>
      <c r="B102" s="16" t="s">
        <v>159</v>
      </c>
      <c r="C102" s="16">
        <v>1974</v>
      </c>
      <c r="D102" s="16" t="s">
        <v>18</v>
      </c>
      <c r="E102" s="16" t="s">
        <v>160</v>
      </c>
      <c r="F102" s="16" t="s">
        <v>20</v>
      </c>
      <c r="G102" s="16">
        <v>20664</v>
      </c>
      <c r="H102" s="20">
        <v>3</v>
      </c>
      <c r="I102" s="21">
        <f t="shared" si="5"/>
        <v>96</v>
      </c>
      <c r="J102" s="22" t="str">
        <f t="shared" si="6"/>
        <v/>
      </c>
      <c r="K102" s="22" t="str">
        <f t="shared" si="7"/>
        <v/>
      </c>
      <c r="L102"/>
      <c r="M102"/>
      <c r="N102" t="str">
        <f>IF(ISERROR(VLOOKUP(B102,'[1]Zebrik W'!$B$7:$M$1000,12,0)),"",IF(VLOOKUP(B102,'[1]Zebrik W'!$B$7:$M$1000,12,0)=0,"--",VLOOKUP(B102,'[1]Zebrik W'!$B$7:$M$1000,12,0)))</f>
        <v/>
      </c>
    </row>
    <row r="103" spans="1:14" x14ac:dyDescent="0.2">
      <c r="A103" s="21">
        <f t="shared" si="4"/>
        <v>97</v>
      </c>
      <c r="B103" s="16" t="s">
        <v>161</v>
      </c>
      <c r="C103" s="16">
        <v>1969</v>
      </c>
      <c r="D103" s="16" t="s">
        <v>18</v>
      </c>
      <c r="E103" s="16" t="s">
        <v>29</v>
      </c>
      <c r="F103" s="16" t="s">
        <v>24</v>
      </c>
      <c r="G103" s="16">
        <v>20450</v>
      </c>
      <c r="H103" s="20">
        <v>3</v>
      </c>
      <c r="I103" s="21">
        <f t="shared" si="5"/>
        <v>97</v>
      </c>
      <c r="J103" s="22" t="str">
        <f t="shared" si="6"/>
        <v/>
      </c>
      <c r="K103" s="22" t="str">
        <f t="shared" si="7"/>
        <v/>
      </c>
      <c r="L103"/>
      <c r="N103" t="str">
        <f>IF(ISERROR(VLOOKUP(B103,'[1]Zebrik W'!$B$7:$M$1000,12,0)),"",IF(VLOOKUP(B103,'[1]Zebrik W'!$B$7:$M$1000,12,0)=0,"--",VLOOKUP(B103,'[1]Zebrik W'!$B$7:$M$1000,12,0)))</f>
        <v/>
      </c>
    </row>
    <row r="104" spans="1:14" x14ac:dyDescent="0.2">
      <c r="A104" s="21">
        <f t="shared" si="4"/>
        <v>98</v>
      </c>
      <c r="B104" s="16" t="s">
        <v>162</v>
      </c>
      <c r="C104" s="16">
        <v>1983</v>
      </c>
      <c r="D104" s="16" t="s">
        <v>18</v>
      </c>
      <c r="E104" s="16" t="s">
        <v>131</v>
      </c>
      <c r="F104" s="16" t="s">
        <v>41</v>
      </c>
      <c r="G104" s="16">
        <v>20445</v>
      </c>
      <c r="H104" s="20">
        <v>3</v>
      </c>
      <c r="I104" s="21">
        <f t="shared" si="5"/>
        <v>98</v>
      </c>
      <c r="J104" s="22" t="str">
        <f t="shared" si="6"/>
        <v/>
      </c>
      <c r="K104" s="22" t="str">
        <f t="shared" si="7"/>
        <v/>
      </c>
      <c r="L104"/>
      <c r="M104"/>
      <c r="N104" t="str">
        <f>IF(ISERROR(VLOOKUP(B104,'[1]Zebrik W'!$B$7:$M$1000,12,0)),"",IF(VLOOKUP(B104,'[1]Zebrik W'!$B$7:$M$1000,12,0)=0,"--",VLOOKUP(B104,'[1]Zebrik W'!$B$7:$M$1000,12,0)))</f>
        <v/>
      </c>
    </row>
    <row r="105" spans="1:14" x14ac:dyDescent="0.2">
      <c r="A105" s="21">
        <f t="shared" si="4"/>
        <v>99</v>
      </c>
      <c r="B105" s="16" t="s">
        <v>163</v>
      </c>
      <c r="C105" s="16">
        <v>1954</v>
      </c>
      <c r="D105" s="16" t="s">
        <v>18</v>
      </c>
      <c r="E105" s="16" t="s">
        <v>78</v>
      </c>
      <c r="F105" s="16" t="s">
        <v>41</v>
      </c>
      <c r="G105" s="16">
        <v>20444</v>
      </c>
      <c r="H105" s="20">
        <v>3</v>
      </c>
      <c r="I105" s="21">
        <f t="shared" si="5"/>
        <v>99</v>
      </c>
      <c r="J105" s="22" t="str">
        <f t="shared" si="6"/>
        <v/>
      </c>
      <c r="K105" s="22" t="str">
        <f t="shared" si="7"/>
        <v/>
      </c>
      <c r="L105"/>
      <c r="N105" t="str">
        <f>IF(ISERROR(VLOOKUP(B105,'[1]Zebrik W'!$B$7:$M$1000,12,0)),"",IF(VLOOKUP(B105,'[1]Zebrik W'!$B$7:$M$1000,12,0)=0,"--",VLOOKUP(B105,'[1]Zebrik W'!$B$7:$M$1000,12,0)))</f>
        <v/>
      </c>
    </row>
    <row r="106" spans="1:14" x14ac:dyDescent="0.2">
      <c r="A106" s="21">
        <f t="shared" si="4"/>
        <v>100</v>
      </c>
      <c r="B106" s="16" t="s">
        <v>164</v>
      </c>
      <c r="C106" s="16">
        <v>1965</v>
      </c>
      <c r="D106" s="16" t="s">
        <v>49</v>
      </c>
      <c r="E106" s="16" t="s">
        <v>80</v>
      </c>
      <c r="F106" s="16" t="s">
        <v>20</v>
      </c>
      <c r="G106" s="16">
        <v>20388</v>
      </c>
      <c r="H106" s="20">
        <v>3</v>
      </c>
      <c r="I106" s="21">
        <f t="shared" si="5"/>
        <v>100</v>
      </c>
      <c r="J106" s="22" t="str">
        <f t="shared" si="6"/>
        <v/>
      </c>
      <c r="K106" s="22" t="str">
        <f t="shared" si="7"/>
        <v/>
      </c>
      <c r="L106"/>
      <c r="M106"/>
      <c r="N106" t="str">
        <f>IF(ISERROR(VLOOKUP(B106,'[1]Zebrik W'!$B$7:$M$1000,12,0)),"",IF(VLOOKUP(B106,'[1]Zebrik W'!$B$7:$M$1000,12,0)=0,"--",VLOOKUP(B106,'[1]Zebrik W'!$B$7:$M$1000,12,0)))</f>
        <v>--</v>
      </c>
    </row>
    <row r="107" spans="1:14" x14ac:dyDescent="0.2">
      <c r="A107" s="21">
        <f t="shared" si="4"/>
        <v>101</v>
      </c>
      <c r="B107" s="16" t="s">
        <v>165</v>
      </c>
      <c r="C107" s="16">
        <v>1968</v>
      </c>
      <c r="D107" s="16" t="s">
        <v>18</v>
      </c>
      <c r="E107" s="16" t="s">
        <v>166</v>
      </c>
      <c r="F107" s="16" t="s">
        <v>41</v>
      </c>
      <c r="G107" s="16">
        <v>20339</v>
      </c>
      <c r="H107" s="20">
        <v>3</v>
      </c>
      <c r="I107" s="21">
        <f t="shared" si="5"/>
        <v>101</v>
      </c>
      <c r="J107" s="22" t="str">
        <f t="shared" si="6"/>
        <v/>
      </c>
      <c r="K107" s="22" t="str">
        <f t="shared" si="7"/>
        <v/>
      </c>
      <c r="L107"/>
      <c r="M107"/>
      <c r="N107" t="str">
        <f>IF(ISERROR(VLOOKUP(B107,'[1]Zebrik W'!$B$7:$M$1000,12,0)),"",IF(VLOOKUP(B107,'[1]Zebrik W'!$B$7:$M$1000,12,0)=0,"--",VLOOKUP(B107,'[1]Zebrik W'!$B$7:$M$1000,12,0)))</f>
        <v/>
      </c>
    </row>
    <row r="108" spans="1:14" x14ac:dyDescent="0.2">
      <c r="A108" s="21">
        <f t="shared" si="4"/>
        <v>102</v>
      </c>
      <c r="B108" s="16" t="s">
        <v>167</v>
      </c>
      <c r="C108" s="16">
        <v>1983</v>
      </c>
      <c r="D108" s="16" t="s">
        <v>18</v>
      </c>
      <c r="E108" s="16" t="s">
        <v>57</v>
      </c>
      <c r="F108" s="16" t="s">
        <v>24</v>
      </c>
      <c r="G108" s="16">
        <v>20321</v>
      </c>
      <c r="H108" s="20">
        <v>3</v>
      </c>
      <c r="I108" s="21">
        <f t="shared" si="5"/>
        <v>102</v>
      </c>
      <c r="J108" s="22" t="str">
        <f t="shared" si="6"/>
        <v/>
      </c>
      <c r="K108" s="22" t="str">
        <f t="shared" si="7"/>
        <v/>
      </c>
      <c r="L108"/>
      <c r="M108"/>
      <c r="N108" t="str">
        <f>IF(ISERROR(VLOOKUP(B108,'[1]Zebrik W'!$B$7:$M$1000,12,0)),"",IF(VLOOKUP(B108,'[1]Zebrik W'!$B$7:$M$1000,12,0)=0,"--",VLOOKUP(B108,'[1]Zebrik W'!$B$7:$M$1000,12,0)))</f>
        <v/>
      </c>
    </row>
    <row r="109" spans="1:14" x14ac:dyDescent="0.2">
      <c r="A109" s="21">
        <f t="shared" si="4"/>
        <v>103</v>
      </c>
      <c r="B109" s="16" t="s">
        <v>168</v>
      </c>
      <c r="C109" s="16">
        <v>1968</v>
      </c>
      <c r="D109" s="16" t="s">
        <v>18</v>
      </c>
      <c r="E109" s="16" t="s">
        <v>43</v>
      </c>
      <c r="F109" s="16" t="s">
        <v>41</v>
      </c>
      <c r="G109" s="16">
        <v>20281</v>
      </c>
      <c r="H109" s="20">
        <v>3</v>
      </c>
      <c r="I109" s="21">
        <f t="shared" si="5"/>
        <v>103</v>
      </c>
      <c r="J109" s="22" t="str">
        <f t="shared" si="6"/>
        <v/>
      </c>
      <c r="K109" s="22" t="str">
        <f t="shared" si="7"/>
        <v/>
      </c>
      <c r="L109"/>
      <c r="M109"/>
      <c r="N109" t="str">
        <f>IF(ISERROR(VLOOKUP(B109,'[1]Zebrik W'!$B$7:$M$1000,12,0)),"",IF(VLOOKUP(B109,'[1]Zebrik W'!$B$7:$M$1000,12,0)=0,"--",VLOOKUP(B109,'[1]Zebrik W'!$B$7:$M$1000,12,0)))</f>
        <v/>
      </c>
    </row>
    <row r="110" spans="1:14" x14ac:dyDescent="0.2">
      <c r="A110" s="21">
        <f t="shared" si="4"/>
        <v>104</v>
      </c>
      <c r="B110" s="16" t="s">
        <v>169</v>
      </c>
      <c r="C110" s="16">
        <v>1965</v>
      </c>
      <c r="D110" s="16" t="s">
        <v>18</v>
      </c>
      <c r="E110" s="16" t="s">
        <v>170</v>
      </c>
      <c r="F110" s="16" t="s">
        <v>41</v>
      </c>
      <c r="G110" s="16">
        <v>20171</v>
      </c>
      <c r="H110" s="20">
        <v>3</v>
      </c>
      <c r="I110" s="21">
        <f t="shared" si="5"/>
        <v>104</v>
      </c>
      <c r="J110" s="22" t="str">
        <f t="shared" si="6"/>
        <v/>
      </c>
      <c r="K110" s="22" t="str">
        <f t="shared" si="7"/>
        <v/>
      </c>
      <c r="L110"/>
      <c r="M110"/>
      <c r="N110" t="str">
        <f>IF(ISERROR(VLOOKUP(B110,'[1]Zebrik W'!$B$7:$M$1000,12,0)),"",IF(VLOOKUP(B110,'[1]Zebrik W'!$B$7:$M$1000,12,0)=0,"--",VLOOKUP(B110,'[1]Zebrik W'!$B$7:$M$1000,12,0)))</f>
        <v/>
      </c>
    </row>
    <row r="111" spans="1:14" x14ac:dyDescent="0.2">
      <c r="A111" s="21">
        <f t="shared" si="4"/>
        <v>105</v>
      </c>
      <c r="B111" s="16" t="s">
        <v>171</v>
      </c>
      <c r="C111" s="16">
        <v>1987</v>
      </c>
      <c r="D111" s="16" t="s">
        <v>18</v>
      </c>
      <c r="E111" s="16" t="s">
        <v>172</v>
      </c>
      <c r="F111" s="16" t="s">
        <v>24</v>
      </c>
      <c r="G111" s="16">
        <v>20161</v>
      </c>
      <c r="H111" s="20">
        <v>3</v>
      </c>
      <c r="I111" s="21">
        <f t="shared" si="5"/>
        <v>105</v>
      </c>
      <c r="J111" s="22" t="str">
        <f t="shared" si="6"/>
        <v/>
      </c>
      <c r="K111" s="22" t="str">
        <f t="shared" si="7"/>
        <v/>
      </c>
      <c r="L111"/>
      <c r="M111"/>
      <c r="N111" t="str">
        <f>IF(ISERROR(VLOOKUP(B111,'[1]Zebrik W'!$B$7:$M$1000,12,0)),"",IF(VLOOKUP(B111,'[1]Zebrik W'!$B$7:$M$1000,12,0)=0,"--",VLOOKUP(B111,'[1]Zebrik W'!$B$7:$M$1000,12,0)))</f>
        <v/>
      </c>
    </row>
    <row r="112" spans="1:14" x14ac:dyDescent="0.2">
      <c r="A112" s="21">
        <f t="shared" si="4"/>
        <v>106</v>
      </c>
      <c r="B112" s="16" t="s">
        <v>173</v>
      </c>
      <c r="C112" s="16">
        <v>1972</v>
      </c>
      <c r="D112" s="16" t="s">
        <v>18</v>
      </c>
      <c r="E112" s="16" t="s">
        <v>27</v>
      </c>
      <c r="F112" s="16" t="s">
        <v>20</v>
      </c>
      <c r="G112" s="16">
        <v>20146</v>
      </c>
      <c r="H112" s="20">
        <v>3</v>
      </c>
      <c r="I112" s="21">
        <f t="shared" si="5"/>
        <v>106</v>
      </c>
      <c r="J112" s="22" t="str">
        <f t="shared" si="6"/>
        <v/>
      </c>
      <c r="K112" s="22" t="str">
        <f t="shared" si="7"/>
        <v/>
      </c>
      <c r="L112"/>
      <c r="M112"/>
      <c r="N112" t="str">
        <f>IF(ISERROR(VLOOKUP(B112,'[1]Zebrik W'!$B$7:$M$1000,12,0)),"",IF(VLOOKUP(B112,'[1]Zebrik W'!$B$7:$M$1000,12,0)=0,"--",VLOOKUP(B112,'[1]Zebrik W'!$B$7:$M$1000,12,0)))</f>
        <v/>
      </c>
    </row>
    <row r="113" spans="1:14" x14ac:dyDescent="0.2">
      <c r="A113" s="21">
        <f t="shared" si="4"/>
        <v>107</v>
      </c>
      <c r="B113" s="16" t="s">
        <v>174</v>
      </c>
      <c r="C113" s="16">
        <v>1997</v>
      </c>
      <c r="D113" s="16" t="s">
        <v>18</v>
      </c>
      <c r="E113" s="16" t="s">
        <v>31</v>
      </c>
      <c r="F113" s="16" t="s">
        <v>24</v>
      </c>
      <c r="G113" s="16">
        <v>20077</v>
      </c>
      <c r="H113" s="20">
        <v>3</v>
      </c>
      <c r="I113" s="21">
        <f t="shared" si="5"/>
        <v>107</v>
      </c>
      <c r="J113" s="22" t="str">
        <f t="shared" si="6"/>
        <v/>
      </c>
      <c r="K113" s="22" t="str">
        <f t="shared" si="7"/>
        <v/>
      </c>
      <c r="L113"/>
      <c r="M113"/>
      <c r="N113" t="str">
        <f>IF(ISERROR(VLOOKUP(B113,'[1]Zebrik W'!$B$7:$M$1000,12,0)),"",IF(VLOOKUP(B113,'[1]Zebrik W'!$B$7:$M$1000,12,0)=0,"--",VLOOKUP(B113,'[1]Zebrik W'!$B$7:$M$1000,12,0)))</f>
        <v/>
      </c>
    </row>
    <row r="114" spans="1:14" x14ac:dyDescent="0.2">
      <c r="A114" s="21">
        <f t="shared" si="4"/>
        <v>108</v>
      </c>
      <c r="B114" s="16" t="s">
        <v>175</v>
      </c>
      <c r="C114" s="16">
        <v>1971</v>
      </c>
      <c r="D114" s="16" t="s">
        <v>18</v>
      </c>
      <c r="E114" s="16" t="s">
        <v>31</v>
      </c>
      <c r="F114" s="16" t="s">
        <v>24</v>
      </c>
      <c r="G114" s="16">
        <v>20041</v>
      </c>
      <c r="H114" s="20">
        <v>3</v>
      </c>
      <c r="I114" s="21">
        <f t="shared" si="5"/>
        <v>108</v>
      </c>
      <c r="J114" s="22" t="str">
        <f t="shared" si="6"/>
        <v/>
      </c>
      <c r="K114" s="22" t="str">
        <f t="shared" si="7"/>
        <v/>
      </c>
      <c r="L114"/>
      <c r="M114"/>
      <c r="N114" t="str">
        <f>IF(ISERROR(VLOOKUP(B114,'[1]Zebrik W'!$B$7:$M$1000,12,0)),"",IF(VLOOKUP(B114,'[1]Zebrik W'!$B$7:$M$1000,12,0)=0,"--",VLOOKUP(B114,'[1]Zebrik W'!$B$7:$M$1000,12,0)))</f>
        <v/>
      </c>
    </row>
    <row r="115" spans="1:14" x14ac:dyDescent="0.2">
      <c r="A115" s="21">
        <f t="shared" si="4"/>
        <v>109</v>
      </c>
      <c r="B115" s="16" t="s">
        <v>176</v>
      </c>
      <c r="C115" s="16">
        <v>1972</v>
      </c>
      <c r="D115" s="16" t="s">
        <v>18</v>
      </c>
      <c r="E115" s="16" t="s">
        <v>140</v>
      </c>
      <c r="F115" s="16" t="s">
        <v>20</v>
      </c>
      <c r="G115" s="16">
        <v>20019</v>
      </c>
      <c r="H115" s="20">
        <v>3</v>
      </c>
      <c r="I115" s="21">
        <f t="shared" si="5"/>
        <v>109</v>
      </c>
      <c r="J115" s="22" t="str">
        <f t="shared" si="6"/>
        <v/>
      </c>
      <c r="K115" s="22" t="str">
        <f t="shared" si="7"/>
        <v/>
      </c>
      <c r="L115"/>
      <c r="M115"/>
      <c r="N115" t="str">
        <f>IF(ISERROR(VLOOKUP(B115,'[1]Zebrik W'!$B$7:$M$1000,12,0)),"",IF(VLOOKUP(B115,'[1]Zebrik W'!$B$7:$M$1000,12,0)=0,"--",VLOOKUP(B115,'[1]Zebrik W'!$B$7:$M$1000,12,0)))</f>
        <v/>
      </c>
    </row>
    <row r="116" spans="1:14" x14ac:dyDescent="0.2">
      <c r="A116" s="21">
        <f t="shared" si="4"/>
        <v>110</v>
      </c>
      <c r="B116" s="16" t="s">
        <v>177</v>
      </c>
      <c r="C116" s="16">
        <v>1987</v>
      </c>
      <c r="D116" s="16" t="s">
        <v>18</v>
      </c>
      <c r="E116" s="16" t="s">
        <v>160</v>
      </c>
      <c r="F116" s="16" t="s">
        <v>20</v>
      </c>
      <c r="G116" s="16">
        <v>19921</v>
      </c>
      <c r="H116" s="20">
        <v>3</v>
      </c>
      <c r="I116" s="21">
        <f t="shared" si="5"/>
        <v>110</v>
      </c>
      <c r="J116" s="22" t="str">
        <f t="shared" si="6"/>
        <v/>
      </c>
      <c r="K116" s="22" t="str">
        <f t="shared" si="7"/>
        <v/>
      </c>
      <c r="L116"/>
      <c r="M116"/>
      <c r="N116" t="str">
        <f>IF(ISERROR(VLOOKUP(B116,'[1]Zebrik W'!$B$7:$M$1000,12,0)),"",IF(VLOOKUP(B116,'[1]Zebrik W'!$B$7:$M$1000,12,0)=0,"--",VLOOKUP(B116,'[1]Zebrik W'!$B$7:$M$1000,12,0)))</f>
        <v/>
      </c>
    </row>
    <row r="117" spans="1:14" x14ac:dyDescent="0.2">
      <c r="A117" s="21">
        <f t="shared" si="4"/>
        <v>111</v>
      </c>
      <c r="B117" s="16" t="s">
        <v>178</v>
      </c>
      <c r="C117" s="16">
        <v>1957</v>
      </c>
      <c r="D117" s="16" t="s">
        <v>18</v>
      </c>
      <c r="E117" s="16" t="s">
        <v>65</v>
      </c>
      <c r="F117" s="16" t="s">
        <v>41</v>
      </c>
      <c r="G117" s="16">
        <v>19899</v>
      </c>
      <c r="H117" s="20">
        <v>3</v>
      </c>
      <c r="I117" s="21">
        <f t="shared" si="5"/>
        <v>111</v>
      </c>
      <c r="J117" s="22" t="str">
        <f t="shared" si="6"/>
        <v/>
      </c>
      <c r="K117" s="22" t="str">
        <f t="shared" si="7"/>
        <v/>
      </c>
      <c r="L117"/>
      <c r="M117"/>
      <c r="N117" t="str">
        <f>IF(ISERROR(VLOOKUP(B117,'[1]Zebrik W'!$B$7:$M$1000,12,0)),"",IF(VLOOKUP(B117,'[1]Zebrik W'!$B$7:$M$1000,12,0)=0,"--",VLOOKUP(B117,'[1]Zebrik W'!$B$7:$M$1000,12,0)))</f>
        <v/>
      </c>
    </row>
    <row r="118" spans="1:14" x14ac:dyDescent="0.2">
      <c r="A118" s="21">
        <f t="shared" si="4"/>
        <v>112</v>
      </c>
      <c r="B118" s="16" t="s">
        <v>179</v>
      </c>
      <c r="C118" s="16">
        <v>1959</v>
      </c>
      <c r="D118" s="16" t="s">
        <v>18</v>
      </c>
      <c r="E118" s="16" t="s">
        <v>180</v>
      </c>
      <c r="F118" s="16" t="s">
        <v>20</v>
      </c>
      <c r="G118" s="16">
        <v>19817</v>
      </c>
      <c r="H118" s="20">
        <v>3</v>
      </c>
      <c r="I118" s="21">
        <f t="shared" si="5"/>
        <v>112</v>
      </c>
      <c r="J118" s="22" t="str">
        <f t="shared" si="6"/>
        <v/>
      </c>
      <c r="K118" s="22" t="str">
        <f t="shared" si="7"/>
        <v/>
      </c>
      <c r="L118"/>
      <c r="M118"/>
      <c r="N118" t="str">
        <f>IF(ISERROR(VLOOKUP(B118,'[1]Zebrik W'!$B$7:$M$1000,12,0)),"",IF(VLOOKUP(B118,'[1]Zebrik W'!$B$7:$M$1000,12,0)=0,"--",VLOOKUP(B118,'[1]Zebrik W'!$B$7:$M$1000,12,0)))</f>
        <v/>
      </c>
    </row>
    <row r="119" spans="1:14" x14ac:dyDescent="0.2">
      <c r="A119" s="21">
        <f t="shared" si="4"/>
        <v>113</v>
      </c>
      <c r="B119" s="16" t="s">
        <v>181</v>
      </c>
      <c r="C119" s="16">
        <v>1973</v>
      </c>
      <c r="D119" s="16" t="s">
        <v>18</v>
      </c>
      <c r="E119" s="16" t="s">
        <v>40</v>
      </c>
      <c r="F119" s="16" t="s">
        <v>41</v>
      </c>
      <c r="G119" s="16">
        <v>19785</v>
      </c>
      <c r="H119" s="20">
        <v>3</v>
      </c>
      <c r="I119" s="21">
        <f t="shared" si="5"/>
        <v>113</v>
      </c>
      <c r="J119" s="22" t="str">
        <f t="shared" si="6"/>
        <v/>
      </c>
      <c r="K119" s="22" t="str">
        <f t="shared" si="7"/>
        <v/>
      </c>
      <c r="L119"/>
      <c r="M119"/>
      <c r="N119" t="str">
        <f>IF(ISERROR(VLOOKUP(B119,'[1]Zebrik W'!$B$7:$M$1000,12,0)),"",IF(VLOOKUP(B119,'[1]Zebrik W'!$B$7:$M$1000,12,0)=0,"--",VLOOKUP(B119,'[1]Zebrik W'!$B$7:$M$1000,12,0)))</f>
        <v/>
      </c>
    </row>
    <row r="120" spans="1:14" x14ac:dyDescent="0.2">
      <c r="A120" s="21">
        <f t="shared" si="4"/>
        <v>114</v>
      </c>
      <c r="B120" s="16" t="s">
        <v>182</v>
      </c>
      <c r="C120" s="16">
        <v>1981</v>
      </c>
      <c r="D120" s="16" t="s">
        <v>18</v>
      </c>
      <c r="E120" s="16" t="s">
        <v>101</v>
      </c>
      <c r="F120" s="16" t="s">
        <v>20</v>
      </c>
      <c r="G120" s="16">
        <v>19758</v>
      </c>
      <c r="H120" s="20">
        <v>3</v>
      </c>
      <c r="I120" s="21">
        <f t="shared" si="5"/>
        <v>114</v>
      </c>
      <c r="J120" s="22" t="str">
        <f t="shared" si="6"/>
        <v/>
      </c>
      <c r="K120" s="22" t="str">
        <f t="shared" si="7"/>
        <v/>
      </c>
      <c r="L120"/>
      <c r="M120"/>
      <c r="N120" t="str">
        <f>IF(ISERROR(VLOOKUP(B120,'[1]Zebrik W'!$B$7:$M$1000,12,0)),"",IF(VLOOKUP(B120,'[1]Zebrik W'!$B$7:$M$1000,12,0)=0,"--",VLOOKUP(B120,'[1]Zebrik W'!$B$7:$M$1000,12,0)))</f>
        <v/>
      </c>
    </row>
    <row r="121" spans="1:14" x14ac:dyDescent="0.2">
      <c r="A121" s="21">
        <f t="shared" si="4"/>
        <v>115</v>
      </c>
      <c r="B121" s="16" t="s">
        <v>183</v>
      </c>
      <c r="C121" s="16">
        <v>1973</v>
      </c>
      <c r="D121" s="16" t="s">
        <v>18</v>
      </c>
      <c r="E121" s="16" t="s">
        <v>115</v>
      </c>
      <c r="F121" s="16" t="s">
        <v>24</v>
      </c>
      <c r="G121" s="16">
        <v>19734</v>
      </c>
      <c r="H121" s="20">
        <v>3</v>
      </c>
      <c r="I121" s="21">
        <f t="shared" si="5"/>
        <v>115</v>
      </c>
      <c r="J121" s="22" t="str">
        <f t="shared" si="6"/>
        <v/>
      </c>
      <c r="K121" s="22" t="str">
        <f t="shared" si="7"/>
        <v/>
      </c>
      <c r="L121"/>
      <c r="M121"/>
      <c r="N121" t="str">
        <f>IF(ISERROR(VLOOKUP(B121,'[1]Zebrik W'!$B$7:$M$1000,12,0)),"",IF(VLOOKUP(B121,'[1]Zebrik W'!$B$7:$M$1000,12,0)=0,"--",VLOOKUP(B121,'[1]Zebrik W'!$B$7:$M$1000,12,0)))</f>
        <v/>
      </c>
    </row>
    <row r="122" spans="1:14" x14ac:dyDescent="0.2">
      <c r="A122" s="21">
        <f t="shared" si="4"/>
        <v>116</v>
      </c>
      <c r="B122" s="16" t="s">
        <v>184</v>
      </c>
      <c r="C122" s="16">
        <v>1962</v>
      </c>
      <c r="D122" s="16" t="s">
        <v>18</v>
      </c>
      <c r="E122" s="16" t="s">
        <v>45</v>
      </c>
      <c r="F122" s="16" t="s">
        <v>24</v>
      </c>
      <c r="G122" s="16">
        <v>19515</v>
      </c>
      <c r="H122" s="20">
        <v>3</v>
      </c>
      <c r="I122" s="21">
        <f t="shared" si="5"/>
        <v>116</v>
      </c>
      <c r="J122" s="22" t="str">
        <f t="shared" si="6"/>
        <v/>
      </c>
      <c r="K122" s="22" t="str">
        <f t="shared" si="7"/>
        <v/>
      </c>
      <c r="L122"/>
      <c r="M122"/>
      <c r="N122" t="str">
        <f>IF(ISERROR(VLOOKUP(B122,'[1]Zebrik W'!$B$7:$M$1000,12,0)),"",IF(VLOOKUP(B122,'[1]Zebrik W'!$B$7:$M$1000,12,0)=0,"--",VLOOKUP(B122,'[1]Zebrik W'!$B$7:$M$1000,12,0)))</f>
        <v/>
      </c>
    </row>
    <row r="123" spans="1:14" x14ac:dyDescent="0.2">
      <c r="A123" s="21">
        <f t="shared" si="4"/>
        <v>117</v>
      </c>
      <c r="B123" s="16" t="s">
        <v>185</v>
      </c>
      <c r="C123" s="16">
        <v>1982</v>
      </c>
      <c r="D123" s="16" t="s">
        <v>18</v>
      </c>
      <c r="E123" s="16" t="s">
        <v>115</v>
      </c>
      <c r="F123" s="16" t="s">
        <v>24</v>
      </c>
      <c r="G123" s="16">
        <v>19389</v>
      </c>
      <c r="H123" s="20">
        <v>3</v>
      </c>
      <c r="I123" s="21">
        <f t="shared" si="5"/>
        <v>117</v>
      </c>
      <c r="J123" s="22" t="str">
        <f t="shared" si="6"/>
        <v/>
      </c>
      <c r="K123" s="22" t="str">
        <f t="shared" si="7"/>
        <v/>
      </c>
      <c r="L123"/>
      <c r="M123"/>
      <c r="N123" t="str">
        <f>IF(ISERROR(VLOOKUP(B123,'[1]Zebrik W'!$B$7:$M$1000,12,0)),"",IF(VLOOKUP(B123,'[1]Zebrik W'!$B$7:$M$1000,12,0)=0,"--",VLOOKUP(B123,'[1]Zebrik W'!$B$7:$M$1000,12,0)))</f>
        <v/>
      </c>
    </row>
    <row r="124" spans="1:14" x14ac:dyDescent="0.2">
      <c r="A124" s="21">
        <f t="shared" si="4"/>
        <v>118</v>
      </c>
      <c r="B124" s="16" t="s">
        <v>186</v>
      </c>
      <c r="C124" s="16">
        <v>1979</v>
      </c>
      <c r="D124" s="16" t="s">
        <v>18</v>
      </c>
      <c r="E124" s="16" t="s">
        <v>65</v>
      </c>
      <c r="F124" s="16" t="s">
        <v>41</v>
      </c>
      <c r="G124" s="16">
        <v>19386</v>
      </c>
      <c r="H124" s="20">
        <v>3</v>
      </c>
      <c r="I124" s="21">
        <f t="shared" si="5"/>
        <v>118</v>
      </c>
      <c r="J124" s="22" t="str">
        <f t="shared" si="6"/>
        <v/>
      </c>
      <c r="K124" s="22" t="str">
        <f t="shared" si="7"/>
        <v/>
      </c>
      <c r="L124"/>
      <c r="M124"/>
      <c r="N124" t="str">
        <f>IF(ISERROR(VLOOKUP(B124,'[1]Zebrik W'!$B$7:$M$1000,12,0)),"",IF(VLOOKUP(B124,'[1]Zebrik W'!$B$7:$M$1000,12,0)=0,"--",VLOOKUP(B124,'[1]Zebrik W'!$B$7:$M$1000,12,0)))</f>
        <v/>
      </c>
    </row>
    <row r="125" spans="1:14" x14ac:dyDescent="0.2">
      <c r="A125" s="21">
        <f t="shared" si="4"/>
        <v>119</v>
      </c>
      <c r="B125" s="16" t="s">
        <v>187</v>
      </c>
      <c r="C125" s="16">
        <v>2001</v>
      </c>
      <c r="D125" s="16" t="s">
        <v>18</v>
      </c>
      <c r="E125" s="16" t="s">
        <v>188</v>
      </c>
      <c r="F125" s="16" t="s">
        <v>41</v>
      </c>
      <c r="G125" s="16">
        <v>19324</v>
      </c>
      <c r="H125" s="20">
        <v>3</v>
      </c>
      <c r="I125" s="21">
        <f t="shared" si="5"/>
        <v>119</v>
      </c>
      <c r="J125" s="22" t="str">
        <f t="shared" si="6"/>
        <v>Junior v roce 2026</v>
      </c>
      <c r="K125" s="22" t="str">
        <f t="shared" si="7"/>
        <v/>
      </c>
      <c r="L125"/>
      <c r="M125"/>
      <c r="N125" t="str">
        <f>IF(ISERROR(VLOOKUP(B125,'[1]Zebrik W'!$B$7:$M$1000,12,0)),"",IF(VLOOKUP(B125,'[1]Zebrik W'!$B$7:$M$1000,12,0)=0,"--",VLOOKUP(B125,'[1]Zebrik W'!$B$7:$M$1000,12,0)))</f>
        <v/>
      </c>
    </row>
    <row r="126" spans="1:14" x14ac:dyDescent="0.2">
      <c r="A126" s="21">
        <f t="shared" si="4"/>
        <v>120</v>
      </c>
      <c r="B126" s="16" t="s">
        <v>189</v>
      </c>
      <c r="C126" s="16">
        <v>1970</v>
      </c>
      <c r="D126" s="16" t="s">
        <v>18</v>
      </c>
      <c r="E126" s="16" t="s">
        <v>29</v>
      </c>
      <c r="F126" s="16" t="s">
        <v>24</v>
      </c>
      <c r="G126" s="16">
        <v>19046</v>
      </c>
      <c r="H126" s="20">
        <v>3</v>
      </c>
      <c r="I126" s="21">
        <f t="shared" si="5"/>
        <v>120</v>
      </c>
      <c r="J126" s="22" t="str">
        <f t="shared" si="6"/>
        <v/>
      </c>
      <c r="K126" s="22" t="str">
        <f t="shared" si="7"/>
        <v/>
      </c>
      <c r="L126"/>
      <c r="M126"/>
      <c r="N126" t="str">
        <f>IF(ISERROR(VLOOKUP(B126,'[1]Zebrik W'!$B$7:$M$1000,12,0)),"",IF(VLOOKUP(B126,'[1]Zebrik W'!$B$7:$M$1000,12,0)=0,"--",VLOOKUP(B126,'[1]Zebrik W'!$B$7:$M$1000,12,0)))</f>
        <v/>
      </c>
    </row>
    <row r="127" spans="1:14" x14ac:dyDescent="0.2">
      <c r="A127" s="21">
        <f t="shared" si="4"/>
        <v>120</v>
      </c>
      <c r="B127" s="16" t="s">
        <v>190</v>
      </c>
      <c r="C127" s="16">
        <v>2006</v>
      </c>
      <c r="D127" s="16" t="s">
        <v>18</v>
      </c>
      <c r="E127" s="16" t="s">
        <v>191</v>
      </c>
      <c r="F127" s="16" t="s">
        <v>24</v>
      </c>
      <c r="G127" s="16">
        <v>19046</v>
      </c>
      <c r="H127" s="20">
        <v>3</v>
      </c>
      <c r="I127" s="21">
        <f t="shared" si="5"/>
        <v>120</v>
      </c>
      <c r="J127" s="22" t="str">
        <f t="shared" si="6"/>
        <v>Junior v roce 2026</v>
      </c>
      <c r="K127" s="22" t="str">
        <f t="shared" si="7"/>
        <v>Junior v roce 2027</v>
      </c>
      <c r="L127"/>
      <c r="M127"/>
      <c r="N127" t="str">
        <f>IF(ISERROR(VLOOKUP(B127,'[1]Zebrik W'!$B$7:$M$1000,12,0)),"",IF(VLOOKUP(B127,'[1]Zebrik W'!$B$7:$M$1000,12,0)=0,"--",VLOOKUP(B127,'[1]Zebrik W'!$B$7:$M$1000,12,0)))</f>
        <v/>
      </c>
    </row>
    <row r="128" spans="1:14" x14ac:dyDescent="0.2">
      <c r="A128" s="21">
        <f t="shared" si="4"/>
        <v>122</v>
      </c>
      <c r="B128" s="16" t="s">
        <v>192</v>
      </c>
      <c r="C128" s="16">
        <v>1983</v>
      </c>
      <c r="D128" s="16" t="s">
        <v>18</v>
      </c>
      <c r="E128" s="16" t="s">
        <v>193</v>
      </c>
      <c r="F128" s="16" t="s">
        <v>24</v>
      </c>
      <c r="G128" s="16">
        <v>18824</v>
      </c>
      <c r="H128" s="20">
        <v>3</v>
      </c>
      <c r="I128" s="21">
        <f t="shared" si="5"/>
        <v>122</v>
      </c>
      <c r="J128" s="22" t="str">
        <f t="shared" si="6"/>
        <v/>
      </c>
      <c r="K128" s="22" t="str">
        <f t="shared" si="7"/>
        <v/>
      </c>
      <c r="L128"/>
      <c r="M128"/>
      <c r="N128" t="str">
        <f>IF(ISERROR(VLOOKUP(B128,'[1]Zebrik W'!$B$7:$M$1000,12,0)),"",IF(VLOOKUP(B128,'[1]Zebrik W'!$B$7:$M$1000,12,0)=0,"--",VLOOKUP(B128,'[1]Zebrik W'!$B$7:$M$1000,12,0)))</f>
        <v/>
      </c>
    </row>
    <row r="129" spans="1:14" x14ac:dyDescent="0.2">
      <c r="A129" s="21">
        <f t="shared" si="4"/>
        <v>123</v>
      </c>
      <c r="B129" s="16" t="s">
        <v>194</v>
      </c>
      <c r="C129" s="16">
        <v>1976</v>
      </c>
      <c r="D129" s="16" t="s">
        <v>18</v>
      </c>
      <c r="E129" s="16" t="s">
        <v>23</v>
      </c>
      <c r="F129" s="16" t="s">
        <v>24</v>
      </c>
      <c r="G129" s="16">
        <v>18635</v>
      </c>
      <c r="H129" s="20">
        <v>3</v>
      </c>
      <c r="I129" s="21">
        <f t="shared" si="5"/>
        <v>123</v>
      </c>
      <c r="J129" s="22" t="str">
        <f t="shared" si="6"/>
        <v/>
      </c>
      <c r="K129" s="22" t="str">
        <f t="shared" si="7"/>
        <v/>
      </c>
      <c r="L129"/>
      <c r="M129"/>
      <c r="N129" t="str">
        <f>IF(ISERROR(VLOOKUP(B129,'[1]Zebrik W'!$B$7:$M$1000,12,0)),"",IF(VLOOKUP(B129,'[1]Zebrik W'!$B$7:$M$1000,12,0)=0,"--",VLOOKUP(B129,'[1]Zebrik W'!$B$7:$M$1000,12,0)))</f>
        <v/>
      </c>
    </row>
    <row r="130" spans="1:14" x14ac:dyDescent="0.2">
      <c r="A130" s="21">
        <f t="shared" si="4"/>
        <v>124</v>
      </c>
      <c r="B130" s="16" t="s">
        <v>195</v>
      </c>
      <c r="C130" s="16">
        <v>1984</v>
      </c>
      <c r="D130" s="16" t="s">
        <v>18</v>
      </c>
      <c r="E130" s="16" t="s">
        <v>65</v>
      </c>
      <c r="F130" s="16" t="s">
        <v>41</v>
      </c>
      <c r="G130" s="16">
        <v>18623</v>
      </c>
      <c r="H130" s="20">
        <v>3</v>
      </c>
      <c r="I130" s="21">
        <f t="shared" si="5"/>
        <v>124</v>
      </c>
      <c r="J130" s="22" t="str">
        <f t="shared" si="6"/>
        <v/>
      </c>
      <c r="K130" s="22" t="str">
        <f t="shared" si="7"/>
        <v/>
      </c>
      <c r="L130"/>
      <c r="M130"/>
      <c r="N130" t="str">
        <f>IF(ISERROR(VLOOKUP(B130,'[1]Zebrik W'!$B$7:$M$1000,12,0)),"",IF(VLOOKUP(B130,'[1]Zebrik W'!$B$7:$M$1000,12,0)=0,"--",VLOOKUP(B130,'[1]Zebrik W'!$B$7:$M$1000,12,0)))</f>
        <v/>
      </c>
    </row>
    <row r="131" spans="1:14" x14ac:dyDescent="0.2">
      <c r="A131" s="21">
        <f t="shared" si="4"/>
        <v>125</v>
      </c>
      <c r="B131" s="16" t="s">
        <v>196</v>
      </c>
      <c r="C131" s="16">
        <v>1942</v>
      </c>
      <c r="D131" s="16" t="s">
        <v>18</v>
      </c>
      <c r="E131" s="16" t="s">
        <v>188</v>
      </c>
      <c r="F131" s="16" t="s">
        <v>41</v>
      </c>
      <c r="G131" s="16">
        <v>18387</v>
      </c>
      <c r="H131" s="20">
        <v>3</v>
      </c>
      <c r="I131" s="21">
        <f t="shared" si="5"/>
        <v>125</v>
      </c>
      <c r="J131" s="22" t="str">
        <f t="shared" si="6"/>
        <v/>
      </c>
      <c r="K131" s="22" t="str">
        <f t="shared" si="7"/>
        <v/>
      </c>
      <c r="L131"/>
      <c r="M131"/>
      <c r="N131" t="str">
        <f>IF(ISERROR(VLOOKUP(B131,'[1]Zebrik W'!$B$7:$M$1000,12,0)),"",IF(VLOOKUP(B131,'[1]Zebrik W'!$B$7:$M$1000,12,0)=0,"--",VLOOKUP(B131,'[1]Zebrik W'!$B$7:$M$1000,12,0)))</f>
        <v/>
      </c>
    </row>
    <row r="132" spans="1:14" x14ac:dyDescent="0.2">
      <c r="A132" s="21">
        <f t="shared" si="4"/>
        <v>126</v>
      </c>
      <c r="B132" s="16" t="s">
        <v>197</v>
      </c>
      <c r="C132" s="16">
        <v>1963</v>
      </c>
      <c r="D132" s="16" t="s">
        <v>18</v>
      </c>
      <c r="E132" s="16" t="s">
        <v>99</v>
      </c>
      <c r="F132" s="16" t="s">
        <v>24</v>
      </c>
      <c r="G132" s="16">
        <v>18301</v>
      </c>
      <c r="H132" s="20">
        <v>3</v>
      </c>
      <c r="I132" s="21">
        <f t="shared" si="5"/>
        <v>126</v>
      </c>
      <c r="J132" s="22" t="str">
        <f t="shared" si="6"/>
        <v/>
      </c>
      <c r="K132" s="22" t="str">
        <f t="shared" si="7"/>
        <v/>
      </c>
      <c r="L132"/>
      <c r="M132"/>
      <c r="N132" t="str">
        <f>IF(ISERROR(VLOOKUP(B132,'[1]Zebrik W'!$B$7:$M$1000,12,0)),"",IF(VLOOKUP(B132,'[1]Zebrik W'!$B$7:$M$1000,12,0)=0,"--",VLOOKUP(B132,'[1]Zebrik W'!$B$7:$M$1000,12,0)))</f>
        <v/>
      </c>
    </row>
    <row r="133" spans="1:14" x14ac:dyDescent="0.2">
      <c r="A133" s="21">
        <f t="shared" si="4"/>
        <v>127</v>
      </c>
      <c r="B133" s="16" t="s">
        <v>198</v>
      </c>
      <c r="C133" s="16">
        <v>1972</v>
      </c>
      <c r="D133" s="16" t="s">
        <v>18</v>
      </c>
      <c r="E133" s="16" t="s">
        <v>199</v>
      </c>
      <c r="F133" s="16" t="s">
        <v>41</v>
      </c>
      <c r="G133" s="16">
        <v>18181</v>
      </c>
      <c r="H133" s="20">
        <v>3</v>
      </c>
      <c r="I133" s="21">
        <f t="shared" si="5"/>
        <v>127</v>
      </c>
      <c r="J133" s="22" t="str">
        <f t="shared" si="6"/>
        <v/>
      </c>
      <c r="K133" s="22" t="str">
        <f t="shared" si="7"/>
        <v/>
      </c>
      <c r="L133"/>
      <c r="M133"/>
      <c r="N133" t="str">
        <f>IF(ISERROR(VLOOKUP(B133,'[1]Zebrik W'!$B$7:$M$1000,12,0)),"",IF(VLOOKUP(B133,'[1]Zebrik W'!$B$7:$M$1000,12,0)=0,"--",VLOOKUP(B133,'[1]Zebrik W'!$B$7:$M$1000,12,0)))</f>
        <v/>
      </c>
    </row>
    <row r="134" spans="1:14" x14ac:dyDescent="0.2">
      <c r="A134" s="21">
        <f t="shared" si="4"/>
        <v>128</v>
      </c>
      <c r="B134" s="16" t="s">
        <v>200</v>
      </c>
      <c r="C134" s="16">
        <v>1954</v>
      </c>
      <c r="D134" s="16" t="s">
        <v>18</v>
      </c>
      <c r="E134" s="16" t="s">
        <v>155</v>
      </c>
      <c r="F134" s="16" t="s">
        <v>41</v>
      </c>
      <c r="G134" s="16">
        <v>18062</v>
      </c>
      <c r="H134" s="20">
        <v>3</v>
      </c>
      <c r="I134" s="21">
        <f t="shared" si="5"/>
        <v>128</v>
      </c>
      <c r="J134" s="22" t="str">
        <f t="shared" si="6"/>
        <v/>
      </c>
      <c r="K134" s="22" t="str">
        <f t="shared" si="7"/>
        <v/>
      </c>
      <c r="L134"/>
      <c r="M134"/>
      <c r="N134" t="str">
        <f>IF(ISERROR(VLOOKUP(B134,'[1]Zebrik W'!$B$7:$M$1000,12,0)),"",IF(VLOOKUP(B134,'[1]Zebrik W'!$B$7:$M$1000,12,0)=0,"--",VLOOKUP(B134,'[1]Zebrik W'!$B$7:$M$1000,12,0)))</f>
        <v/>
      </c>
    </row>
    <row r="135" spans="1:14" x14ac:dyDescent="0.2">
      <c r="A135" s="21">
        <f t="shared" ref="A135:A198" si="8">RANK(G135,G:G)</f>
        <v>129</v>
      </c>
      <c r="B135" s="16" t="s">
        <v>201</v>
      </c>
      <c r="C135" s="16">
        <v>1983</v>
      </c>
      <c r="D135" s="16" t="s">
        <v>18</v>
      </c>
      <c r="E135" s="16" t="s">
        <v>99</v>
      </c>
      <c r="F135" s="16" t="s">
        <v>24</v>
      </c>
      <c r="G135" s="16">
        <v>17960</v>
      </c>
      <c r="H135" s="20">
        <v>3</v>
      </c>
      <c r="I135" s="21">
        <f t="shared" si="5"/>
        <v>129</v>
      </c>
      <c r="J135" s="22" t="str">
        <f t="shared" si="6"/>
        <v/>
      </c>
      <c r="K135" s="22" t="str">
        <f t="shared" si="7"/>
        <v/>
      </c>
      <c r="L135"/>
      <c r="M135"/>
      <c r="N135" t="str">
        <f>IF(ISERROR(VLOOKUP(B135,'[1]Zebrik W'!$B$7:$M$1000,12,0)),"",IF(VLOOKUP(B135,'[1]Zebrik W'!$B$7:$M$1000,12,0)=0,"--",VLOOKUP(B135,'[1]Zebrik W'!$B$7:$M$1000,12,0)))</f>
        <v/>
      </c>
    </row>
    <row r="136" spans="1:14" x14ac:dyDescent="0.2">
      <c r="A136" s="21">
        <f t="shared" si="8"/>
        <v>130</v>
      </c>
      <c r="B136" s="16" t="s">
        <v>202</v>
      </c>
      <c r="C136" s="16">
        <v>1992</v>
      </c>
      <c r="D136" s="16" t="s">
        <v>18</v>
      </c>
      <c r="E136" s="16" t="s">
        <v>31</v>
      </c>
      <c r="F136" s="16" t="s">
        <v>24</v>
      </c>
      <c r="G136" s="16">
        <v>17833</v>
      </c>
      <c r="H136" s="20">
        <v>3</v>
      </c>
      <c r="I136" s="21">
        <f t="shared" ref="I136:I199" si="9">RANK(G136,G:G)</f>
        <v>130</v>
      </c>
      <c r="J136" s="22" t="str">
        <f t="shared" ref="J136:J199" si="10">IF(C136="(prázdné)","",IF(($J$4-C136)&gt;25,"","Junior v roce "&amp;$J$4))</f>
        <v/>
      </c>
      <c r="K136" s="22" t="str">
        <f t="shared" ref="K136:K199" si="11">IF(C136="(prázdné)","",IF(($K$4-C136)&gt;25,"","Junior v roce "&amp;$K$4))</f>
        <v/>
      </c>
      <c r="L136"/>
      <c r="M136"/>
      <c r="N136" t="str">
        <f>IF(ISERROR(VLOOKUP(B136,'[1]Zebrik W'!$B$7:$M$1000,12,0)),"",IF(VLOOKUP(B136,'[1]Zebrik W'!$B$7:$M$1000,12,0)=0,"--",VLOOKUP(B136,'[1]Zebrik W'!$B$7:$M$1000,12,0)))</f>
        <v/>
      </c>
    </row>
    <row r="137" spans="1:14" x14ac:dyDescent="0.2">
      <c r="A137" s="21">
        <f t="shared" si="8"/>
        <v>131</v>
      </c>
      <c r="B137" s="16" t="s">
        <v>203</v>
      </c>
      <c r="C137" s="16">
        <v>1983</v>
      </c>
      <c r="D137" s="16" t="s">
        <v>18</v>
      </c>
      <c r="E137" s="16" t="s">
        <v>43</v>
      </c>
      <c r="F137" s="16" t="s">
        <v>41</v>
      </c>
      <c r="G137" s="16">
        <v>17724</v>
      </c>
      <c r="H137" s="20">
        <v>2</v>
      </c>
      <c r="I137" s="21">
        <f t="shared" si="9"/>
        <v>131</v>
      </c>
      <c r="J137" s="22" t="str">
        <f t="shared" si="10"/>
        <v/>
      </c>
      <c r="K137" s="22" t="str">
        <f t="shared" si="11"/>
        <v/>
      </c>
      <c r="L137"/>
      <c r="M137"/>
      <c r="N137" t="str">
        <f>IF(ISERROR(VLOOKUP(B137,'[1]Zebrik W'!$B$7:$M$1000,12,0)),"",IF(VLOOKUP(B137,'[1]Zebrik W'!$B$7:$M$1000,12,0)=0,"--",VLOOKUP(B137,'[1]Zebrik W'!$B$7:$M$1000,12,0)))</f>
        <v/>
      </c>
    </row>
    <row r="138" spans="1:14" x14ac:dyDescent="0.2">
      <c r="A138" s="21">
        <f t="shared" si="8"/>
        <v>132</v>
      </c>
      <c r="B138" s="16" t="s">
        <v>204</v>
      </c>
      <c r="C138" s="16">
        <v>2002</v>
      </c>
      <c r="D138" s="16" t="s">
        <v>18</v>
      </c>
      <c r="E138" s="16" t="s">
        <v>19</v>
      </c>
      <c r="F138" s="16" t="s">
        <v>20</v>
      </c>
      <c r="G138" s="16">
        <v>17684</v>
      </c>
      <c r="H138" s="20">
        <v>3</v>
      </c>
      <c r="I138" s="21">
        <f t="shared" si="9"/>
        <v>132</v>
      </c>
      <c r="J138" s="22" t="str">
        <f t="shared" si="10"/>
        <v>Junior v roce 2026</v>
      </c>
      <c r="K138" s="22" t="str">
        <f t="shared" si="11"/>
        <v>Junior v roce 2027</v>
      </c>
      <c r="L138"/>
      <c r="M138"/>
      <c r="N138" t="str">
        <f>IF(ISERROR(VLOOKUP(B138,'[1]Zebrik W'!$B$7:$M$1000,12,0)),"",IF(VLOOKUP(B138,'[1]Zebrik W'!$B$7:$M$1000,12,0)=0,"--",VLOOKUP(B138,'[1]Zebrik W'!$B$7:$M$1000,12,0)))</f>
        <v/>
      </c>
    </row>
    <row r="139" spans="1:14" x14ac:dyDescent="0.2">
      <c r="A139" s="21">
        <f t="shared" si="8"/>
        <v>133</v>
      </c>
      <c r="B139" s="16" t="s">
        <v>205</v>
      </c>
      <c r="C139" s="16">
        <v>1972</v>
      </c>
      <c r="D139" s="16" t="s">
        <v>18</v>
      </c>
      <c r="E139" s="16" t="s">
        <v>206</v>
      </c>
      <c r="F139" s="16" t="s">
        <v>20</v>
      </c>
      <c r="G139" s="16">
        <v>17672</v>
      </c>
      <c r="H139" s="20">
        <v>3</v>
      </c>
      <c r="I139" s="21">
        <f t="shared" si="9"/>
        <v>133</v>
      </c>
      <c r="J139" s="22" t="str">
        <f t="shared" si="10"/>
        <v/>
      </c>
      <c r="K139" s="22" t="str">
        <f t="shared" si="11"/>
        <v/>
      </c>
      <c r="L139"/>
      <c r="M139"/>
      <c r="N139" t="str">
        <f>IF(ISERROR(VLOOKUP(B139,'[1]Zebrik W'!$B$7:$M$1000,12,0)),"",IF(VLOOKUP(B139,'[1]Zebrik W'!$B$7:$M$1000,12,0)=0,"--",VLOOKUP(B139,'[1]Zebrik W'!$B$7:$M$1000,12,0)))</f>
        <v/>
      </c>
    </row>
    <row r="140" spans="1:14" x14ac:dyDescent="0.2">
      <c r="A140" s="21">
        <f t="shared" si="8"/>
        <v>134</v>
      </c>
      <c r="B140" s="16" t="s">
        <v>207</v>
      </c>
      <c r="C140" s="16">
        <v>1964</v>
      </c>
      <c r="D140" s="16" t="s">
        <v>18</v>
      </c>
      <c r="E140" s="16" t="s">
        <v>31</v>
      </c>
      <c r="F140" s="16" t="s">
        <v>24</v>
      </c>
      <c r="G140" s="16">
        <v>17620</v>
      </c>
      <c r="H140" s="20">
        <v>3</v>
      </c>
      <c r="I140" s="21">
        <f t="shared" si="9"/>
        <v>134</v>
      </c>
      <c r="J140" s="22" t="str">
        <f t="shared" si="10"/>
        <v/>
      </c>
      <c r="K140" s="22" t="str">
        <f t="shared" si="11"/>
        <v/>
      </c>
      <c r="L140"/>
      <c r="M140"/>
      <c r="N140" t="str">
        <f>IF(ISERROR(VLOOKUP(B140,'[1]Zebrik W'!$B$7:$M$1000,12,0)),"",IF(VLOOKUP(B140,'[1]Zebrik W'!$B$7:$M$1000,12,0)=0,"--",VLOOKUP(B140,'[1]Zebrik W'!$B$7:$M$1000,12,0)))</f>
        <v/>
      </c>
    </row>
    <row r="141" spans="1:14" x14ac:dyDescent="0.2">
      <c r="A141" s="21">
        <f t="shared" si="8"/>
        <v>135</v>
      </c>
      <c r="B141" s="16" t="s">
        <v>208</v>
      </c>
      <c r="C141" s="16">
        <v>1992</v>
      </c>
      <c r="D141" s="16" t="s">
        <v>18</v>
      </c>
      <c r="E141" s="16" t="s">
        <v>206</v>
      </c>
      <c r="F141" s="16" t="s">
        <v>20</v>
      </c>
      <c r="G141" s="16">
        <v>17573</v>
      </c>
      <c r="H141" s="20">
        <v>3</v>
      </c>
      <c r="I141" s="21">
        <f t="shared" si="9"/>
        <v>135</v>
      </c>
      <c r="J141" s="22" t="str">
        <f t="shared" si="10"/>
        <v/>
      </c>
      <c r="K141" s="22" t="str">
        <f t="shared" si="11"/>
        <v/>
      </c>
      <c r="L141"/>
      <c r="M141"/>
      <c r="N141" t="str">
        <f>IF(ISERROR(VLOOKUP(B141,'[1]Zebrik W'!$B$7:$M$1000,12,0)),"",IF(VLOOKUP(B141,'[1]Zebrik W'!$B$7:$M$1000,12,0)=0,"--",VLOOKUP(B141,'[1]Zebrik W'!$B$7:$M$1000,12,0)))</f>
        <v/>
      </c>
    </row>
    <row r="142" spans="1:14" x14ac:dyDescent="0.2">
      <c r="A142" s="21">
        <f t="shared" si="8"/>
        <v>136</v>
      </c>
      <c r="B142" s="16" t="s">
        <v>209</v>
      </c>
      <c r="C142" s="16">
        <v>1979</v>
      </c>
      <c r="D142" s="16" t="s">
        <v>18</v>
      </c>
      <c r="E142" s="16" t="s">
        <v>140</v>
      </c>
      <c r="F142" s="16" t="s">
        <v>20</v>
      </c>
      <c r="G142" s="16">
        <v>17565</v>
      </c>
      <c r="H142" s="20">
        <v>3</v>
      </c>
      <c r="I142" s="21">
        <f t="shared" si="9"/>
        <v>136</v>
      </c>
      <c r="J142" s="22" t="str">
        <f t="shared" si="10"/>
        <v/>
      </c>
      <c r="K142" s="22" t="str">
        <f t="shared" si="11"/>
        <v/>
      </c>
      <c r="L142"/>
      <c r="M142"/>
      <c r="N142" t="str">
        <f>IF(ISERROR(VLOOKUP(B142,'[1]Zebrik W'!$B$7:$M$1000,12,0)),"",IF(VLOOKUP(B142,'[1]Zebrik W'!$B$7:$M$1000,12,0)=0,"--",VLOOKUP(B142,'[1]Zebrik W'!$B$7:$M$1000,12,0)))</f>
        <v/>
      </c>
    </row>
    <row r="143" spans="1:14" x14ac:dyDescent="0.2">
      <c r="A143" s="21">
        <f t="shared" si="8"/>
        <v>137</v>
      </c>
      <c r="B143" s="16" t="s">
        <v>210</v>
      </c>
      <c r="C143" s="16">
        <v>1963</v>
      </c>
      <c r="D143" s="16" t="s">
        <v>18</v>
      </c>
      <c r="E143" s="16" t="s">
        <v>78</v>
      </c>
      <c r="F143" s="16" t="s">
        <v>41</v>
      </c>
      <c r="G143" s="16">
        <v>17514</v>
      </c>
      <c r="H143" s="20">
        <v>3</v>
      </c>
      <c r="I143" s="21">
        <f t="shared" si="9"/>
        <v>137</v>
      </c>
      <c r="J143" s="22" t="str">
        <f t="shared" si="10"/>
        <v/>
      </c>
      <c r="K143" s="22" t="str">
        <f t="shared" si="11"/>
        <v/>
      </c>
      <c r="L143"/>
      <c r="M143"/>
      <c r="N143" t="str">
        <f>IF(ISERROR(VLOOKUP(B143,'[1]Zebrik W'!$B$7:$M$1000,12,0)),"",IF(VLOOKUP(B143,'[1]Zebrik W'!$B$7:$M$1000,12,0)=0,"--",VLOOKUP(B143,'[1]Zebrik W'!$B$7:$M$1000,12,0)))</f>
        <v/>
      </c>
    </row>
    <row r="144" spans="1:14" x14ac:dyDescent="0.2">
      <c r="A144" s="21">
        <f t="shared" si="8"/>
        <v>138</v>
      </c>
      <c r="B144" s="16" t="s">
        <v>211</v>
      </c>
      <c r="C144" s="16">
        <v>1989</v>
      </c>
      <c r="D144" s="16" t="s">
        <v>18</v>
      </c>
      <c r="E144" s="16" t="s">
        <v>122</v>
      </c>
      <c r="F144" s="16" t="s">
        <v>24</v>
      </c>
      <c r="G144" s="16">
        <v>17444</v>
      </c>
      <c r="H144" s="20">
        <v>3</v>
      </c>
      <c r="I144" s="21">
        <f t="shared" si="9"/>
        <v>138</v>
      </c>
      <c r="J144" s="22" t="str">
        <f t="shared" si="10"/>
        <v/>
      </c>
      <c r="K144" s="22" t="str">
        <f t="shared" si="11"/>
        <v/>
      </c>
      <c r="L144"/>
      <c r="M144"/>
      <c r="N144" t="str">
        <f>IF(ISERROR(VLOOKUP(B144,'[1]Zebrik W'!$B$7:$M$1000,12,0)),"",IF(VLOOKUP(B144,'[1]Zebrik W'!$B$7:$M$1000,12,0)=0,"--",VLOOKUP(B144,'[1]Zebrik W'!$B$7:$M$1000,12,0)))</f>
        <v/>
      </c>
    </row>
    <row r="145" spans="1:14" x14ac:dyDescent="0.2">
      <c r="A145" s="21">
        <f t="shared" si="8"/>
        <v>139</v>
      </c>
      <c r="B145" s="16" t="s">
        <v>212</v>
      </c>
      <c r="C145" s="16">
        <v>1977</v>
      </c>
      <c r="D145" s="16" t="s">
        <v>18</v>
      </c>
      <c r="E145" s="16" t="s">
        <v>188</v>
      </c>
      <c r="F145" s="16" t="s">
        <v>41</v>
      </c>
      <c r="G145" s="16">
        <v>17391</v>
      </c>
      <c r="H145" s="20">
        <v>3</v>
      </c>
      <c r="I145" s="21">
        <f t="shared" si="9"/>
        <v>139</v>
      </c>
      <c r="J145" s="22" t="str">
        <f t="shared" si="10"/>
        <v/>
      </c>
      <c r="K145" s="22" t="str">
        <f t="shared" si="11"/>
        <v/>
      </c>
      <c r="L145"/>
      <c r="M145"/>
      <c r="N145" t="str">
        <f>IF(ISERROR(VLOOKUP(B145,'[1]Zebrik W'!$B$7:$M$1000,12,0)),"",IF(VLOOKUP(B145,'[1]Zebrik W'!$B$7:$M$1000,12,0)=0,"--",VLOOKUP(B145,'[1]Zebrik W'!$B$7:$M$1000,12,0)))</f>
        <v/>
      </c>
    </row>
    <row r="146" spans="1:14" x14ac:dyDescent="0.2">
      <c r="A146" s="21">
        <f t="shared" si="8"/>
        <v>140</v>
      </c>
      <c r="B146" s="16" t="s">
        <v>213</v>
      </c>
      <c r="C146" s="16">
        <v>1961</v>
      </c>
      <c r="D146" s="16" t="s">
        <v>18</v>
      </c>
      <c r="E146" s="16" t="s">
        <v>65</v>
      </c>
      <c r="F146" s="16" t="s">
        <v>41</v>
      </c>
      <c r="G146" s="16">
        <v>17380</v>
      </c>
      <c r="H146" s="20">
        <v>3</v>
      </c>
      <c r="I146" s="21">
        <f t="shared" si="9"/>
        <v>140</v>
      </c>
      <c r="J146" s="22" t="str">
        <f t="shared" si="10"/>
        <v/>
      </c>
      <c r="K146" s="22" t="str">
        <f t="shared" si="11"/>
        <v/>
      </c>
      <c r="L146"/>
      <c r="M146"/>
      <c r="N146" t="str">
        <f>IF(ISERROR(VLOOKUP(B146,'[1]Zebrik W'!$B$7:$M$1000,12,0)),"",IF(VLOOKUP(B146,'[1]Zebrik W'!$B$7:$M$1000,12,0)=0,"--",VLOOKUP(B146,'[1]Zebrik W'!$B$7:$M$1000,12,0)))</f>
        <v/>
      </c>
    </row>
    <row r="147" spans="1:14" x14ac:dyDescent="0.2">
      <c r="A147" s="21">
        <f t="shared" si="8"/>
        <v>141</v>
      </c>
      <c r="B147" s="16" t="s">
        <v>214</v>
      </c>
      <c r="C147" s="16">
        <v>1976</v>
      </c>
      <c r="D147" s="16" t="s">
        <v>18</v>
      </c>
      <c r="E147" s="16" t="s">
        <v>157</v>
      </c>
      <c r="F147" s="16" t="s">
        <v>24</v>
      </c>
      <c r="G147" s="16">
        <v>17219</v>
      </c>
      <c r="H147" s="20">
        <v>3</v>
      </c>
      <c r="I147" s="21">
        <f t="shared" si="9"/>
        <v>141</v>
      </c>
      <c r="J147" s="22" t="str">
        <f t="shared" si="10"/>
        <v/>
      </c>
      <c r="K147" s="22" t="str">
        <f t="shared" si="11"/>
        <v/>
      </c>
      <c r="L147"/>
      <c r="M147"/>
      <c r="N147" t="str">
        <f>IF(ISERROR(VLOOKUP(B147,'[1]Zebrik W'!$B$7:$M$1000,12,0)),"",IF(VLOOKUP(B147,'[1]Zebrik W'!$B$7:$M$1000,12,0)=0,"--",VLOOKUP(B147,'[1]Zebrik W'!$B$7:$M$1000,12,0)))</f>
        <v/>
      </c>
    </row>
    <row r="148" spans="1:14" x14ac:dyDescent="0.2">
      <c r="A148" s="21">
        <f t="shared" si="8"/>
        <v>142</v>
      </c>
      <c r="B148" s="16" t="s">
        <v>215</v>
      </c>
      <c r="C148" s="16">
        <v>2002</v>
      </c>
      <c r="D148" s="16" t="s">
        <v>49</v>
      </c>
      <c r="E148" s="16" t="s">
        <v>27</v>
      </c>
      <c r="F148" s="16" t="s">
        <v>20</v>
      </c>
      <c r="G148" s="16">
        <v>17173</v>
      </c>
      <c r="H148" s="20">
        <v>3</v>
      </c>
      <c r="I148" s="21">
        <f t="shared" si="9"/>
        <v>142</v>
      </c>
      <c r="J148" s="22" t="str">
        <f t="shared" si="10"/>
        <v>Junior v roce 2026</v>
      </c>
      <c r="K148" s="22" t="str">
        <f t="shared" si="11"/>
        <v>Junior v roce 2027</v>
      </c>
      <c r="L148"/>
      <c r="M148"/>
      <c r="N148" t="str">
        <f>IF(ISERROR(VLOOKUP(B148,'[1]Zebrik W'!$B$7:$M$1000,12,0)),"",IF(VLOOKUP(B148,'[1]Zebrik W'!$B$7:$M$1000,12,0)=0,"--",VLOOKUP(B148,'[1]Zebrik W'!$B$7:$M$1000,12,0)))</f>
        <v>--</v>
      </c>
    </row>
    <row r="149" spans="1:14" x14ac:dyDescent="0.2">
      <c r="A149" s="21">
        <f t="shared" si="8"/>
        <v>143</v>
      </c>
      <c r="B149" s="16" t="s">
        <v>216</v>
      </c>
      <c r="C149" s="16">
        <v>1999</v>
      </c>
      <c r="D149" s="16" t="s">
        <v>18</v>
      </c>
      <c r="E149" s="16" t="s">
        <v>57</v>
      </c>
      <c r="F149" s="16" t="s">
        <v>24</v>
      </c>
      <c r="G149" s="16">
        <v>17167</v>
      </c>
      <c r="H149" s="20">
        <v>2</v>
      </c>
      <c r="I149" s="21">
        <f t="shared" si="9"/>
        <v>143</v>
      </c>
      <c r="J149" s="22" t="str">
        <f t="shared" si="10"/>
        <v/>
      </c>
      <c r="K149" s="22" t="str">
        <f t="shared" si="11"/>
        <v/>
      </c>
      <c r="L149"/>
      <c r="M149"/>
      <c r="N149" t="str">
        <f>IF(ISERROR(VLOOKUP(B149,'[1]Zebrik W'!$B$7:$M$1000,12,0)),"",IF(VLOOKUP(B149,'[1]Zebrik W'!$B$7:$M$1000,12,0)=0,"--",VLOOKUP(B149,'[1]Zebrik W'!$B$7:$M$1000,12,0)))</f>
        <v/>
      </c>
    </row>
    <row r="150" spans="1:14" x14ac:dyDescent="0.2">
      <c r="A150" s="21">
        <f t="shared" si="8"/>
        <v>144</v>
      </c>
      <c r="B150" s="16" t="s">
        <v>217</v>
      </c>
      <c r="C150" s="16">
        <v>1974</v>
      </c>
      <c r="D150" s="16" t="s">
        <v>18</v>
      </c>
      <c r="E150" s="16" t="s">
        <v>31</v>
      </c>
      <c r="F150" s="16" t="s">
        <v>24</v>
      </c>
      <c r="G150" s="16">
        <v>17067</v>
      </c>
      <c r="H150" s="20">
        <v>3</v>
      </c>
      <c r="I150" s="21">
        <f t="shared" si="9"/>
        <v>144</v>
      </c>
      <c r="J150" s="22" t="str">
        <f t="shared" si="10"/>
        <v/>
      </c>
      <c r="K150" s="22" t="str">
        <f t="shared" si="11"/>
        <v/>
      </c>
      <c r="L150"/>
      <c r="M150"/>
      <c r="N150" t="str">
        <f>IF(ISERROR(VLOOKUP(B150,'[1]Zebrik W'!$B$7:$M$1000,12,0)),"",IF(VLOOKUP(B150,'[1]Zebrik W'!$B$7:$M$1000,12,0)=0,"--",VLOOKUP(B150,'[1]Zebrik W'!$B$7:$M$1000,12,0)))</f>
        <v/>
      </c>
    </row>
    <row r="151" spans="1:14" x14ac:dyDescent="0.2">
      <c r="A151" s="21">
        <f t="shared" si="8"/>
        <v>145</v>
      </c>
      <c r="B151" s="16" t="s">
        <v>218</v>
      </c>
      <c r="C151" s="16">
        <v>1981</v>
      </c>
      <c r="D151" s="16" t="s">
        <v>18</v>
      </c>
      <c r="E151" s="16" t="s">
        <v>131</v>
      </c>
      <c r="F151" s="16" t="s">
        <v>41</v>
      </c>
      <c r="G151" s="16">
        <v>17066</v>
      </c>
      <c r="H151" s="20">
        <v>3</v>
      </c>
      <c r="I151" s="21">
        <f t="shared" si="9"/>
        <v>145</v>
      </c>
      <c r="J151" s="22" t="str">
        <f t="shared" si="10"/>
        <v/>
      </c>
      <c r="K151" s="22" t="str">
        <f t="shared" si="11"/>
        <v/>
      </c>
      <c r="L151"/>
      <c r="M151"/>
      <c r="N151" t="str">
        <f>IF(ISERROR(VLOOKUP(B151,'[1]Zebrik W'!$B$7:$M$1000,12,0)),"",IF(VLOOKUP(B151,'[1]Zebrik W'!$B$7:$M$1000,12,0)=0,"--",VLOOKUP(B151,'[1]Zebrik W'!$B$7:$M$1000,12,0)))</f>
        <v/>
      </c>
    </row>
    <row r="152" spans="1:14" x14ac:dyDescent="0.2">
      <c r="A152" s="21">
        <f t="shared" si="8"/>
        <v>146</v>
      </c>
      <c r="B152" s="16" t="s">
        <v>219</v>
      </c>
      <c r="C152" s="16">
        <v>1973</v>
      </c>
      <c r="D152" s="16" t="s">
        <v>18</v>
      </c>
      <c r="E152" s="16" t="s">
        <v>160</v>
      </c>
      <c r="F152" s="16" t="s">
        <v>20</v>
      </c>
      <c r="G152" s="16">
        <v>16790</v>
      </c>
      <c r="H152" s="20">
        <v>3</v>
      </c>
      <c r="I152" s="21">
        <f t="shared" si="9"/>
        <v>146</v>
      </c>
      <c r="J152" s="22" t="str">
        <f t="shared" si="10"/>
        <v/>
      </c>
      <c r="K152" s="22" t="str">
        <f t="shared" si="11"/>
        <v/>
      </c>
      <c r="L152"/>
      <c r="M152"/>
      <c r="N152" t="str">
        <f>IF(ISERROR(VLOOKUP(B152,'[1]Zebrik W'!$B$7:$M$1000,12,0)),"",IF(VLOOKUP(B152,'[1]Zebrik W'!$B$7:$M$1000,12,0)=0,"--",VLOOKUP(B152,'[1]Zebrik W'!$B$7:$M$1000,12,0)))</f>
        <v/>
      </c>
    </row>
    <row r="153" spans="1:14" x14ac:dyDescent="0.2">
      <c r="A153" s="21">
        <f t="shared" si="8"/>
        <v>147</v>
      </c>
      <c r="B153" s="16" t="s">
        <v>220</v>
      </c>
      <c r="C153" s="16">
        <v>1966</v>
      </c>
      <c r="D153" s="16" t="s">
        <v>18</v>
      </c>
      <c r="E153" s="16" t="s">
        <v>59</v>
      </c>
      <c r="F153" s="16" t="s">
        <v>41</v>
      </c>
      <c r="G153" s="16">
        <v>16719</v>
      </c>
      <c r="H153" s="20">
        <v>3</v>
      </c>
      <c r="I153" s="21">
        <f t="shared" si="9"/>
        <v>147</v>
      </c>
      <c r="J153" s="22" t="str">
        <f t="shared" si="10"/>
        <v/>
      </c>
      <c r="K153" s="22" t="str">
        <f t="shared" si="11"/>
        <v/>
      </c>
      <c r="L153"/>
      <c r="M153"/>
      <c r="N153" t="str">
        <f>IF(ISERROR(VLOOKUP(B153,'[1]Zebrik W'!$B$7:$M$1000,12,0)),"",IF(VLOOKUP(B153,'[1]Zebrik W'!$B$7:$M$1000,12,0)=0,"--",VLOOKUP(B153,'[1]Zebrik W'!$B$7:$M$1000,12,0)))</f>
        <v/>
      </c>
    </row>
    <row r="154" spans="1:14" x14ac:dyDescent="0.2">
      <c r="A154" s="21">
        <f t="shared" si="8"/>
        <v>148</v>
      </c>
      <c r="B154" s="16" t="s">
        <v>221</v>
      </c>
      <c r="C154" s="16">
        <v>1983</v>
      </c>
      <c r="D154" s="16" t="s">
        <v>18</v>
      </c>
      <c r="E154" s="16" t="s">
        <v>29</v>
      </c>
      <c r="F154" s="16" t="s">
        <v>24</v>
      </c>
      <c r="G154" s="16">
        <v>16709</v>
      </c>
      <c r="H154" s="20">
        <v>3</v>
      </c>
      <c r="I154" s="21">
        <f t="shared" si="9"/>
        <v>148</v>
      </c>
      <c r="J154" s="22" t="str">
        <f t="shared" si="10"/>
        <v/>
      </c>
      <c r="K154" s="22" t="str">
        <f t="shared" si="11"/>
        <v/>
      </c>
      <c r="L154"/>
      <c r="M154"/>
      <c r="N154" t="str">
        <f>IF(ISERROR(VLOOKUP(B154,'[1]Zebrik W'!$B$7:$M$1000,12,0)),"",IF(VLOOKUP(B154,'[1]Zebrik W'!$B$7:$M$1000,12,0)=0,"--",VLOOKUP(B154,'[1]Zebrik W'!$B$7:$M$1000,12,0)))</f>
        <v/>
      </c>
    </row>
    <row r="155" spans="1:14" x14ac:dyDescent="0.2">
      <c r="A155" s="21">
        <f t="shared" si="8"/>
        <v>149</v>
      </c>
      <c r="B155" s="16" t="s">
        <v>222</v>
      </c>
      <c r="C155" s="16">
        <v>1961</v>
      </c>
      <c r="D155" s="16" t="s">
        <v>18</v>
      </c>
      <c r="E155" s="16" t="s">
        <v>223</v>
      </c>
      <c r="F155" s="16" t="s">
        <v>41</v>
      </c>
      <c r="G155" s="16">
        <v>16598</v>
      </c>
      <c r="H155" s="20">
        <v>3</v>
      </c>
      <c r="I155" s="21">
        <f t="shared" si="9"/>
        <v>149</v>
      </c>
      <c r="J155" s="22" t="str">
        <f t="shared" si="10"/>
        <v/>
      </c>
      <c r="K155" s="22" t="str">
        <f t="shared" si="11"/>
        <v/>
      </c>
      <c r="L155"/>
      <c r="M155"/>
      <c r="N155" t="str">
        <f>IF(ISERROR(VLOOKUP(B155,'[1]Zebrik W'!$B$7:$M$1000,12,0)),"",IF(VLOOKUP(B155,'[1]Zebrik W'!$B$7:$M$1000,12,0)=0,"--",VLOOKUP(B155,'[1]Zebrik W'!$B$7:$M$1000,12,0)))</f>
        <v/>
      </c>
    </row>
    <row r="156" spans="1:14" x14ac:dyDescent="0.2">
      <c r="A156" s="21">
        <f t="shared" si="8"/>
        <v>150</v>
      </c>
      <c r="B156" s="16" t="s">
        <v>224</v>
      </c>
      <c r="C156" s="16">
        <v>1972</v>
      </c>
      <c r="D156" s="16" t="s">
        <v>18</v>
      </c>
      <c r="E156" s="16" t="s">
        <v>99</v>
      </c>
      <c r="F156" s="16" t="s">
        <v>24</v>
      </c>
      <c r="G156" s="16">
        <v>16586</v>
      </c>
      <c r="H156" s="20">
        <v>3</v>
      </c>
      <c r="I156" s="21">
        <f t="shared" si="9"/>
        <v>150</v>
      </c>
      <c r="J156" s="22" t="str">
        <f t="shared" si="10"/>
        <v/>
      </c>
      <c r="K156" s="22" t="str">
        <f t="shared" si="11"/>
        <v/>
      </c>
      <c r="L156"/>
      <c r="M156"/>
      <c r="N156" t="str">
        <f>IF(ISERROR(VLOOKUP(B156,'[1]Zebrik W'!$B$7:$M$1000,12,0)),"",IF(VLOOKUP(B156,'[1]Zebrik W'!$B$7:$M$1000,12,0)=0,"--",VLOOKUP(B156,'[1]Zebrik W'!$B$7:$M$1000,12,0)))</f>
        <v/>
      </c>
    </row>
    <row r="157" spans="1:14" x14ac:dyDescent="0.2">
      <c r="A157" s="21">
        <f t="shared" si="8"/>
        <v>151</v>
      </c>
      <c r="B157" s="16" t="s">
        <v>225</v>
      </c>
      <c r="C157" s="16">
        <v>2000</v>
      </c>
      <c r="D157" s="16" t="s">
        <v>18</v>
      </c>
      <c r="E157" s="16" t="s">
        <v>29</v>
      </c>
      <c r="F157" s="16" t="s">
        <v>24</v>
      </c>
      <c r="G157" s="16">
        <v>16526</v>
      </c>
      <c r="H157" s="20">
        <v>3</v>
      </c>
      <c r="I157" s="21">
        <f t="shared" si="9"/>
        <v>151</v>
      </c>
      <c r="J157" s="22" t="str">
        <f t="shared" si="10"/>
        <v/>
      </c>
      <c r="K157" s="22" t="str">
        <f t="shared" si="11"/>
        <v/>
      </c>
      <c r="L157"/>
      <c r="M157"/>
      <c r="N157" t="str">
        <f>IF(ISERROR(VLOOKUP(B157,'[1]Zebrik W'!$B$7:$M$1000,12,0)),"",IF(VLOOKUP(B157,'[1]Zebrik W'!$B$7:$M$1000,12,0)=0,"--",VLOOKUP(B157,'[1]Zebrik W'!$B$7:$M$1000,12,0)))</f>
        <v/>
      </c>
    </row>
    <row r="158" spans="1:14" x14ac:dyDescent="0.2">
      <c r="A158" s="21">
        <f t="shared" si="8"/>
        <v>152</v>
      </c>
      <c r="B158" s="16" t="s">
        <v>226</v>
      </c>
      <c r="C158" s="16">
        <v>2005</v>
      </c>
      <c r="D158" s="16" t="s">
        <v>18</v>
      </c>
      <c r="E158" s="16" t="s">
        <v>33</v>
      </c>
      <c r="F158" s="16" t="s">
        <v>20</v>
      </c>
      <c r="G158" s="16">
        <v>16483</v>
      </c>
      <c r="H158" s="20">
        <v>3</v>
      </c>
      <c r="I158" s="21">
        <f t="shared" si="9"/>
        <v>152</v>
      </c>
      <c r="J158" s="22" t="str">
        <f t="shared" si="10"/>
        <v>Junior v roce 2026</v>
      </c>
      <c r="K158" s="22" t="str">
        <f t="shared" si="11"/>
        <v>Junior v roce 2027</v>
      </c>
      <c r="L158"/>
      <c r="M158"/>
      <c r="N158" t="str">
        <f>IF(ISERROR(VLOOKUP(B158,'[1]Zebrik W'!$B$7:$M$1000,12,0)),"",IF(VLOOKUP(B158,'[1]Zebrik W'!$B$7:$M$1000,12,0)=0,"--",VLOOKUP(B158,'[1]Zebrik W'!$B$7:$M$1000,12,0)))</f>
        <v/>
      </c>
    </row>
    <row r="159" spans="1:14" x14ac:dyDescent="0.2">
      <c r="A159" s="21">
        <f t="shared" si="8"/>
        <v>153</v>
      </c>
      <c r="B159" s="16" t="s">
        <v>227</v>
      </c>
      <c r="C159" s="16">
        <v>1990</v>
      </c>
      <c r="D159" s="16" t="s">
        <v>18</v>
      </c>
      <c r="E159" s="16" t="s">
        <v>95</v>
      </c>
      <c r="F159" s="16" t="s">
        <v>24</v>
      </c>
      <c r="G159" s="16">
        <v>16440</v>
      </c>
      <c r="H159" s="20">
        <v>3</v>
      </c>
      <c r="I159" s="21">
        <f t="shared" si="9"/>
        <v>153</v>
      </c>
      <c r="J159" s="22" t="str">
        <f t="shared" si="10"/>
        <v/>
      </c>
      <c r="K159" s="22" t="str">
        <f t="shared" si="11"/>
        <v/>
      </c>
      <c r="L159"/>
      <c r="M159"/>
      <c r="N159" t="str">
        <f>IF(ISERROR(VLOOKUP(B159,'[1]Zebrik W'!$B$7:$M$1000,12,0)),"",IF(VLOOKUP(B159,'[1]Zebrik W'!$B$7:$M$1000,12,0)=0,"--",VLOOKUP(B159,'[1]Zebrik W'!$B$7:$M$1000,12,0)))</f>
        <v/>
      </c>
    </row>
    <row r="160" spans="1:14" x14ac:dyDescent="0.2">
      <c r="A160" s="21">
        <f t="shared" si="8"/>
        <v>154</v>
      </c>
      <c r="B160" s="16" t="s">
        <v>228</v>
      </c>
      <c r="C160" s="16">
        <v>1969</v>
      </c>
      <c r="D160" s="16" t="s">
        <v>18</v>
      </c>
      <c r="E160" s="16" t="s">
        <v>229</v>
      </c>
      <c r="F160" s="16" t="s">
        <v>41</v>
      </c>
      <c r="G160" s="16">
        <v>16365</v>
      </c>
      <c r="H160" s="20">
        <v>3</v>
      </c>
      <c r="I160" s="21">
        <f t="shared" si="9"/>
        <v>154</v>
      </c>
      <c r="J160" s="22" t="str">
        <f t="shared" si="10"/>
        <v/>
      </c>
      <c r="K160" s="22" t="str">
        <f t="shared" si="11"/>
        <v/>
      </c>
      <c r="L160"/>
      <c r="M160"/>
      <c r="N160" t="str">
        <f>IF(ISERROR(VLOOKUP(B160,'[1]Zebrik W'!$B$7:$M$1000,12,0)),"",IF(VLOOKUP(B160,'[1]Zebrik W'!$B$7:$M$1000,12,0)=0,"--",VLOOKUP(B160,'[1]Zebrik W'!$B$7:$M$1000,12,0)))</f>
        <v/>
      </c>
    </row>
    <row r="161" spans="1:14" x14ac:dyDescent="0.2">
      <c r="A161" s="21">
        <f t="shared" si="8"/>
        <v>155</v>
      </c>
      <c r="B161" s="16" t="s">
        <v>230</v>
      </c>
      <c r="C161" s="16">
        <v>1985</v>
      </c>
      <c r="D161" s="16" t="s">
        <v>18</v>
      </c>
      <c r="E161" s="16" t="s">
        <v>31</v>
      </c>
      <c r="F161" s="16" t="s">
        <v>24</v>
      </c>
      <c r="G161" s="16">
        <v>16208</v>
      </c>
      <c r="H161" s="20">
        <v>3</v>
      </c>
      <c r="I161" s="21">
        <f t="shared" si="9"/>
        <v>155</v>
      </c>
      <c r="J161" s="22" t="str">
        <f t="shared" si="10"/>
        <v/>
      </c>
      <c r="K161" s="22" t="str">
        <f t="shared" si="11"/>
        <v/>
      </c>
      <c r="L161"/>
      <c r="M161"/>
      <c r="N161" t="str">
        <f>IF(ISERROR(VLOOKUP(B161,'[1]Zebrik W'!$B$7:$M$1000,12,0)),"",IF(VLOOKUP(B161,'[1]Zebrik W'!$B$7:$M$1000,12,0)=0,"--",VLOOKUP(B161,'[1]Zebrik W'!$B$7:$M$1000,12,0)))</f>
        <v/>
      </c>
    </row>
    <row r="162" spans="1:14" x14ac:dyDescent="0.2">
      <c r="A162" s="21">
        <f t="shared" si="8"/>
        <v>156</v>
      </c>
      <c r="B162" s="16" t="s">
        <v>231</v>
      </c>
      <c r="C162" s="16">
        <v>1965</v>
      </c>
      <c r="D162" s="16" t="s">
        <v>18</v>
      </c>
      <c r="E162" s="16" t="s">
        <v>80</v>
      </c>
      <c r="F162" s="16" t="s">
        <v>20</v>
      </c>
      <c r="G162" s="16">
        <v>16139</v>
      </c>
      <c r="H162" s="20">
        <v>3</v>
      </c>
      <c r="I162" s="21">
        <f t="shared" si="9"/>
        <v>156</v>
      </c>
      <c r="J162" s="22" t="str">
        <f t="shared" si="10"/>
        <v/>
      </c>
      <c r="K162" s="22" t="str">
        <f t="shared" si="11"/>
        <v/>
      </c>
      <c r="L162"/>
      <c r="M162"/>
      <c r="N162" t="str">
        <f>IF(ISERROR(VLOOKUP(B162,'[1]Zebrik W'!$B$7:$M$1000,12,0)),"",IF(VLOOKUP(B162,'[1]Zebrik W'!$B$7:$M$1000,12,0)=0,"--",VLOOKUP(B162,'[1]Zebrik W'!$B$7:$M$1000,12,0)))</f>
        <v/>
      </c>
    </row>
    <row r="163" spans="1:14" x14ac:dyDescent="0.2">
      <c r="A163" s="21">
        <f t="shared" si="8"/>
        <v>157</v>
      </c>
      <c r="B163" s="16" t="s">
        <v>232</v>
      </c>
      <c r="C163" s="16">
        <v>1970</v>
      </c>
      <c r="D163" s="16" t="s">
        <v>49</v>
      </c>
      <c r="E163" s="16" t="s">
        <v>233</v>
      </c>
      <c r="F163" s="16" t="s">
        <v>20</v>
      </c>
      <c r="G163" s="16">
        <v>16064</v>
      </c>
      <c r="H163" s="20">
        <v>3</v>
      </c>
      <c r="I163" s="21">
        <f t="shared" si="9"/>
        <v>157</v>
      </c>
      <c r="J163" s="22" t="str">
        <f t="shared" si="10"/>
        <v/>
      </c>
      <c r="K163" s="22" t="str">
        <f t="shared" si="11"/>
        <v/>
      </c>
      <c r="L163"/>
      <c r="M163"/>
      <c r="N163" t="str">
        <f>IF(ISERROR(VLOOKUP(B163,'[1]Zebrik W'!$B$7:$M$1000,12,0)),"",IF(VLOOKUP(B163,'[1]Zebrik W'!$B$7:$M$1000,12,0)=0,"--",VLOOKUP(B163,'[1]Zebrik W'!$B$7:$M$1000,12,0)))</f>
        <v>--</v>
      </c>
    </row>
    <row r="164" spans="1:14" x14ac:dyDescent="0.2">
      <c r="A164" s="21">
        <f t="shared" si="8"/>
        <v>158</v>
      </c>
      <c r="B164" s="16" t="s">
        <v>234</v>
      </c>
      <c r="C164" s="16">
        <v>1970</v>
      </c>
      <c r="D164" s="16" t="s">
        <v>18</v>
      </c>
      <c r="E164" s="16" t="s">
        <v>47</v>
      </c>
      <c r="F164" s="16" t="s">
        <v>20</v>
      </c>
      <c r="G164" s="16">
        <v>16061</v>
      </c>
      <c r="H164" s="20">
        <v>2</v>
      </c>
      <c r="I164" s="21">
        <f t="shared" si="9"/>
        <v>158</v>
      </c>
      <c r="J164" s="22" t="str">
        <f t="shared" si="10"/>
        <v/>
      </c>
      <c r="K164" s="22" t="str">
        <f t="shared" si="11"/>
        <v/>
      </c>
      <c r="L164"/>
      <c r="M164"/>
      <c r="N164" t="str">
        <f>IF(ISERROR(VLOOKUP(B164,'[1]Zebrik W'!$B$7:$M$1000,12,0)),"",IF(VLOOKUP(B164,'[1]Zebrik W'!$B$7:$M$1000,12,0)=0,"--",VLOOKUP(B164,'[1]Zebrik W'!$B$7:$M$1000,12,0)))</f>
        <v/>
      </c>
    </row>
    <row r="165" spans="1:14" x14ac:dyDescent="0.2">
      <c r="A165" s="21">
        <f t="shared" si="8"/>
        <v>159</v>
      </c>
      <c r="B165" s="16" t="s">
        <v>235</v>
      </c>
      <c r="C165" s="16">
        <v>1973</v>
      </c>
      <c r="D165" s="16" t="s">
        <v>18</v>
      </c>
      <c r="E165" s="16" t="s">
        <v>99</v>
      </c>
      <c r="F165" s="16" t="s">
        <v>24</v>
      </c>
      <c r="G165" s="16">
        <v>16034</v>
      </c>
      <c r="H165" s="20">
        <v>3</v>
      </c>
      <c r="I165" s="21">
        <f t="shared" si="9"/>
        <v>159</v>
      </c>
      <c r="J165" s="22" t="str">
        <f t="shared" si="10"/>
        <v/>
      </c>
      <c r="K165" s="22" t="str">
        <f t="shared" si="11"/>
        <v/>
      </c>
      <c r="L165"/>
      <c r="M165"/>
      <c r="N165" t="str">
        <f>IF(ISERROR(VLOOKUP(B165,'[1]Zebrik W'!$B$7:$M$1000,12,0)),"",IF(VLOOKUP(B165,'[1]Zebrik W'!$B$7:$M$1000,12,0)=0,"--",VLOOKUP(B165,'[1]Zebrik W'!$B$7:$M$1000,12,0)))</f>
        <v/>
      </c>
    </row>
    <row r="166" spans="1:14" x14ac:dyDescent="0.2">
      <c r="A166" s="21">
        <f t="shared" si="8"/>
        <v>160</v>
      </c>
      <c r="B166" s="16" t="s">
        <v>236</v>
      </c>
      <c r="C166" s="16">
        <v>1987</v>
      </c>
      <c r="D166" s="16" t="s">
        <v>18</v>
      </c>
      <c r="E166" s="16" t="s">
        <v>29</v>
      </c>
      <c r="F166" s="16" t="s">
        <v>24</v>
      </c>
      <c r="G166" s="16">
        <v>15729</v>
      </c>
      <c r="H166" s="20">
        <v>3</v>
      </c>
      <c r="I166" s="21">
        <f t="shared" si="9"/>
        <v>160</v>
      </c>
      <c r="J166" s="22" t="str">
        <f t="shared" si="10"/>
        <v/>
      </c>
      <c r="K166" s="22" t="str">
        <f t="shared" si="11"/>
        <v/>
      </c>
      <c r="L166"/>
      <c r="M166"/>
      <c r="N166" t="str">
        <f>IF(ISERROR(VLOOKUP(B166,'[1]Zebrik W'!$B$7:$M$1000,12,0)),"",IF(VLOOKUP(B166,'[1]Zebrik W'!$B$7:$M$1000,12,0)=0,"--",VLOOKUP(B166,'[1]Zebrik W'!$B$7:$M$1000,12,0)))</f>
        <v/>
      </c>
    </row>
    <row r="167" spans="1:14" x14ac:dyDescent="0.2">
      <c r="A167" s="21">
        <f t="shared" si="8"/>
        <v>161</v>
      </c>
      <c r="B167" s="16" t="s">
        <v>237</v>
      </c>
      <c r="C167" s="16">
        <v>1976</v>
      </c>
      <c r="D167" s="16" t="s">
        <v>18</v>
      </c>
      <c r="E167" s="16" t="s">
        <v>45</v>
      </c>
      <c r="F167" s="16" t="s">
        <v>24</v>
      </c>
      <c r="G167" s="16">
        <v>15537</v>
      </c>
      <c r="H167" s="20">
        <v>3</v>
      </c>
      <c r="I167" s="21">
        <f t="shared" si="9"/>
        <v>161</v>
      </c>
      <c r="J167" s="22" t="str">
        <f t="shared" si="10"/>
        <v/>
      </c>
      <c r="K167" s="22" t="str">
        <f t="shared" si="11"/>
        <v/>
      </c>
      <c r="L167"/>
      <c r="M167"/>
      <c r="N167" t="str">
        <f>IF(ISERROR(VLOOKUP(B167,'[1]Zebrik W'!$B$7:$M$1000,12,0)),"",IF(VLOOKUP(B167,'[1]Zebrik W'!$B$7:$M$1000,12,0)=0,"--",VLOOKUP(B167,'[1]Zebrik W'!$B$7:$M$1000,12,0)))</f>
        <v/>
      </c>
    </row>
    <row r="168" spans="1:14" x14ac:dyDescent="0.2">
      <c r="A168" s="21">
        <f t="shared" si="8"/>
        <v>162</v>
      </c>
      <c r="B168" s="16" t="s">
        <v>238</v>
      </c>
      <c r="C168" s="16">
        <v>1998</v>
      </c>
      <c r="D168" s="16" t="s">
        <v>18</v>
      </c>
      <c r="E168" s="16" t="s">
        <v>131</v>
      </c>
      <c r="F168" s="16" t="s">
        <v>41</v>
      </c>
      <c r="G168" s="16">
        <v>15533</v>
      </c>
      <c r="H168" s="20">
        <v>3</v>
      </c>
      <c r="I168" s="21">
        <f t="shared" si="9"/>
        <v>162</v>
      </c>
      <c r="J168" s="22" t="str">
        <f t="shared" si="10"/>
        <v/>
      </c>
      <c r="K168" s="22" t="str">
        <f t="shared" si="11"/>
        <v/>
      </c>
      <c r="L168"/>
      <c r="M168"/>
      <c r="N168" t="str">
        <f>IF(ISERROR(VLOOKUP(B168,'[1]Zebrik W'!$B$7:$M$1000,12,0)),"",IF(VLOOKUP(B168,'[1]Zebrik W'!$B$7:$M$1000,12,0)=0,"--",VLOOKUP(B168,'[1]Zebrik W'!$B$7:$M$1000,12,0)))</f>
        <v/>
      </c>
    </row>
    <row r="169" spans="1:14" x14ac:dyDescent="0.2">
      <c r="A169" s="21">
        <f t="shared" si="8"/>
        <v>163</v>
      </c>
      <c r="B169" s="16" t="s">
        <v>239</v>
      </c>
      <c r="C169" s="16">
        <v>1964</v>
      </c>
      <c r="D169" s="16" t="s">
        <v>18</v>
      </c>
      <c r="E169" s="16" t="s">
        <v>223</v>
      </c>
      <c r="F169" s="16" t="s">
        <v>41</v>
      </c>
      <c r="G169" s="16">
        <v>15529</v>
      </c>
      <c r="H169" s="20">
        <v>3</v>
      </c>
      <c r="I169" s="21">
        <f t="shared" si="9"/>
        <v>163</v>
      </c>
      <c r="J169" s="22" t="str">
        <f t="shared" si="10"/>
        <v/>
      </c>
      <c r="K169" s="22" t="str">
        <f t="shared" si="11"/>
        <v/>
      </c>
      <c r="L169"/>
      <c r="M169"/>
      <c r="N169" t="str">
        <f>IF(ISERROR(VLOOKUP(B169,'[1]Zebrik W'!$B$7:$M$1000,12,0)),"",IF(VLOOKUP(B169,'[1]Zebrik W'!$B$7:$M$1000,12,0)=0,"--",VLOOKUP(B169,'[1]Zebrik W'!$B$7:$M$1000,12,0)))</f>
        <v/>
      </c>
    </row>
    <row r="170" spans="1:14" x14ac:dyDescent="0.2">
      <c r="A170" s="21">
        <f t="shared" si="8"/>
        <v>164</v>
      </c>
      <c r="B170" s="16" t="s">
        <v>240</v>
      </c>
      <c r="C170" s="16">
        <v>2005</v>
      </c>
      <c r="D170" s="16" t="s">
        <v>18</v>
      </c>
      <c r="E170" s="16" t="s">
        <v>19</v>
      </c>
      <c r="F170" s="16" t="s">
        <v>20</v>
      </c>
      <c r="G170" s="16">
        <v>15423</v>
      </c>
      <c r="H170" s="20">
        <v>3</v>
      </c>
      <c r="I170" s="21">
        <f t="shared" si="9"/>
        <v>164</v>
      </c>
      <c r="J170" s="22" t="str">
        <f t="shared" si="10"/>
        <v>Junior v roce 2026</v>
      </c>
      <c r="K170" s="22" t="str">
        <f t="shared" si="11"/>
        <v>Junior v roce 2027</v>
      </c>
      <c r="L170"/>
      <c r="M170"/>
      <c r="N170" t="str">
        <f>IF(ISERROR(VLOOKUP(B170,'[1]Zebrik W'!$B$7:$M$1000,12,0)),"",IF(VLOOKUP(B170,'[1]Zebrik W'!$B$7:$M$1000,12,0)=0,"--",VLOOKUP(B170,'[1]Zebrik W'!$B$7:$M$1000,12,0)))</f>
        <v/>
      </c>
    </row>
    <row r="171" spans="1:14" x14ac:dyDescent="0.2">
      <c r="A171" s="21">
        <f t="shared" si="8"/>
        <v>165</v>
      </c>
      <c r="B171" s="16" t="s">
        <v>241</v>
      </c>
      <c r="C171" s="16">
        <v>1974</v>
      </c>
      <c r="D171" s="16" t="s">
        <v>18</v>
      </c>
      <c r="E171" s="16" t="s">
        <v>115</v>
      </c>
      <c r="F171" s="16" t="s">
        <v>24</v>
      </c>
      <c r="G171" s="16">
        <v>15339</v>
      </c>
      <c r="H171" s="20">
        <v>3</v>
      </c>
      <c r="I171" s="21">
        <f t="shared" si="9"/>
        <v>165</v>
      </c>
      <c r="J171" s="22" t="str">
        <f t="shared" si="10"/>
        <v/>
      </c>
      <c r="K171" s="22" t="str">
        <f t="shared" si="11"/>
        <v/>
      </c>
      <c r="L171"/>
      <c r="M171"/>
      <c r="N171" t="str">
        <f>IF(ISERROR(VLOOKUP(B171,'[1]Zebrik W'!$B$7:$M$1000,12,0)),"",IF(VLOOKUP(B171,'[1]Zebrik W'!$B$7:$M$1000,12,0)=0,"--",VLOOKUP(B171,'[1]Zebrik W'!$B$7:$M$1000,12,0)))</f>
        <v/>
      </c>
    </row>
    <row r="172" spans="1:14" x14ac:dyDescent="0.2">
      <c r="A172" s="21">
        <f t="shared" si="8"/>
        <v>166</v>
      </c>
      <c r="B172" s="16" t="s">
        <v>242</v>
      </c>
      <c r="C172" s="16">
        <v>1966</v>
      </c>
      <c r="D172" s="16" t="s">
        <v>18</v>
      </c>
      <c r="E172" s="16" t="s">
        <v>188</v>
      </c>
      <c r="F172" s="16" t="s">
        <v>41</v>
      </c>
      <c r="G172" s="16">
        <v>15105</v>
      </c>
      <c r="H172" s="20">
        <v>3</v>
      </c>
      <c r="I172" s="21">
        <f t="shared" si="9"/>
        <v>166</v>
      </c>
      <c r="J172" s="22" t="str">
        <f t="shared" si="10"/>
        <v/>
      </c>
      <c r="K172" s="22" t="str">
        <f t="shared" si="11"/>
        <v/>
      </c>
      <c r="L172"/>
      <c r="M172"/>
      <c r="N172" t="str">
        <f>IF(ISERROR(VLOOKUP(B172,'[1]Zebrik W'!$B$7:$M$1000,12,0)),"",IF(VLOOKUP(B172,'[1]Zebrik W'!$B$7:$M$1000,12,0)=0,"--",VLOOKUP(B172,'[1]Zebrik W'!$B$7:$M$1000,12,0)))</f>
        <v/>
      </c>
    </row>
    <row r="173" spans="1:14" x14ac:dyDescent="0.2">
      <c r="A173" s="21">
        <f t="shared" si="8"/>
        <v>167</v>
      </c>
      <c r="B173" s="16" t="s">
        <v>243</v>
      </c>
      <c r="C173" s="16">
        <v>1987</v>
      </c>
      <c r="D173" s="16" t="s">
        <v>18</v>
      </c>
      <c r="E173" s="16" t="s">
        <v>38</v>
      </c>
      <c r="F173" s="16" t="s">
        <v>24</v>
      </c>
      <c r="G173" s="16">
        <v>15017</v>
      </c>
      <c r="H173" s="20">
        <v>3</v>
      </c>
      <c r="I173" s="21">
        <f t="shared" si="9"/>
        <v>167</v>
      </c>
      <c r="J173" s="22" t="str">
        <f t="shared" si="10"/>
        <v/>
      </c>
      <c r="K173" s="22" t="str">
        <f t="shared" si="11"/>
        <v/>
      </c>
      <c r="L173"/>
      <c r="M173"/>
      <c r="N173" t="str">
        <f>IF(ISERROR(VLOOKUP(B173,'[1]Zebrik W'!$B$7:$M$1000,12,0)),"",IF(VLOOKUP(B173,'[1]Zebrik W'!$B$7:$M$1000,12,0)=0,"--",VLOOKUP(B173,'[1]Zebrik W'!$B$7:$M$1000,12,0)))</f>
        <v/>
      </c>
    </row>
    <row r="174" spans="1:14" x14ac:dyDescent="0.2">
      <c r="A174" s="21">
        <f t="shared" si="8"/>
        <v>168</v>
      </c>
      <c r="B174" s="16" t="s">
        <v>244</v>
      </c>
      <c r="C174" s="16">
        <v>1984</v>
      </c>
      <c r="D174" s="16" t="s">
        <v>18</v>
      </c>
      <c r="E174" s="16" t="s">
        <v>111</v>
      </c>
      <c r="F174" s="16" t="s">
        <v>20</v>
      </c>
      <c r="G174" s="16">
        <v>15001</v>
      </c>
      <c r="H174" s="20">
        <v>2</v>
      </c>
      <c r="I174" s="21">
        <f t="shared" si="9"/>
        <v>168</v>
      </c>
      <c r="J174" s="22" t="str">
        <f t="shared" si="10"/>
        <v/>
      </c>
      <c r="K174" s="22" t="str">
        <f t="shared" si="11"/>
        <v/>
      </c>
      <c r="L174"/>
      <c r="M174"/>
      <c r="N174" t="str">
        <f>IF(ISERROR(VLOOKUP(B174,'[1]Zebrik W'!$B$7:$M$1000,12,0)),"",IF(VLOOKUP(B174,'[1]Zebrik W'!$B$7:$M$1000,12,0)=0,"--",VLOOKUP(B174,'[1]Zebrik W'!$B$7:$M$1000,12,0)))</f>
        <v/>
      </c>
    </row>
    <row r="175" spans="1:14" x14ac:dyDescent="0.2">
      <c r="A175" s="21">
        <f t="shared" si="8"/>
        <v>169</v>
      </c>
      <c r="B175" s="16" t="s">
        <v>245</v>
      </c>
      <c r="C175" s="16">
        <v>2000</v>
      </c>
      <c r="D175" s="16" t="s">
        <v>18</v>
      </c>
      <c r="E175" s="16" t="s">
        <v>33</v>
      </c>
      <c r="F175" s="16" t="s">
        <v>20</v>
      </c>
      <c r="G175" s="16">
        <v>14985</v>
      </c>
      <c r="H175" s="20">
        <v>3</v>
      </c>
      <c r="I175" s="21">
        <f t="shared" si="9"/>
        <v>169</v>
      </c>
      <c r="J175" s="22" t="str">
        <f t="shared" si="10"/>
        <v/>
      </c>
      <c r="K175" s="22" t="str">
        <f t="shared" si="11"/>
        <v/>
      </c>
      <c r="L175"/>
      <c r="M175"/>
      <c r="N175" t="str">
        <f>IF(ISERROR(VLOOKUP(B175,'[1]Zebrik W'!$B$7:$M$1000,12,0)),"",IF(VLOOKUP(B175,'[1]Zebrik W'!$B$7:$M$1000,12,0)=0,"--",VLOOKUP(B175,'[1]Zebrik W'!$B$7:$M$1000,12,0)))</f>
        <v/>
      </c>
    </row>
    <row r="176" spans="1:14" x14ac:dyDescent="0.2">
      <c r="A176" s="21">
        <f t="shared" si="8"/>
        <v>170</v>
      </c>
      <c r="B176" s="16" t="s">
        <v>246</v>
      </c>
      <c r="C176" s="16">
        <v>1965</v>
      </c>
      <c r="D176" s="16" t="s">
        <v>18</v>
      </c>
      <c r="E176" s="16" t="s">
        <v>45</v>
      </c>
      <c r="F176" s="16" t="s">
        <v>24</v>
      </c>
      <c r="G176" s="16">
        <v>14740</v>
      </c>
      <c r="H176" s="20">
        <v>3</v>
      </c>
      <c r="I176" s="21">
        <f t="shared" si="9"/>
        <v>170</v>
      </c>
      <c r="J176" s="22" t="str">
        <f t="shared" si="10"/>
        <v/>
      </c>
      <c r="K176" s="22" t="str">
        <f t="shared" si="11"/>
        <v/>
      </c>
      <c r="L176"/>
      <c r="M176"/>
      <c r="N176" t="str">
        <f>IF(ISERROR(VLOOKUP(B176,'[1]Zebrik W'!$B$7:$M$1000,12,0)),"",IF(VLOOKUP(B176,'[1]Zebrik W'!$B$7:$M$1000,12,0)=0,"--",VLOOKUP(B176,'[1]Zebrik W'!$B$7:$M$1000,12,0)))</f>
        <v/>
      </c>
    </row>
    <row r="177" spans="1:14" x14ac:dyDescent="0.2">
      <c r="A177" s="21">
        <f t="shared" si="8"/>
        <v>171</v>
      </c>
      <c r="B177" s="16" t="s">
        <v>247</v>
      </c>
      <c r="C177" s="16">
        <v>1990</v>
      </c>
      <c r="D177" s="16" t="s">
        <v>18</v>
      </c>
      <c r="E177" s="16" t="s">
        <v>140</v>
      </c>
      <c r="F177" s="16" t="s">
        <v>20</v>
      </c>
      <c r="G177" s="16">
        <v>14716</v>
      </c>
      <c r="H177" s="20">
        <v>3</v>
      </c>
      <c r="I177" s="21">
        <f t="shared" si="9"/>
        <v>171</v>
      </c>
      <c r="J177" s="22" t="str">
        <f t="shared" si="10"/>
        <v/>
      </c>
      <c r="K177" s="22" t="str">
        <f t="shared" si="11"/>
        <v/>
      </c>
      <c r="L177"/>
      <c r="M177"/>
      <c r="N177" t="str">
        <f>IF(ISERROR(VLOOKUP(B177,'[1]Zebrik W'!$B$7:$M$1000,12,0)),"",IF(VLOOKUP(B177,'[1]Zebrik W'!$B$7:$M$1000,12,0)=0,"--",VLOOKUP(B177,'[1]Zebrik W'!$B$7:$M$1000,12,0)))</f>
        <v/>
      </c>
    </row>
    <row r="178" spans="1:14" x14ac:dyDescent="0.2">
      <c r="A178" s="21">
        <f t="shared" si="8"/>
        <v>172</v>
      </c>
      <c r="B178" s="16" t="s">
        <v>248</v>
      </c>
      <c r="C178" s="16">
        <v>1976</v>
      </c>
      <c r="D178" s="16" t="s">
        <v>18</v>
      </c>
      <c r="E178" s="16" t="s">
        <v>103</v>
      </c>
      <c r="F178" s="16" t="s">
        <v>41</v>
      </c>
      <c r="G178" s="16">
        <v>14603</v>
      </c>
      <c r="H178" s="20">
        <v>2</v>
      </c>
      <c r="I178" s="21">
        <f t="shared" si="9"/>
        <v>172</v>
      </c>
      <c r="J178" s="22" t="str">
        <f t="shared" si="10"/>
        <v/>
      </c>
      <c r="K178" s="22" t="str">
        <f t="shared" si="11"/>
        <v/>
      </c>
      <c r="L178"/>
      <c r="M178"/>
      <c r="N178" t="str">
        <f>IF(ISERROR(VLOOKUP(B178,'[1]Zebrik W'!$B$7:$M$1000,12,0)),"",IF(VLOOKUP(B178,'[1]Zebrik W'!$B$7:$M$1000,12,0)=0,"--",VLOOKUP(B178,'[1]Zebrik W'!$B$7:$M$1000,12,0)))</f>
        <v/>
      </c>
    </row>
    <row r="179" spans="1:14" x14ac:dyDescent="0.2">
      <c r="A179" s="21">
        <f t="shared" si="8"/>
        <v>173</v>
      </c>
      <c r="B179" s="16" t="s">
        <v>249</v>
      </c>
      <c r="C179" s="16">
        <v>2004</v>
      </c>
      <c r="D179" s="16" t="s">
        <v>18</v>
      </c>
      <c r="E179" s="16" t="s">
        <v>131</v>
      </c>
      <c r="F179" s="16" t="s">
        <v>41</v>
      </c>
      <c r="G179" s="16">
        <v>14548</v>
      </c>
      <c r="H179" s="20">
        <v>2</v>
      </c>
      <c r="I179" s="21">
        <f t="shared" si="9"/>
        <v>173</v>
      </c>
      <c r="J179" s="22" t="str">
        <f t="shared" si="10"/>
        <v>Junior v roce 2026</v>
      </c>
      <c r="K179" s="22" t="str">
        <f t="shared" si="11"/>
        <v>Junior v roce 2027</v>
      </c>
      <c r="L179"/>
      <c r="M179"/>
      <c r="N179" t="str">
        <f>IF(ISERROR(VLOOKUP(B179,'[1]Zebrik W'!$B$7:$M$1000,12,0)),"",IF(VLOOKUP(B179,'[1]Zebrik W'!$B$7:$M$1000,12,0)=0,"--",VLOOKUP(B179,'[1]Zebrik W'!$B$7:$M$1000,12,0)))</f>
        <v/>
      </c>
    </row>
    <row r="180" spans="1:14" x14ac:dyDescent="0.2">
      <c r="A180" s="21">
        <f t="shared" si="8"/>
        <v>174</v>
      </c>
      <c r="B180" s="16" t="s">
        <v>250</v>
      </c>
      <c r="C180" s="16">
        <v>1966</v>
      </c>
      <c r="D180" s="16" t="s">
        <v>18</v>
      </c>
      <c r="E180" s="16" t="s">
        <v>206</v>
      </c>
      <c r="F180" s="16" t="s">
        <v>20</v>
      </c>
      <c r="G180" s="16">
        <v>14539</v>
      </c>
      <c r="H180" s="20">
        <v>3</v>
      </c>
      <c r="I180" s="21">
        <f t="shared" si="9"/>
        <v>174</v>
      </c>
      <c r="J180" s="22" t="str">
        <f t="shared" si="10"/>
        <v/>
      </c>
      <c r="K180" s="22" t="str">
        <f t="shared" si="11"/>
        <v/>
      </c>
      <c r="L180"/>
      <c r="M180"/>
      <c r="N180" t="str">
        <f>IF(ISERROR(VLOOKUP(B180,'[1]Zebrik W'!$B$7:$M$1000,12,0)),"",IF(VLOOKUP(B180,'[1]Zebrik W'!$B$7:$M$1000,12,0)=0,"--",VLOOKUP(B180,'[1]Zebrik W'!$B$7:$M$1000,12,0)))</f>
        <v/>
      </c>
    </row>
    <row r="181" spans="1:14" x14ac:dyDescent="0.2">
      <c r="A181" s="21">
        <f t="shared" si="8"/>
        <v>175</v>
      </c>
      <c r="B181" s="16" t="s">
        <v>251</v>
      </c>
      <c r="C181" s="16">
        <v>1971</v>
      </c>
      <c r="D181" s="16" t="s">
        <v>18</v>
      </c>
      <c r="E181" s="16" t="s">
        <v>29</v>
      </c>
      <c r="F181" s="16" t="s">
        <v>24</v>
      </c>
      <c r="G181" s="16">
        <v>14497</v>
      </c>
      <c r="H181" s="20">
        <v>2</v>
      </c>
      <c r="I181" s="21">
        <f t="shared" si="9"/>
        <v>175</v>
      </c>
      <c r="J181" s="22" t="str">
        <f t="shared" si="10"/>
        <v/>
      </c>
      <c r="K181" s="22" t="str">
        <f t="shared" si="11"/>
        <v/>
      </c>
      <c r="L181"/>
      <c r="M181"/>
      <c r="N181" t="str">
        <f>IF(ISERROR(VLOOKUP(B181,'[1]Zebrik W'!$B$7:$M$1000,12,0)),"",IF(VLOOKUP(B181,'[1]Zebrik W'!$B$7:$M$1000,12,0)=0,"--",VLOOKUP(B181,'[1]Zebrik W'!$B$7:$M$1000,12,0)))</f>
        <v/>
      </c>
    </row>
    <row r="182" spans="1:14" x14ac:dyDescent="0.2">
      <c r="A182" s="21">
        <f t="shared" si="8"/>
        <v>176</v>
      </c>
      <c r="B182" s="16" t="s">
        <v>252</v>
      </c>
      <c r="C182" s="16">
        <v>1970</v>
      </c>
      <c r="D182" s="16" t="s">
        <v>18</v>
      </c>
      <c r="E182" s="16" t="s">
        <v>27</v>
      </c>
      <c r="F182" s="16" t="s">
        <v>20</v>
      </c>
      <c r="G182" s="16">
        <v>14444</v>
      </c>
      <c r="H182" s="20">
        <v>3</v>
      </c>
      <c r="I182" s="21">
        <f t="shared" si="9"/>
        <v>176</v>
      </c>
      <c r="J182" s="22" t="str">
        <f t="shared" si="10"/>
        <v/>
      </c>
      <c r="K182" s="22" t="str">
        <f t="shared" si="11"/>
        <v/>
      </c>
      <c r="L182"/>
      <c r="M182"/>
      <c r="N182" t="str">
        <f>IF(ISERROR(VLOOKUP(B182,'[1]Zebrik W'!$B$7:$M$1000,12,0)),"",IF(VLOOKUP(B182,'[1]Zebrik W'!$B$7:$M$1000,12,0)=0,"--",VLOOKUP(B182,'[1]Zebrik W'!$B$7:$M$1000,12,0)))</f>
        <v/>
      </c>
    </row>
    <row r="183" spans="1:14" x14ac:dyDescent="0.2">
      <c r="A183" s="21">
        <f t="shared" si="8"/>
        <v>177</v>
      </c>
      <c r="B183" s="16" t="s">
        <v>253</v>
      </c>
      <c r="C183" s="16">
        <v>1988</v>
      </c>
      <c r="D183" s="16" t="s">
        <v>18</v>
      </c>
      <c r="E183" s="16" t="s">
        <v>33</v>
      </c>
      <c r="F183" s="16" t="s">
        <v>20</v>
      </c>
      <c r="G183" s="16">
        <v>14427</v>
      </c>
      <c r="H183" s="20">
        <v>2</v>
      </c>
      <c r="I183" s="21">
        <f t="shared" si="9"/>
        <v>177</v>
      </c>
      <c r="J183" s="22" t="str">
        <f t="shared" si="10"/>
        <v/>
      </c>
      <c r="K183" s="22" t="str">
        <f t="shared" si="11"/>
        <v/>
      </c>
      <c r="L183"/>
      <c r="M183"/>
      <c r="N183" t="str">
        <f>IF(ISERROR(VLOOKUP(B183,'[1]Zebrik W'!$B$7:$M$1000,12,0)),"",IF(VLOOKUP(B183,'[1]Zebrik W'!$B$7:$M$1000,12,0)=0,"--",VLOOKUP(B183,'[1]Zebrik W'!$B$7:$M$1000,12,0)))</f>
        <v/>
      </c>
    </row>
    <row r="184" spans="1:14" x14ac:dyDescent="0.2">
      <c r="A184" s="21">
        <f t="shared" si="8"/>
        <v>178</v>
      </c>
      <c r="B184" s="16" t="s">
        <v>254</v>
      </c>
      <c r="C184" s="16">
        <v>1981</v>
      </c>
      <c r="D184" s="16" t="s">
        <v>18</v>
      </c>
      <c r="E184" s="16" t="s">
        <v>80</v>
      </c>
      <c r="F184" s="16" t="s">
        <v>20</v>
      </c>
      <c r="G184" s="16">
        <v>14391</v>
      </c>
      <c r="H184" s="20">
        <v>3</v>
      </c>
      <c r="I184" s="21">
        <f t="shared" si="9"/>
        <v>178</v>
      </c>
      <c r="J184" s="22" t="str">
        <f t="shared" si="10"/>
        <v/>
      </c>
      <c r="K184" s="22" t="str">
        <f t="shared" si="11"/>
        <v/>
      </c>
      <c r="L184"/>
      <c r="M184"/>
      <c r="N184" t="str">
        <f>IF(ISERROR(VLOOKUP(B184,'[1]Zebrik W'!$B$7:$M$1000,12,0)),"",IF(VLOOKUP(B184,'[1]Zebrik W'!$B$7:$M$1000,12,0)=0,"--",VLOOKUP(B184,'[1]Zebrik W'!$B$7:$M$1000,12,0)))</f>
        <v/>
      </c>
    </row>
    <row r="185" spans="1:14" x14ac:dyDescent="0.2">
      <c r="A185" s="21">
        <f t="shared" si="8"/>
        <v>179</v>
      </c>
      <c r="B185" s="16" t="s">
        <v>255</v>
      </c>
      <c r="C185" s="16">
        <v>1973</v>
      </c>
      <c r="D185" s="16" t="s">
        <v>18</v>
      </c>
      <c r="E185" s="16" t="s">
        <v>19</v>
      </c>
      <c r="F185" s="16" t="s">
        <v>20</v>
      </c>
      <c r="G185" s="16">
        <v>14339</v>
      </c>
      <c r="H185" s="20">
        <v>3</v>
      </c>
      <c r="I185" s="21">
        <f t="shared" si="9"/>
        <v>179</v>
      </c>
      <c r="J185" s="22" t="str">
        <f t="shared" si="10"/>
        <v/>
      </c>
      <c r="K185" s="22" t="str">
        <f t="shared" si="11"/>
        <v/>
      </c>
      <c r="L185"/>
      <c r="M185"/>
      <c r="N185" t="str">
        <f>IF(ISERROR(VLOOKUP(B185,'[1]Zebrik W'!$B$7:$M$1000,12,0)),"",IF(VLOOKUP(B185,'[1]Zebrik W'!$B$7:$M$1000,12,0)=0,"--",VLOOKUP(B185,'[1]Zebrik W'!$B$7:$M$1000,12,0)))</f>
        <v/>
      </c>
    </row>
    <row r="186" spans="1:14" x14ac:dyDescent="0.2">
      <c r="A186" s="21">
        <f t="shared" si="8"/>
        <v>180</v>
      </c>
      <c r="B186" s="16" t="s">
        <v>256</v>
      </c>
      <c r="C186" s="16">
        <v>1976</v>
      </c>
      <c r="D186" s="16" t="s">
        <v>18</v>
      </c>
      <c r="E186" s="16" t="s">
        <v>155</v>
      </c>
      <c r="F186" s="16" t="s">
        <v>41</v>
      </c>
      <c r="G186" s="16">
        <v>14288</v>
      </c>
      <c r="H186" s="20">
        <v>3</v>
      </c>
      <c r="I186" s="21">
        <f t="shared" si="9"/>
        <v>180</v>
      </c>
      <c r="J186" s="22" t="str">
        <f t="shared" si="10"/>
        <v/>
      </c>
      <c r="K186" s="22" t="str">
        <f t="shared" si="11"/>
        <v/>
      </c>
      <c r="L186"/>
      <c r="M186"/>
      <c r="N186" t="str">
        <f>IF(ISERROR(VLOOKUP(B186,'[1]Zebrik W'!$B$7:$M$1000,12,0)),"",IF(VLOOKUP(B186,'[1]Zebrik W'!$B$7:$M$1000,12,0)=0,"--",VLOOKUP(B186,'[1]Zebrik W'!$B$7:$M$1000,12,0)))</f>
        <v/>
      </c>
    </row>
    <row r="187" spans="1:14" x14ac:dyDescent="0.2">
      <c r="A187" s="21">
        <f t="shared" si="8"/>
        <v>181</v>
      </c>
      <c r="B187" s="16" t="s">
        <v>257</v>
      </c>
      <c r="C187" s="16">
        <v>1962</v>
      </c>
      <c r="D187" s="16" t="s">
        <v>18</v>
      </c>
      <c r="E187" s="16" t="s">
        <v>31</v>
      </c>
      <c r="F187" s="16" t="s">
        <v>24</v>
      </c>
      <c r="G187" s="16">
        <v>14257</v>
      </c>
      <c r="H187" s="20">
        <v>3</v>
      </c>
      <c r="I187" s="21">
        <f t="shared" si="9"/>
        <v>181</v>
      </c>
      <c r="J187" s="22" t="str">
        <f t="shared" si="10"/>
        <v/>
      </c>
      <c r="K187" s="22" t="str">
        <f t="shared" si="11"/>
        <v/>
      </c>
      <c r="L187"/>
      <c r="M187"/>
      <c r="N187" t="str">
        <f>IF(ISERROR(VLOOKUP(B187,'[1]Zebrik W'!$B$7:$M$1000,12,0)),"",IF(VLOOKUP(B187,'[1]Zebrik W'!$B$7:$M$1000,12,0)=0,"--",VLOOKUP(B187,'[1]Zebrik W'!$B$7:$M$1000,12,0)))</f>
        <v/>
      </c>
    </row>
    <row r="188" spans="1:14" x14ac:dyDescent="0.2">
      <c r="A188" s="21">
        <f t="shared" si="8"/>
        <v>182</v>
      </c>
      <c r="B188" s="16" t="s">
        <v>258</v>
      </c>
      <c r="C188" s="16">
        <v>1976</v>
      </c>
      <c r="D188" s="16" t="s">
        <v>18</v>
      </c>
      <c r="E188" s="16" t="s">
        <v>103</v>
      </c>
      <c r="F188" s="16" t="s">
        <v>41</v>
      </c>
      <c r="G188" s="16">
        <v>14222</v>
      </c>
      <c r="H188" s="20">
        <v>3</v>
      </c>
      <c r="I188" s="21">
        <f t="shared" si="9"/>
        <v>182</v>
      </c>
      <c r="J188" s="22" t="str">
        <f t="shared" si="10"/>
        <v/>
      </c>
      <c r="K188" s="22" t="str">
        <f t="shared" si="11"/>
        <v/>
      </c>
      <c r="L188"/>
      <c r="M188"/>
      <c r="N188" t="str">
        <f>IF(ISERROR(VLOOKUP(B188,'[1]Zebrik W'!$B$7:$M$1000,12,0)),"",IF(VLOOKUP(B188,'[1]Zebrik W'!$B$7:$M$1000,12,0)=0,"--",VLOOKUP(B188,'[1]Zebrik W'!$B$7:$M$1000,12,0)))</f>
        <v/>
      </c>
    </row>
    <row r="189" spans="1:14" x14ac:dyDescent="0.2">
      <c r="A189" s="21">
        <f t="shared" si="8"/>
        <v>183</v>
      </c>
      <c r="B189" s="16" t="s">
        <v>259</v>
      </c>
      <c r="C189" s="16">
        <v>1975</v>
      </c>
      <c r="D189" s="16" t="s">
        <v>18</v>
      </c>
      <c r="E189" s="16" t="s">
        <v>105</v>
      </c>
      <c r="F189" s="16" t="s">
        <v>20</v>
      </c>
      <c r="G189" s="16">
        <v>14126</v>
      </c>
      <c r="H189" s="20">
        <v>3</v>
      </c>
      <c r="I189" s="21">
        <f t="shared" si="9"/>
        <v>183</v>
      </c>
      <c r="J189" s="22" t="str">
        <f t="shared" si="10"/>
        <v/>
      </c>
      <c r="K189" s="22" t="str">
        <f t="shared" si="11"/>
        <v/>
      </c>
      <c r="L189"/>
      <c r="M189"/>
      <c r="N189" t="str">
        <f>IF(ISERROR(VLOOKUP(B189,'[1]Zebrik W'!$B$7:$M$1000,12,0)),"",IF(VLOOKUP(B189,'[1]Zebrik W'!$B$7:$M$1000,12,0)=0,"--",VLOOKUP(B189,'[1]Zebrik W'!$B$7:$M$1000,12,0)))</f>
        <v/>
      </c>
    </row>
    <row r="190" spans="1:14" x14ac:dyDescent="0.2">
      <c r="A190" s="21">
        <f t="shared" si="8"/>
        <v>184</v>
      </c>
      <c r="B190" s="16" t="s">
        <v>260</v>
      </c>
      <c r="C190" s="16">
        <v>1987</v>
      </c>
      <c r="D190" s="16" t="s">
        <v>18</v>
      </c>
      <c r="E190" s="16" t="s">
        <v>33</v>
      </c>
      <c r="F190" s="16" t="s">
        <v>20</v>
      </c>
      <c r="G190" s="16">
        <v>14031</v>
      </c>
      <c r="H190" s="20">
        <v>3</v>
      </c>
      <c r="I190" s="21">
        <f t="shared" si="9"/>
        <v>184</v>
      </c>
      <c r="J190" s="22" t="str">
        <f t="shared" si="10"/>
        <v/>
      </c>
      <c r="K190" s="22" t="str">
        <f t="shared" si="11"/>
        <v/>
      </c>
      <c r="L190"/>
      <c r="M190"/>
      <c r="N190" t="str">
        <f>IF(ISERROR(VLOOKUP(B190,'[1]Zebrik W'!$B$7:$M$1000,12,0)),"",IF(VLOOKUP(B190,'[1]Zebrik W'!$B$7:$M$1000,12,0)=0,"--",VLOOKUP(B190,'[1]Zebrik W'!$B$7:$M$1000,12,0)))</f>
        <v/>
      </c>
    </row>
    <row r="191" spans="1:14" x14ac:dyDescent="0.2">
      <c r="A191" s="21">
        <f t="shared" si="8"/>
        <v>185</v>
      </c>
      <c r="B191" s="16" t="s">
        <v>261</v>
      </c>
      <c r="C191" s="16">
        <v>1956</v>
      </c>
      <c r="D191" s="16" t="s">
        <v>18</v>
      </c>
      <c r="E191" s="16" t="s">
        <v>191</v>
      </c>
      <c r="F191" s="16" t="s">
        <v>24</v>
      </c>
      <c r="G191" s="16">
        <v>13878</v>
      </c>
      <c r="H191" s="20">
        <v>3</v>
      </c>
      <c r="I191" s="21">
        <f t="shared" si="9"/>
        <v>185</v>
      </c>
      <c r="J191" s="22" t="str">
        <f t="shared" si="10"/>
        <v/>
      </c>
      <c r="K191" s="22" t="str">
        <f t="shared" si="11"/>
        <v/>
      </c>
      <c r="L191"/>
      <c r="M191"/>
      <c r="N191" t="str">
        <f>IF(ISERROR(VLOOKUP(B191,'[1]Zebrik W'!$B$7:$M$1000,12,0)),"",IF(VLOOKUP(B191,'[1]Zebrik W'!$B$7:$M$1000,12,0)=0,"--",VLOOKUP(B191,'[1]Zebrik W'!$B$7:$M$1000,12,0)))</f>
        <v/>
      </c>
    </row>
    <row r="192" spans="1:14" x14ac:dyDescent="0.2">
      <c r="A192" s="21">
        <f t="shared" si="8"/>
        <v>186</v>
      </c>
      <c r="B192" s="16" t="s">
        <v>262</v>
      </c>
      <c r="C192" s="16">
        <v>1974</v>
      </c>
      <c r="D192" s="16" t="s">
        <v>18</v>
      </c>
      <c r="E192" s="16" t="s">
        <v>99</v>
      </c>
      <c r="F192" s="16" t="s">
        <v>24</v>
      </c>
      <c r="G192" s="16">
        <v>13865</v>
      </c>
      <c r="H192" s="20">
        <v>2</v>
      </c>
      <c r="I192" s="21">
        <f t="shared" si="9"/>
        <v>186</v>
      </c>
      <c r="J192" s="22" t="str">
        <f t="shared" si="10"/>
        <v/>
      </c>
      <c r="K192" s="22" t="str">
        <f t="shared" si="11"/>
        <v/>
      </c>
      <c r="L192"/>
      <c r="M192"/>
      <c r="N192" t="str">
        <f>IF(ISERROR(VLOOKUP(B192,'[1]Zebrik W'!$B$7:$M$1000,12,0)),"",IF(VLOOKUP(B192,'[1]Zebrik W'!$B$7:$M$1000,12,0)=0,"--",VLOOKUP(B192,'[1]Zebrik W'!$B$7:$M$1000,12,0)))</f>
        <v/>
      </c>
    </row>
    <row r="193" spans="1:14" x14ac:dyDescent="0.2">
      <c r="A193" s="21">
        <f t="shared" si="8"/>
        <v>187</v>
      </c>
      <c r="B193" s="16" t="s">
        <v>263</v>
      </c>
      <c r="C193" s="16">
        <v>1965</v>
      </c>
      <c r="D193" s="16" t="s">
        <v>18</v>
      </c>
      <c r="E193" s="16" t="s">
        <v>82</v>
      </c>
      <c r="F193" s="16" t="s">
        <v>20</v>
      </c>
      <c r="G193" s="16">
        <v>13825</v>
      </c>
      <c r="H193" s="20">
        <v>3</v>
      </c>
      <c r="I193" s="21">
        <f t="shared" si="9"/>
        <v>187</v>
      </c>
      <c r="J193" s="22" t="str">
        <f t="shared" si="10"/>
        <v/>
      </c>
      <c r="K193" s="22" t="str">
        <f t="shared" si="11"/>
        <v/>
      </c>
      <c r="L193"/>
      <c r="M193"/>
      <c r="N193" t="str">
        <f>IF(ISERROR(VLOOKUP(B193,'[1]Zebrik W'!$B$7:$M$1000,12,0)),"",IF(VLOOKUP(B193,'[1]Zebrik W'!$B$7:$M$1000,12,0)=0,"--",VLOOKUP(B193,'[1]Zebrik W'!$B$7:$M$1000,12,0)))</f>
        <v/>
      </c>
    </row>
    <row r="194" spans="1:14" x14ac:dyDescent="0.2">
      <c r="A194" s="21">
        <f t="shared" si="8"/>
        <v>188</v>
      </c>
      <c r="B194" s="16" t="s">
        <v>264</v>
      </c>
      <c r="C194" s="16">
        <v>1961</v>
      </c>
      <c r="D194" s="16" t="s">
        <v>18</v>
      </c>
      <c r="E194" s="16" t="s">
        <v>33</v>
      </c>
      <c r="F194" s="16" t="s">
        <v>20</v>
      </c>
      <c r="G194" s="16">
        <v>13736</v>
      </c>
      <c r="H194" s="20">
        <v>2</v>
      </c>
      <c r="I194" s="21">
        <f t="shared" si="9"/>
        <v>188</v>
      </c>
      <c r="J194" s="22" t="str">
        <f t="shared" si="10"/>
        <v/>
      </c>
      <c r="K194" s="22" t="str">
        <f t="shared" si="11"/>
        <v/>
      </c>
      <c r="L194"/>
      <c r="M194"/>
      <c r="N194" t="str">
        <f>IF(ISERROR(VLOOKUP(B194,'[1]Zebrik W'!$B$7:$M$1000,12,0)),"",IF(VLOOKUP(B194,'[1]Zebrik W'!$B$7:$M$1000,12,0)=0,"--",VLOOKUP(B194,'[1]Zebrik W'!$B$7:$M$1000,12,0)))</f>
        <v/>
      </c>
    </row>
    <row r="195" spans="1:14" x14ac:dyDescent="0.2">
      <c r="A195" s="21">
        <f t="shared" si="8"/>
        <v>189</v>
      </c>
      <c r="B195" s="16" t="s">
        <v>265</v>
      </c>
      <c r="C195" s="16">
        <v>1956</v>
      </c>
      <c r="D195" s="16" t="s">
        <v>18</v>
      </c>
      <c r="E195" s="16" t="s">
        <v>166</v>
      </c>
      <c r="F195" s="16" t="s">
        <v>41</v>
      </c>
      <c r="G195" s="16">
        <v>13725</v>
      </c>
      <c r="H195" s="20">
        <v>2</v>
      </c>
      <c r="I195" s="21">
        <f t="shared" si="9"/>
        <v>189</v>
      </c>
      <c r="J195" s="22" t="str">
        <f t="shared" si="10"/>
        <v/>
      </c>
      <c r="K195" s="22" t="str">
        <f t="shared" si="11"/>
        <v/>
      </c>
      <c r="L195"/>
      <c r="M195"/>
      <c r="N195" t="str">
        <f>IF(ISERROR(VLOOKUP(B195,'[1]Zebrik W'!$B$7:$M$1000,12,0)),"",IF(VLOOKUP(B195,'[1]Zebrik W'!$B$7:$M$1000,12,0)=0,"--",VLOOKUP(B195,'[1]Zebrik W'!$B$7:$M$1000,12,0)))</f>
        <v/>
      </c>
    </row>
    <row r="196" spans="1:14" x14ac:dyDescent="0.2">
      <c r="A196" s="21">
        <f t="shared" si="8"/>
        <v>189</v>
      </c>
      <c r="B196" s="16" t="s">
        <v>266</v>
      </c>
      <c r="C196" s="16">
        <v>1994</v>
      </c>
      <c r="D196" s="16" t="s">
        <v>18</v>
      </c>
      <c r="E196" s="16" t="s">
        <v>65</v>
      </c>
      <c r="F196" s="16" t="s">
        <v>41</v>
      </c>
      <c r="G196" s="16">
        <v>13725</v>
      </c>
      <c r="H196" s="20">
        <v>2</v>
      </c>
      <c r="I196" s="21">
        <f t="shared" si="9"/>
        <v>189</v>
      </c>
      <c r="J196" s="22" t="str">
        <f t="shared" si="10"/>
        <v/>
      </c>
      <c r="K196" s="22" t="str">
        <f t="shared" si="11"/>
        <v/>
      </c>
      <c r="L196"/>
      <c r="M196"/>
      <c r="N196" t="str">
        <f>IF(ISERROR(VLOOKUP(B196,'[1]Zebrik W'!$B$7:$M$1000,12,0)),"",IF(VLOOKUP(B196,'[1]Zebrik W'!$B$7:$M$1000,12,0)=0,"--",VLOOKUP(B196,'[1]Zebrik W'!$B$7:$M$1000,12,0)))</f>
        <v/>
      </c>
    </row>
    <row r="197" spans="1:14" x14ac:dyDescent="0.2">
      <c r="A197" s="21">
        <f t="shared" si="8"/>
        <v>191</v>
      </c>
      <c r="B197" s="16" t="s">
        <v>267</v>
      </c>
      <c r="C197" s="16">
        <v>1967</v>
      </c>
      <c r="D197" s="16" t="s">
        <v>18</v>
      </c>
      <c r="E197" s="16" t="s">
        <v>59</v>
      </c>
      <c r="F197" s="16" t="s">
        <v>41</v>
      </c>
      <c r="G197" s="16">
        <v>13693</v>
      </c>
      <c r="H197" s="20">
        <v>3</v>
      </c>
      <c r="I197" s="21">
        <f t="shared" si="9"/>
        <v>191</v>
      </c>
      <c r="J197" s="22" t="str">
        <f t="shared" si="10"/>
        <v/>
      </c>
      <c r="K197" s="22" t="str">
        <f t="shared" si="11"/>
        <v/>
      </c>
      <c r="L197"/>
      <c r="M197"/>
      <c r="N197" t="str">
        <f>IF(ISERROR(VLOOKUP(B197,'[1]Zebrik W'!$B$7:$M$1000,12,0)),"",IF(VLOOKUP(B197,'[1]Zebrik W'!$B$7:$M$1000,12,0)=0,"--",VLOOKUP(B197,'[1]Zebrik W'!$B$7:$M$1000,12,0)))</f>
        <v/>
      </c>
    </row>
    <row r="198" spans="1:14" x14ac:dyDescent="0.2">
      <c r="A198" s="21">
        <f t="shared" si="8"/>
        <v>192</v>
      </c>
      <c r="B198" s="16" t="s">
        <v>268</v>
      </c>
      <c r="C198" s="16">
        <v>1974</v>
      </c>
      <c r="D198" s="16" t="s">
        <v>18</v>
      </c>
      <c r="E198" s="16" t="s">
        <v>57</v>
      </c>
      <c r="F198" s="16" t="s">
        <v>24</v>
      </c>
      <c r="G198" s="16">
        <v>13603</v>
      </c>
      <c r="H198" s="20">
        <v>3</v>
      </c>
      <c r="I198" s="21">
        <f t="shared" si="9"/>
        <v>192</v>
      </c>
      <c r="J198" s="22" t="str">
        <f t="shared" si="10"/>
        <v/>
      </c>
      <c r="K198" s="22" t="str">
        <f t="shared" si="11"/>
        <v/>
      </c>
      <c r="L198"/>
      <c r="M198"/>
      <c r="N198" t="str">
        <f>IF(ISERROR(VLOOKUP(B198,'[1]Zebrik W'!$B$7:$M$1000,12,0)),"",IF(VLOOKUP(B198,'[1]Zebrik W'!$B$7:$M$1000,12,0)=0,"--",VLOOKUP(B198,'[1]Zebrik W'!$B$7:$M$1000,12,0)))</f>
        <v/>
      </c>
    </row>
    <row r="199" spans="1:14" x14ac:dyDescent="0.2">
      <c r="A199" s="21">
        <f t="shared" ref="A199:A262" si="12">RANK(G199,G:G)</f>
        <v>193</v>
      </c>
      <c r="B199" s="16" t="s">
        <v>269</v>
      </c>
      <c r="C199" s="16">
        <v>1969</v>
      </c>
      <c r="D199" s="16" t="s">
        <v>18</v>
      </c>
      <c r="E199" s="16" t="s">
        <v>27</v>
      </c>
      <c r="F199" s="16" t="s">
        <v>20</v>
      </c>
      <c r="G199" s="16">
        <v>13496</v>
      </c>
      <c r="H199" s="20">
        <v>2</v>
      </c>
      <c r="I199" s="21">
        <f t="shared" si="9"/>
        <v>193</v>
      </c>
      <c r="J199" s="22" t="str">
        <f t="shared" si="10"/>
        <v/>
      </c>
      <c r="K199" s="22" t="str">
        <f t="shared" si="11"/>
        <v/>
      </c>
      <c r="L199"/>
      <c r="M199"/>
      <c r="N199" t="str">
        <f>IF(ISERROR(VLOOKUP(B199,'[1]Zebrik W'!$B$7:$M$1000,12,0)),"",IF(VLOOKUP(B199,'[1]Zebrik W'!$B$7:$M$1000,12,0)=0,"--",VLOOKUP(B199,'[1]Zebrik W'!$B$7:$M$1000,12,0)))</f>
        <v/>
      </c>
    </row>
    <row r="200" spans="1:14" x14ac:dyDescent="0.2">
      <c r="A200" s="21">
        <f t="shared" si="12"/>
        <v>194</v>
      </c>
      <c r="B200" s="16" t="s">
        <v>270</v>
      </c>
      <c r="C200" s="16">
        <v>1976</v>
      </c>
      <c r="D200" s="16" t="s">
        <v>18</v>
      </c>
      <c r="E200" s="16" t="s">
        <v>101</v>
      </c>
      <c r="F200" s="16" t="s">
        <v>20</v>
      </c>
      <c r="G200" s="16">
        <v>13486</v>
      </c>
      <c r="H200" s="20">
        <v>2</v>
      </c>
      <c r="I200" s="21">
        <f t="shared" ref="I200:I263" si="13">RANK(G200,G:G)</f>
        <v>194</v>
      </c>
      <c r="J200" s="22" t="str">
        <f t="shared" ref="J200:J263" si="14">IF(C200="(prázdné)","",IF(($J$4-C200)&gt;25,"","Junior v roce "&amp;$J$4))</f>
        <v/>
      </c>
      <c r="K200" s="22" t="str">
        <f t="shared" ref="K200:K263" si="15">IF(C200="(prázdné)","",IF(($K$4-C200)&gt;25,"","Junior v roce "&amp;$K$4))</f>
        <v/>
      </c>
      <c r="L200"/>
      <c r="M200"/>
      <c r="N200" t="str">
        <f>IF(ISERROR(VLOOKUP(B200,'[1]Zebrik W'!$B$7:$M$1000,12,0)),"",IF(VLOOKUP(B200,'[1]Zebrik W'!$B$7:$M$1000,12,0)=0,"--",VLOOKUP(B200,'[1]Zebrik W'!$B$7:$M$1000,12,0)))</f>
        <v/>
      </c>
    </row>
    <row r="201" spans="1:14" x14ac:dyDescent="0.2">
      <c r="A201" s="21">
        <f t="shared" si="12"/>
        <v>195</v>
      </c>
      <c r="B201" s="16" t="s">
        <v>271</v>
      </c>
      <c r="C201" s="16">
        <v>1976</v>
      </c>
      <c r="D201" s="16" t="s">
        <v>18</v>
      </c>
      <c r="E201" s="16" t="s">
        <v>140</v>
      </c>
      <c r="F201" s="16" t="s">
        <v>20</v>
      </c>
      <c r="G201" s="16">
        <v>13394</v>
      </c>
      <c r="H201" s="20">
        <v>2</v>
      </c>
      <c r="I201" s="21">
        <f t="shared" si="13"/>
        <v>195</v>
      </c>
      <c r="J201" s="22" t="str">
        <f t="shared" si="14"/>
        <v/>
      </c>
      <c r="K201" s="22" t="str">
        <f t="shared" si="15"/>
        <v/>
      </c>
      <c r="L201"/>
      <c r="M201"/>
      <c r="N201" t="str">
        <f>IF(ISERROR(VLOOKUP(B201,'[1]Zebrik W'!$B$7:$M$1000,12,0)),"",IF(VLOOKUP(B201,'[1]Zebrik W'!$B$7:$M$1000,12,0)=0,"--",VLOOKUP(B201,'[1]Zebrik W'!$B$7:$M$1000,12,0)))</f>
        <v/>
      </c>
    </row>
    <row r="202" spans="1:14" x14ac:dyDescent="0.2">
      <c r="A202" s="21">
        <f t="shared" si="12"/>
        <v>196</v>
      </c>
      <c r="B202" s="16" t="s">
        <v>272</v>
      </c>
      <c r="C202" s="16">
        <v>1975</v>
      </c>
      <c r="D202" s="16" t="s">
        <v>18</v>
      </c>
      <c r="E202" s="16" t="s">
        <v>82</v>
      </c>
      <c r="F202" s="16" t="s">
        <v>20</v>
      </c>
      <c r="G202" s="16">
        <v>13351</v>
      </c>
      <c r="H202" s="20">
        <v>3</v>
      </c>
      <c r="I202" s="21">
        <f t="shared" si="13"/>
        <v>196</v>
      </c>
      <c r="J202" s="22" t="str">
        <f t="shared" si="14"/>
        <v/>
      </c>
      <c r="K202" s="22" t="str">
        <f t="shared" si="15"/>
        <v/>
      </c>
      <c r="L202"/>
      <c r="N202" t="str">
        <f>IF(ISERROR(VLOOKUP(B202,'[1]Zebrik W'!$B$7:$M$1000,12,0)),"",IF(VLOOKUP(B202,'[1]Zebrik W'!$B$7:$M$1000,12,0)=0,"--",VLOOKUP(B202,'[1]Zebrik W'!$B$7:$M$1000,12,0)))</f>
        <v/>
      </c>
    </row>
    <row r="203" spans="1:14" x14ac:dyDescent="0.2">
      <c r="A203" s="21">
        <f t="shared" si="12"/>
        <v>197</v>
      </c>
      <c r="B203" s="16" t="s">
        <v>273</v>
      </c>
      <c r="C203" s="16">
        <v>1976</v>
      </c>
      <c r="D203" s="16" t="s">
        <v>18</v>
      </c>
      <c r="E203" s="16" t="s">
        <v>99</v>
      </c>
      <c r="F203" s="16" t="s">
        <v>24</v>
      </c>
      <c r="G203" s="16">
        <v>13299</v>
      </c>
      <c r="H203" s="20">
        <v>3</v>
      </c>
      <c r="I203" s="21">
        <f t="shared" si="13"/>
        <v>197</v>
      </c>
      <c r="J203" s="22" t="str">
        <f t="shared" si="14"/>
        <v/>
      </c>
      <c r="K203" s="22" t="str">
        <f t="shared" si="15"/>
        <v/>
      </c>
      <c r="L203"/>
      <c r="M203"/>
      <c r="N203" t="str">
        <f>IF(ISERROR(VLOOKUP(B203,'[1]Zebrik W'!$B$7:$M$1000,12,0)),"",IF(VLOOKUP(B203,'[1]Zebrik W'!$B$7:$M$1000,12,0)=0,"--",VLOOKUP(B203,'[1]Zebrik W'!$B$7:$M$1000,12,0)))</f>
        <v/>
      </c>
    </row>
    <row r="204" spans="1:14" x14ac:dyDescent="0.2">
      <c r="A204" s="21">
        <f t="shared" si="12"/>
        <v>198</v>
      </c>
      <c r="B204" s="16" t="s">
        <v>274</v>
      </c>
      <c r="C204" s="16">
        <v>1976</v>
      </c>
      <c r="D204" s="16" t="s">
        <v>18</v>
      </c>
      <c r="E204" s="16" t="s">
        <v>80</v>
      </c>
      <c r="F204" s="16" t="s">
        <v>20</v>
      </c>
      <c r="G204" s="16">
        <v>13243</v>
      </c>
      <c r="H204" s="20">
        <v>2</v>
      </c>
      <c r="I204" s="21">
        <f t="shared" si="13"/>
        <v>198</v>
      </c>
      <c r="J204" s="22" t="str">
        <f t="shared" si="14"/>
        <v/>
      </c>
      <c r="K204" s="22" t="str">
        <f t="shared" si="15"/>
        <v/>
      </c>
      <c r="L204"/>
      <c r="M204"/>
      <c r="N204" t="str">
        <f>IF(ISERROR(VLOOKUP(B204,'[1]Zebrik W'!$B$7:$M$1000,12,0)),"",IF(VLOOKUP(B204,'[1]Zebrik W'!$B$7:$M$1000,12,0)=0,"--",VLOOKUP(B204,'[1]Zebrik W'!$B$7:$M$1000,12,0)))</f>
        <v/>
      </c>
    </row>
    <row r="205" spans="1:14" x14ac:dyDescent="0.2">
      <c r="A205" s="21">
        <f t="shared" si="12"/>
        <v>199</v>
      </c>
      <c r="B205" s="16" t="s">
        <v>275</v>
      </c>
      <c r="C205" s="16">
        <v>2008</v>
      </c>
      <c r="D205" s="16" t="s">
        <v>18</v>
      </c>
      <c r="E205" s="16" t="s">
        <v>54</v>
      </c>
      <c r="F205" s="16" t="s">
        <v>41</v>
      </c>
      <c r="G205" s="16">
        <v>13218</v>
      </c>
      <c r="H205" s="20">
        <v>2</v>
      </c>
      <c r="I205" s="21">
        <f t="shared" si="13"/>
        <v>199</v>
      </c>
      <c r="J205" s="22" t="str">
        <f t="shared" si="14"/>
        <v>Junior v roce 2026</v>
      </c>
      <c r="K205" s="22" t="str">
        <f t="shared" si="15"/>
        <v>Junior v roce 2027</v>
      </c>
      <c r="L205"/>
      <c r="M205"/>
      <c r="N205" t="str">
        <f>IF(ISERROR(VLOOKUP(B205,'[1]Zebrik W'!$B$7:$M$1000,12,0)),"",IF(VLOOKUP(B205,'[1]Zebrik W'!$B$7:$M$1000,12,0)=0,"--",VLOOKUP(B205,'[1]Zebrik W'!$B$7:$M$1000,12,0)))</f>
        <v/>
      </c>
    </row>
    <row r="206" spans="1:14" x14ac:dyDescent="0.2">
      <c r="A206" s="21">
        <f t="shared" si="12"/>
        <v>200</v>
      </c>
      <c r="B206" s="16" t="s">
        <v>276</v>
      </c>
      <c r="C206" s="16">
        <v>1989</v>
      </c>
      <c r="D206" s="16" t="s">
        <v>49</v>
      </c>
      <c r="E206" s="16" t="s">
        <v>47</v>
      </c>
      <c r="F206" s="16" t="s">
        <v>20</v>
      </c>
      <c r="G206" s="16">
        <v>13204</v>
      </c>
      <c r="H206" s="20">
        <v>2</v>
      </c>
      <c r="I206" s="21">
        <f t="shared" si="13"/>
        <v>200</v>
      </c>
      <c r="J206" s="22" t="str">
        <f t="shared" si="14"/>
        <v/>
      </c>
      <c r="K206" s="22" t="str">
        <f t="shared" si="15"/>
        <v/>
      </c>
      <c r="L206"/>
      <c r="M206" t="s">
        <v>21</v>
      </c>
      <c r="N206" t="str">
        <f>IF(ISERROR(VLOOKUP(B206,'[1]Zebrik W'!$B$7:$M$1000,12,0)),"",IF(VLOOKUP(B206,'[1]Zebrik W'!$B$7:$M$1000,12,0)=0,"--",VLOOKUP(B206,'[1]Zebrik W'!$B$7:$M$1000,12,0)))</f>
        <v>WRV 2026</v>
      </c>
    </row>
    <row r="207" spans="1:14" x14ac:dyDescent="0.2">
      <c r="A207" s="21">
        <f t="shared" si="12"/>
        <v>201</v>
      </c>
      <c r="B207" s="16" t="s">
        <v>277</v>
      </c>
      <c r="C207" s="16">
        <v>1987</v>
      </c>
      <c r="D207" s="16" t="s">
        <v>18</v>
      </c>
      <c r="E207" s="16" t="s">
        <v>278</v>
      </c>
      <c r="F207" s="16" t="s">
        <v>41</v>
      </c>
      <c r="G207" s="16">
        <v>13153</v>
      </c>
      <c r="H207" s="20">
        <v>2</v>
      </c>
      <c r="I207" s="21">
        <f t="shared" si="13"/>
        <v>201</v>
      </c>
      <c r="J207" s="22" t="str">
        <f t="shared" si="14"/>
        <v/>
      </c>
      <c r="K207" s="22" t="str">
        <f t="shared" si="15"/>
        <v/>
      </c>
      <c r="L207"/>
      <c r="M207"/>
      <c r="N207" t="str">
        <f>IF(ISERROR(VLOOKUP(B207,'[1]Zebrik W'!$B$7:$M$1000,12,0)),"",IF(VLOOKUP(B207,'[1]Zebrik W'!$B$7:$M$1000,12,0)=0,"--",VLOOKUP(B207,'[1]Zebrik W'!$B$7:$M$1000,12,0)))</f>
        <v/>
      </c>
    </row>
    <row r="208" spans="1:14" x14ac:dyDescent="0.2">
      <c r="A208" s="21">
        <f t="shared" si="12"/>
        <v>202</v>
      </c>
      <c r="B208" s="16" t="s">
        <v>279</v>
      </c>
      <c r="C208" s="16">
        <v>1990</v>
      </c>
      <c r="D208" s="16" t="s">
        <v>18</v>
      </c>
      <c r="E208" s="16" t="s">
        <v>38</v>
      </c>
      <c r="F208" s="16" t="s">
        <v>24</v>
      </c>
      <c r="G208" s="16">
        <v>13126</v>
      </c>
      <c r="H208" s="20">
        <v>2</v>
      </c>
      <c r="I208" s="21">
        <f t="shared" si="13"/>
        <v>202</v>
      </c>
      <c r="J208" s="22" t="str">
        <f t="shared" si="14"/>
        <v/>
      </c>
      <c r="K208" s="22" t="str">
        <f t="shared" si="15"/>
        <v/>
      </c>
      <c r="L208"/>
      <c r="M208"/>
      <c r="N208" t="str">
        <f>IF(ISERROR(VLOOKUP(B208,'[1]Zebrik W'!$B$7:$M$1000,12,0)),"",IF(VLOOKUP(B208,'[1]Zebrik W'!$B$7:$M$1000,12,0)=0,"--",VLOOKUP(B208,'[1]Zebrik W'!$B$7:$M$1000,12,0)))</f>
        <v/>
      </c>
    </row>
    <row r="209" spans="1:14" x14ac:dyDescent="0.2">
      <c r="A209" s="21">
        <f t="shared" si="12"/>
        <v>203</v>
      </c>
      <c r="B209" s="16" t="s">
        <v>280</v>
      </c>
      <c r="C209" s="16">
        <v>1991</v>
      </c>
      <c r="D209" s="16" t="s">
        <v>18</v>
      </c>
      <c r="E209" s="16" t="s">
        <v>29</v>
      </c>
      <c r="F209" s="16" t="s">
        <v>24</v>
      </c>
      <c r="G209" s="16">
        <v>12883</v>
      </c>
      <c r="H209" s="20">
        <v>2</v>
      </c>
      <c r="I209" s="21">
        <f t="shared" si="13"/>
        <v>203</v>
      </c>
      <c r="J209" s="22" t="str">
        <f t="shared" si="14"/>
        <v/>
      </c>
      <c r="K209" s="22" t="str">
        <f t="shared" si="15"/>
        <v/>
      </c>
      <c r="L209"/>
      <c r="M209"/>
      <c r="N209" t="str">
        <f>IF(ISERROR(VLOOKUP(B209,'[1]Zebrik W'!$B$7:$M$1000,12,0)),"",IF(VLOOKUP(B209,'[1]Zebrik W'!$B$7:$M$1000,12,0)=0,"--",VLOOKUP(B209,'[1]Zebrik W'!$B$7:$M$1000,12,0)))</f>
        <v/>
      </c>
    </row>
    <row r="210" spans="1:14" x14ac:dyDescent="0.2">
      <c r="A210" s="21">
        <f t="shared" si="12"/>
        <v>204</v>
      </c>
      <c r="B210" s="16" t="s">
        <v>281</v>
      </c>
      <c r="C210" s="16">
        <v>1988</v>
      </c>
      <c r="D210" s="16" t="s">
        <v>18</v>
      </c>
      <c r="E210" s="16" t="s">
        <v>99</v>
      </c>
      <c r="F210" s="16" t="s">
        <v>24</v>
      </c>
      <c r="G210" s="16">
        <v>12699</v>
      </c>
      <c r="H210" s="20">
        <v>3</v>
      </c>
      <c r="I210" s="21">
        <f t="shared" si="13"/>
        <v>204</v>
      </c>
      <c r="J210" s="22" t="str">
        <f t="shared" si="14"/>
        <v/>
      </c>
      <c r="K210" s="22" t="str">
        <f t="shared" si="15"/>
        <v/>
      </c>
      <c r="L210"/>
      <c r="M210"/>
      <c r="N210" t="str">
        <f>IF(ISERROR(VLOOKUP(B210,'[1]Zebrik W'!$B$7:$M$1000,12,0)),"",IF(VLOOKUP(B210,'[1]Zebrik W'!$B$7:$M$1000,12,0)=0,"--",VLOOKUP(B210,'[1]Zebrik W'!$B$7:$M$1000,12,0)))</f>
        <v/>
      </c>
    </row>
    <row r="211" spans="1:14" x14ac:dyDescent="0.2">
      <c r="A211" s="21">
        <f t="shared" si="12"/>
        <v>205</v>
      </c>
      <c r="B211" s="16" t="s">
        <v>282</v>
      </c>
      <c r="C211" s="16">
        <v>1975</v>
      </c>
      <c r="D211" s="16" t="s">
        <v>18</v>
      </c>
      <c r="E211" s="16" t="s">
        <v>57</v>
      </c>
      <c r="F211" s="16" t="s">
        <v>24</v>
      </c>
      <c r="G211" s="16">
        <v>12692</v>
      </c>
      <c r="H211" s="20">
        <v>3</v>
      </c>
      <c r="I211" s="21">
        <f t="shared" si="13"/>
        <v>205</v>
      </c>
      <c r="J211" s="22" t="str">
        <f t="shared" si="14"/>
        <v/>
      </c>
      <c r="K211" s="22" t="str">
        <f t="shared" si="15"/>
        <v/>
      </c>
      <c r="L211"/>
      <c r="M211"/>
      <c r="N211" t="str">
        <f>IF(ISERROR(VLOOKUP(B211,'[1]Zebrik W'!$B$7:$M$1000,12,0)),"",IF(VLOOKUP(B211,'[1]Zebrik W'!$B$7:$M$1000,12,0)=0,"--",VLOOKUP(B211,'[1]Zebrik W'!$B$7:$M$1000,12,0)))</f>
        <v/>
      </c>
    </row>
    <row r="212" spans="1:14" x14ac:dyDescent="0.2">
      <c r="A212" s="21">
        <f t="shared" si="12"/>
        <v>206</v>
      </c>
      <c r="B212" s="16" t="s">
        <v>283</v>
      </c>
      <c r="C212" s="16">
        <v>1965</v>
      </c>
      <c r="D212" s="16" t="s">
        <v>18</v>
      </c>
      <c r="E212" s="16" t="s">
        <v>188</v>
      </c>
      <c r="F212" s="16" t="s">
        <v>41</v>
      </c>
      <c r="G212" s="16">
        <v>12646</v>
      </c>
      <c r="H212" s="20">
        <v>2</v>
      </c>
      <c r="I212" s="21">
        <f t="shared" si="13"/>
        <v>206</v>
      </c>
      <c r="J212" s="22" t="str">
        <f t="shared" si="14"/>
        <v/>
      </c>
      <c r="K212" s="22" t="str">
        <f t="shared" si="15"/>
        <v/>
      </c>
      <c r="L212"/>
      <c r="M212"/>
      <c r="N212" t="str">
        <f>IF(ISERROR(VLOOKUP(B212,'[1]Zebrik W'!$B$7:$M$1000,12,0)),"",IF(VLOOKUP(B212,'[1]Zebrik W'!$B$7:$M$1000,12,0)=0,"--",VLOOKUP(B212,'[1]Zebrik W'!$B$7:$M$1000,12,0)))</f>
        <v/>
      </c>
    </row>
    <row r="213" spans="1:14" x14ac:dyDescent="0.2">
      <c r="A213" s="21">
        <f t="shared" si="12"/>
        <v>207</v>
      </c>
      <c r="B213" s="16" t="s">
        <v>284</v>
      </c>
      <c r="C213" s="16">
        <v>1970</v>
      </c>
      <c r="D213" s="16" t="s">
        <v>18</v>
      </c>
      <c r="E213" s="16" t="s">
        <v>223</v>
      </c>
      <c r="F213" s="16" t="s">
        <v>41</v>
      </c>
      <c r="G213" s="16">
        <v>12492</v>
      </c>
      <c r="H213" s="20">
        <v>2</v>
      </c>
      <c r="I213" s="21">
        <f t="shared" si="13"/>
        <v>207</v>
      </c>
      <c r="J213" s="22" t="str">
        <f t="shared" si="14"/>
        <v/>
      </c>
      <c r="K213" s="22" t="str">
        <f t="shared" si="15"/>
        <v/>
      </c>
      <c r="L213"/>
      <c r="M213"/>
      <c r="N213" t="str">
        <f>IF(ISERROR(VLOOKUP(B213,'[1]Zebrik W'!$B$7:$M$1000,12,0)),"",IF(VLOOKUP(B213,'[1]Zebrik W'!$B$7:$M$1000,12,0)=0,"--",VLOOKUP(B213,'[1]Zebrik W'!$B$7:$M$1000,12,0)))</f>
        <v/>
      </c>
    </row>
    <row r="214" spans="1:14" x14ac:dyDescent="0.2">
      <c r="A214" s="21">
        <f t="shared" si="12"/>
        <v>208</v>
      </c>
      <c r="B214" s="16" t="s">
        <v>285</v>
      </c>
      <c r="C214" s="16">
        <v>1960</v>
      </c>
      <c r="D214" s="16" t="s">
        <v>18</v>
      </c>
      <c r="E214" s="16" t="s">
        <v>286</v>
      </c>
      <c r="F214" s="16" t="s">
        <v>41</v>
      </c>
      <c r="G214" s="16">
        <v>12325</v>
      </c>
      <c r="H214" s="20">
        <v>2</v>
      </c>
      <c r="I214" s="21">
        <f t="shared" si="13"/>
        <v>208</v>
      </c>
      <c r="J214" s="22" t="str">
        <f t="shared" si="14"/>
        <v/>
      </c>
      <c r="K214" s="22" t="str">
        <f t="shared" si="15"/>
        <v/>
      </c>
      <c r="L214"/>
      <c r="M214"/>
      <c r="N214" t="str">
        <f>IF(ISERROR(VLOOKUP(B214,'[1]Zebrik W'!$B$7:$M$1000,12,0)),"",IF(VLOOKUP(B214,'[1]Zebrik W'!$B$7:$M$1000,12,0)=0,"--",VLOOKUP(B214,'[1]Zebrik W'!$B$7:$M$1000,12,0)))</f>
        <v/>
      </c>
    </row>
    <row r="215" spans="1:14" x14ac:dyDescent="0.2">
      <c r="A215" s="21">
        <f t="shared" si="12"/>
        <v>209</v>
      </c>
      <c r="B215" s="16" t="s">
        <v>287</v>
      </c>
      <c r="C215" s="16">
        <v>2006</v>
      </c>
      <c r="D215" s="16" t="s">
        <v>18</v>
      </c>
      <c r="E215" s="16" t="s">
        <v>124</v>
      </c>
      <c r="F215" s="16" t="s">
        <v>41</v>
      </c>
      <c r="G215" s="16">
        <v>12199</v>
      </c>
      <c r="H215" s="20">
        <v>3</v>
      </c>
      <c r="I215" s="21">
        <f t="shared" si="13"/>
        <v>209</v>
      </c>
      <c r="J215" s="22" t="str">
        <f t="shared" si="14"/>
        <v>Junior v roce 2026</v>
      </c>
      <c r="K215" s="22" t="str">
        <f t="shared" si="15"/>
        <v>Junior v roce 2027</v>
      </c>
      <c r="L215"/>
      <c r="M215"/>
      <c r="N215" t="str">
        <f>IF(ISERROR(VLOOKUP(B215,'[1]Zebrik W'!$B$7:$M$1000,12,0)),"",IF(VLOOKUP(B215,'[1]Zebrik W'!$B$7:$M$1000,12,0)=0,"--",VLOOKUP(B215,'[1]Zebrik W'!$B$7:$M$1000,12,0)))</f>
        <v/>
      </c>
    </row>
    <row r="216" spans="1:14" x14ac:dyDescent="0.2">
      <c r="A216" s="21">
        <f t="shared" si="12"/>
        <v>210</v>
      </c>
      <c r="B216" s="16" t="s">
        <v>288</v>
      </c>
      <c r="C216" s="16">
        <v>1997</v>
      </c>
      <c r="D216" s="16" t="s">
        <v>18</v>
      </c>
      <c r="E216" s="16" t="s">
        <v>82</v>
      </c>
      <c r="F216" s="16" t="s">
        <v>20</v>
      </c>
      <c r="G216" s="16">
        <v>12170</v>
      </c>
      <c r="H216" s="20">
        <v>2</v>
      </c>
      <c r="I216" s="21">
        <f t="shared" si="13"/>
        <v>210</v>
      </c>
      <c r="J216" s="22" t="str">
        <f t="shared" si="14"/>
        <v/>
      </c>
      <c r="K216" s="22" t="str">
        <f t="shared" si="15"/>
        <v/>
      </c>
      <c r="L216"/>
      <c r="M216"/>
      <c r="N216" t="str">
        <f>IF(ISERROR(VLOOKUP(B216,'[1]Zebrik W'!$B$7:$M$1000,12,0)),"",IF(VLOOKUP(B216,'[1]Zebrik W'!$B$7:$M$1000,12,0)=0,"--",VLOOKUP(B216,'[1]Zebrik W'!$B$7:$M$1000,12,0)))</f>
        <v/>
      </c>
    </row>
    <row r="217" spans="1:14" x14ac:dyDescent="0.2">
      <c r="A217" s="21">
        <f t="shared" si="12"/>
        <v>211</v>
      </c>
      <c r="B217" s="16" t="s">
        <v>289</v>
      </c>
      <c r="C217" s="16">
        <v>1966</v>
      </c>
      <c r="D217" s="16" t="s">
        <v>18</v>
      </c>
      <c r="E217" s="16" t="s">
        <v>199</v>
      </c>
      <c r="F217" s="16" t="s">
        <v>41</v>
      </c>
      <c r="G217" s="16">
        <v>11861</v>
      </c>
      <c r="H217" s="20">
        <v>3</v>
      </c>
      <c r="I217" s="21">
        <f t="shared" si="13"/>
        <v>211</v>
      </c>
      <c r="J217" s="22" t="str">
        <f t="shared" si="14"/>
        <v/>
      </c>
      <c r="K217" s="22" t="str">
        <f t="shared" si="15"/>
        <v/>
      </c>
      <c r="L217"/>
      <c r="M217"/>
      <c r="N217" t="str">
        <f>IF(ISERROR(VLOOKUP(B217,'[1]Zebrik W'!$B$7:$M$1000,12,0)),"",IF(VLOOKUP(B217,'[1]Zebrik W'!$B$7:$M$1000,12,0)=0,"--",VLOOKUP(B217,'[1]Zebrik W'!$B$7:$M$1000,12,0)))</f>
        <v/>
      </c>
    </row>
    <row r="218" spans="1:14" x14ac:dyDescent="0.2">
      <c r="A218" s="21">
        <f t="shared" si="12"/>
        <v>212</v>
      </c>
      <c r="B218" s="16" t="s">
        <v>290</v>
      </c>
      <c r="C218" s="16">
        <v>1965</v>
      </c>
      <c r="D218" s="16" t="s">
        <v>18</v>
      </c>
      <c r="E218" s="16" t="s">
        <v>57</v>
      </c>
      <c r="F218" s="16" t="s">
        <v>24</v>
      </c>
      <c r="G218" s="16">
        <v>11744</v>
      </c>
      <c r="H218" s="20">
        <v>3</v>
      </c>
      <c r="I218" s="21">
        <f t="shared" si="13"/>
        <v>212</v>
      </c>
      <c r="J218" s="22" t="str">
        <f t="shared" si="14"/>
        <v/>
      </c>
      <c r="K218" s="22" t="str">
        <f t="shared" si="15"/>
        <v/>
      </c>
      <c r="L218"/>
      <c r="M218"/>
      <c r="N218" t="str">
        <f>IF(ISERROR(VLOOKUP(B218,'[1]Zebrik W'!$B$7:$M$1000,12,0)),"",IF(VLOOKUP(B218,'[1]Zebrik W'!$B$7:$M$1000,12,0)=0,"--",VLOOKUP(B218,'[1]Zebrik W'!$B$7:$M$1000,12,0)))</f>
        <v/>
      </c>
    </row>
    <row r="219" spans="1:14" x14ac:dyDescent="0.2">
      <c r="A219" s="21">
        <f t="shared" si="12"/>
        <v>213</v>
      </c>
      <c r="B219" s="16" t="s">
        <v>291</v>
      </c>
      <c r="C219" s="16">
        <v>2001</v>
      </c>
      <c r="D219" s="16" t="s">
        <v>18</v>
      </c>
      <c r="E219" s="16" t="s">
        <v>43</v>
      </c>
      <c r="F219" s="16" t="s">
        <v>41</v>
      </c>
      <c r="G219" s="16">
        <v>11691</v>
      </c>
      <c r="H219" s="20">
        <v>2</v>
      </c>
      <c r="I219" s="21">
        <f t="shared" si="13"/>
        <v>213</v>
      </c>
      <c r="J219" s="22" t="str">
        <f t="shared" si="14"/>
        <v>Junior v roce 2026</v>
      </c>
      <c r="K219" s="22" t="str">
        <f t="shared" si="15"/>
        <v/>
      </c>
      <c r="L219"/>
      <c r="M219"/>
      <c r="N219" t="str">
        <f>IF(ISERROR(VLOOKUP(B219,'[1]Zebrik W'!$B$7:$M$1000,12,0)),"",IF(VLOOKUP(B219,'[1]Zebrik W'!$B$7:$M$1000,12,0)=0,"--",VLOOKUP(B219,'[1]Zebrik W'!$B$7:$M$1000,12,0)))</f>
        <v/>
      </c>
    </row>
    <row r="220" spans="1:14" x14ac:dyDescent="0.2">
      <c r="A220" s="21">
        <f t="shared" si="12"/>
        <v>214</v>
      </c>
      <c r="B220" s="16" t="s">
        <v>292</v>
      </c>
      <c r="C220" s="16">
        <v>1968</v>
      </c>
      <c r="D220" s="16" t="s">
        <v>18</v>
      </c>
      <c r="E220" s="16" t="s">
        <v>59</v>
      </c>
      <c r="F220" s="16" t="s">
        <v>41</v>
      </c>
      <c r="G220" s="16">
        <v>11650</v>
      </c>
      <c r="H220" s="20">
        <v>2</v>
      </c>
      <c r="I220" s="21">
        <f t="shared" si="13"/>
        <v>214</v>
      </c>
      <c r="J220" s="22" t="str">
        <f t="shared" si="14"/>
        <v/>
      </c>
      <c r="K220" s="22" t="str">
        <f t="shared" si="15"/>
        <v/>
      </c>
      <c r="L220"/>
      <c r="M220"/>
      <c r="N220" t="str">
        <f>IF(ISERROR(VLOOKUP(B220,'[1]Zebrik W'!$B$7:$M$1000,12,0)),"",IF(VLOOKUP(B220,'[1]Zebrik W'!$B$7:$M$1000,12,0)=0,"--",VLOOKUP(B220,'[1]Zebrik W'!$B$7:$M$1000,12,0)))</f>
        <v/>
      </c>
    </row>
    <row r="221" spans="1:14" x14ac:dyDescent="0.2">
      <c r="A221" s="21">
        <f t="shared" si="12"/>
        <v>215</v>
      </c>
      <c r="B221" s="16" t="s">
        <v>293</v>
      </c>
      <c r="C221" s="16">
        <v>1973</v>
      </c>
      <c r="D221" s="16" t="s">
        <v>18</v>
      </c>
      <c r="E221" s="16" t="s">
        <v>59</v>
      </c>
      <c r="F221" s="16" t="s">
        <v>41</v>
      </c>
      <c r="G221" s="16">
        <v>11594</v>
      </c>
      <c r="H221" s="20">
        <v>3</v>
      </c>
      <c r="I221" s="21">
        <f t="shared" si="13"/>
        <v>215</v>
      </c>
      <c r="J221" s="22" t="str">
        <f t="shared" si="14"/>
        <v/>
      </c>
      <c r="K221" s="22" t="str">
        <f t="shared" si="15"/>
        <v/>
      </c>
      <c r="L221"/>
      <c r="M221"/>
      <c r="N221" t="str">
        <f>IF(ISERROR(VLOOKUP(B221,'[1]Zebrik W'!$B$7:$M$1000,12,0)),"",IF(VLOOKUP(B221,'[1]Zebrik W'!$B$7:$M$1000,12,0)=0,"--",VLOOKUP(B221,'[1]Zebrik W'!$B$7:$M$1000,12,0)))</f>
        <v/>
      </c>
    </row>
    <row r="222" spans="1:14" x14ac:dyDescent="0.2">
      <c r="A222" s="21">
        <f t="shared" si="12"/>
        <v>216</v>
      </c>
      <c r="B222" s="16" t="s">
        <v>294</v>
      </c>
      <c r="C222" s="16">
        <v>1959</v>
      </c>
      <c r="D222" s="16" t="s">
        <v>18</v>
      </c>
      <c r="E222" s="16" t="s">
        <v>80</v>
      </c>
      <c r="F222" s="16" t="s">
        <v>20</v>
      </c>
      <c r="G222" s="16">
        <v>11567</v>
      </c>
      <c r="H222" s="20">
        <v>3</v>
      </c>
      <c r="I222" s="21">
        <f t="shared" si="13"/>
        <v>216</v>
      </c>
      <c r="J222" s="22" t="str">
        <f t="shared" si="14"/>
        <v/>
      </c>
      <c r="K222" s="22" t="str">
        <f t="shared" si="15"/>
        <v/>
      </c>
      <c r="L222"/>
      <c r="M222"/>
      <c r="N222" t="str">
        <f>IF(ISERROR(VLOOKUP(B222,'[1]Zebrik W'!$B$7:$M$1000,12,0)),"",IF(VLOOKUP(B222,'[1]Zebrik W'!$B$7:$M$1000,12,0)=0,"--",VLOOKUP(B222,'[1]Zebrik W'!$B$7:$M$1000,12,0)))</f>
        <v/>
      </c>
    </row>
    <row r="223" spans="1:14" x14ac:dyDescent="0.2">
      <c r="A223" s="21">
        <f t="shared" si="12"/>
        <v>217</v>
      </c>
      <c r="B223" s="16" t="s">
        <v>295</v>
      </c>
      <c r="C223" s="16">
        <v>1977</v>
      </c>
      <c r="D223" s="16" t="s">
        <v>18</v>
      </c>
      <c r="E223" s="16" t="s">
        <v>78</v>
      </c>
      <c r="F223" s="16" t="s">
        <v>41</v>
      </c>
      <c r="G223" s="16">
        <v>11480</v>
      </c>
      <c r="H223" s="20">
        <v>2</v>
      </c>
      <c r="I223" s="21">
        <f t="shared" si="13"/>
        <v>217</v>
      </c>
      <c r="J223" s="22" t="str">
        <f t="shared" si="14"/>
        <v/>
      </c>
      <c r="K223" s="22" t="str">
        <f t="shared" si="15"/>
        <v/>
      </c>
      <c r="L223"/>
      <c r="M223"/>
      <c r="N223" t="str">
        <f>IF(ISERROR(VLOOKUP(B223,'[1]Zebrik W'!$B$7:$M$1000,12,0)),"",IF(VLOOKUP(B223,'[1]Zebrik W'!$B$7:$M$1000,12,0)=0,"--",VLOOKUP(B223,'[1]Zebrik W'!$B$7:$M$1000,12,0)))</f>
        <v/>
      </c>
    </row>
    <row r="224" spans="1:14" x14ac:dyDescent="0.2">
      <c r="A224" s="21">
        <f t="shared" si="12"/>
        <v>218</v>
      </c>
      <c r="B224" s="16" t="s">
        <v>296</v>
      </c>
      <c r="C224" s="16">
        <v>1998</v>
      </c>
      <c r="D224" s="16" t="s">
        <v>18</v>
      </c>
      <c r="E224" s="16" t="s">
        <v>63</v>
      </c>
      <c r="F224" s="16" t="s">
        <v>41</v>
      </c>
      <c r="G224" s="16">
        <v>11357</v>
      </c>
      <c r="H224" s="20">
        <v>2</v>
      </c>
      <c r="I224" s="21">
        <f t="shared" si="13"/>
        <v>218</v>
      </c>
      <c r="J224" s="22" t="str">
        <f t="shared" si="14"/>
        <v/>
      </c>
      <c r="K224" s="22" t="str">
        <f t="shared" si="15"/>
        <v/>
      </c>
      <c r="L224"/>
      <c r="M224"/>
      <c r="N224" t="str">
        <f>IF(ISERROR(VLOOKUP(B224,'[1]Zebrik W'!$B$7:$M$1000,12,0)),"",IF(VLOOKUP(B224,'[1]Zebrik W'!$B$7:$M$1000,12,0)=0,"--",VLOOKUP(B224,'[1]Zebrik W'!$B$7:$M$1000,12,0)))</f>
        <v/>
      </c>
    </row>
    <row r="225" spans="1:14" x14ac:dyDescent="0.2">
      <c r="A225" s="21">
        <f t="shared" si="12"/>
        <v>219</v>
      </c>
      <c r="B225" s="16" t="s">
        <v>297</v>
      </c>
      <c r="C225" s="16">
        <v>1964</v>
      </c>
      <c r="D225" s="16" t="s">
        <v>18</v>
      </c>
      <c r="E225" s="16" t="s">
        <v>29</v>
      </c>
      <c r="F225" s="16" t="s">
        <v>24</v>
      </c>
      <c r="G225" s="16">
        <v>11267</v>
      </c>
      <c r="H225" s="20">
        <v>3</v>
      </c>
      <c r="I225" s="21">
        <f t="shared" si="13"/>
        <v>219</v>
      </c>
      <c r="J225" s="22" t="str">
        <f t="shared" si="14"/>
        <v/>
      </c>
      <c r="K225" s="22" t="str">
        <f t="shared" si="15"/>
        <v/>
      </c>
      <c r="L225"/>
      <c r="M225"/>
      <c r="N225" t="str">
        <f>IF(ISERROR(VLOOKUP(B225,'[1]Zebrik W'!$B$7:$M$1000,12,0)),"",IF(VLOOKUP(B225,'[1]Zebrik W'!$B$7:$M$1000,12,0)=0,"--",VLOOKUP(B225,'[1]Zebrik W'!$B$7:$M$1000,12,0)))</f>
        <v/>
      </c>
    </row>
    <row r="226" spans="1:14" x14ac:dyDescent="0.2">
      <c r="A226" s="21">
        <f t="shared" si="12"/>
        <v>220</v>
      </c>
      <c r="B226" s="16" t="s">
        <v>298</v>
      </c>
      <c r="C226" s="16">
        <v>1943</v>
      </c>
      <c r="D226" s="16" t="s">
        <v>18</v>
      </c>
      <c r="E226" s="16" t="s">
        <v>73</v>
      </c>
      <c r="F226" s="16" t="s">
        <v>20</v>
      </c>
      <c r="G226" s="16">
        <v>11082</v>
      </c>
      <c r="H226" s="20">
        <v>3</v>
      </c>
      <c r="I226" s="21">
        <f t="shared" si="13"/>
        <v>220</v>
      </c>
      <c r="J226" s="22" t="str">
        <f t="shared" si="14"/>
        <v/>
      </c>
      <c r="K226" s="22" t="str">
        <f t="shared" si="15"/>
        <v/>
      </c>
      <c r="L226"/>
      <c r="M226"/>
      <c r="N226" t="str">
        <f>IF(ISERROR(VLOOKUP(B226,'[1]Zebrik W'!$B$7:$M$1000,12,0)),"",IF(VLOOKUP(B226,'[1]Zebrik W'!$B$7:$M$1000,12,0)=0,"--",VLOOKUP(B226,'[1]Zebrik W'!$B$7:$M$1000,12,0)))</f>
        <v/>
      </c>
    </row>
    <row r="227" spans="1:14" x14ac:dyDescent="0.2">
      <c r="A227" s="21">
        <f t="shared" si="12"/>
        <v>221</v>
      </c>
      <c r="B227" s="16" t="s">
        <v>299</v>
      </c>
      <c r="C227" s="16">
        <v>1963</v>
      </c>
      <c r="D227" s="16" t="s">
        <v>18</v>
      </c>
      <c r="E227" s="16" t="s">
        <v>140</v>
      </c>
      <c r="F227" s="16" t="s">
        <v>20</v>
      </c>
      <c r="G227" s="16">
        <v>11022</v>
      </c>
      <c r="H227" s="20">
        <v>3</v>
      </c>
      <c r="I227" s="21">
        <f t="shared" si="13"/>
        <v>221</v>
      </c>
      <c r="J227" s="22" t="str">
        <f t="shared" si="14"/>
        <v/>
      </c>
      <c r="K227" s="22" t="str">
        <f t="shared" si="15"/>
        <v/>
      </c>
      <c r="L227"/>
      <c r="M227"/>
      <c r="N227" t="str">
        <f>IF(ISERROR(VLOOKUP(B227,'[1]Zebrik W'!$B$7:$M$1000,12,0)),"",IF(VLOOKUP(B227,'[1]Zebrik W'!$B$7:$M$1000,12,0)=0,"--",VLOOKUP(B227,'[1]Zebrik W'!$B$7:$M$1000,12,0)))</f>
        <v/>
      </c>
    </row>
    <row r="228" spans="1:14" x14ac:dyDescent="0.2">
      <c r="A228" s="21">
        <f t="shared" si="12"/>
        <v>222</v>
      </c>
      <c r="B228" s="16" t="s">
        <v>300</v>
      </c>
      <c r="C228" s="16">
        <v>1966</v>
      </c>
      <c r="D228" s="16" t="s">
        <v>49</v>
      </c>
      <c r="E228" s="16" t="s">
        <v>80</v>
      </c>
      <c r="F228" s="16" t="s">
        <v>20</v>
      </c>
      <c r="G228" s="16">
        <v>10967</v>
      </c>
      <c r="H228" s="20">
        <v>3</v>
      </c>
      <c r="I228" s="21">
        <f t="shared" si="13"/>
        <v>222</v>
      </c>
      <c r="J228" s="22" t="str">
        <f t="shared" si="14"/>
        <v/>
      </c>
      <c r="K228" s="22" t="str">
        <f t="shared" si="15"/>
        <v/>
      </c>
      <c r="L228"/>
      <c r="M228"/>
      <c r="N228" t="str">
        <f>IF(ISERROR(VLOOKUP(B228,'[1]Zebrik W'!$B$7:$M$1000,12,0)),"",IF(VLOOKUP(B228,'[1]Zebrik W'!$B$7:$M$1000,12,0)=0,"--",VLOOKUP(B228,'[1]Zebrik W'!$B$7:$M$1000,12,0)))</f>
        <v>--</v>
      </c>
    </row>
    <row r="229" spans="1:14" x14ac:dyDescent="0.2">
      <c r="A229" s="21">
        <f t="shared" si="12"/>
        <v>223</v>
      </c>
      <c r="B229" s="16" t="s">
        <v>301</v>
      </c>
      <c r="C229" s="16">
        <v>1958</v>
      </c>
      <c r="D229" s="16" t="s">
        <v>18</v>
      </c>
      <c r="E229" s="16" t="s">
        <v>19</v>
      </c>
      <c r="F229" s="16" t="s">
        <v>20</v>
      </c>
      <c r="G229" s="16">
        <v>10939</v>
      </c>
      <c r="H229" s="20">
        <v>3</v>
      </c>
      <c r="I229" s="21">
        <f t="shared" si="13"/>
        <v>223</v>
      </c>
      <c r="J229" s="22" t="str">
        <f t="shared" si="14"/>
        <v/>
      </c>
      <c r="K229" s="22" t="str">
        <f t="shared" si="15"/>
        <v/>
      </c>
      <c r="L229"/>
      <c r="M229"/>
      <c r="N229" t="str">
        <f>IF(ISERROR(VLOOKUP(B229,'[1]Zebrik W'!$B$7:$M$1000,12,0)),"",IF(VLOOKUP(B229,'[1]Zebrik W'!$B$7:$M$1000,12,0)=0,"--",VLOOKUP(B229,'[1]Zebrik W'!$B$7:$M$1000,12,0)))</f>
        <v/>
      </c>
    </row>
    <row r="230" spans="1:14" x14ac:dyDescent="0.2">
      <c r="A230" s="21">
        <f t="shared" si="12"/>
        <v>224</v>
      </c>
      <c r="B230" s="16" t="s">
        <v>302</v>
      </c>
      <c r="C230" s="16">
        <v>1959</v>
      </c>
      <c r="D230" s="16" t="s">
        <v>18</v>
      </c>
      <c r="E230" s="16" t="s">
        <v>57</v>
      </c>
      <c r="F230" s="16" t="s">
        <v>24</v>
      </c>
      <c r="G230" s="16">
        <v>10904</v>
      </c>
      <c r="H230" s="20">
        <v>3</v>
      </c>
      <c r="I230" s="21">
        <f t="shared" si="13"/>
        <v>224</v>
      </c>
      <c r="J230" s="22" t="str">
        <f t="shared" si="14"/>
        <v/>
      </c>
      <c r="K230" s="22" t="str">
        <f t="shared" si="15"/>
        <v/>
      </c>
      <c r="L230"/>
      <c r="M230"/>
      <c r="N230" t="str">
        <f>IF(ISERROR(VLOOKUP(B230,'[1]Zebrik W'!$B$7:$M$1000,12,0)),"",IF(VLOOKUP(B230,'[1]Zebrik W'!$B$7:$M$1000,12,0)=0,"--",VLOOKUP(B230,'[1]Zebrik W'!$B$7:$M$1000,12,0)))</f>
        <v/>
      </c>
    </row>
    <row r="231" spans="1:14" x14ac:dyDescent="0.2">
      <c r="A231" s="21">
        <f t="shared" si="12"/>
        <v>225</v>
      </c>
      <c r="B231" s="16" t="s">
        <v>303</v>
      </c>
      <c r="C231" s="16">
        <v>1999</v>
      </c>
      <c r="D231" s="16" t="s">
        <v>18</v>
      </c>
      <c r="E231" s="16" t="s">
        <v>59</v>
      </c>
      <c r="F231" s="16" t="s">
        <v>41</v>
      </c>
      <c r="G231" s="16">
        <v>10545</v>
      </c>
      <c r="H231" s="20">
        <v>2</v>
      </c>
      <c r="I231" s="21">
        <f t="shared" si="13"/>
        <v>225</v>
      </c>
      <c r="J231" s="22" t="str">
        <f t="shared" si="14"/>
        <v/>
      </c>
      <c r="K231" s="22" t="str">
        <f t="shared" si="15"/>
        <v/>
      </c>
      <c r="L231"/>
      <c r="M231"/>
      <c r="N231" t="str">
        <f>IF(ISERROR(VLOOKUP(B231,'[1]Zebrik W'!$B$7:$M$1000,12,0)),"",IF(VLOOKUP(B231,'[1]Zebrik W'!$B$7:$M$1000,12,0)=0,"--",VLOOKUP(B231,'[1]Zebrik W'!$B$7:$M$1000,12,0)))</f>
        <v/>
      </c>
    </row>
    <row r="232" spans="1:14" x14ac:dyDescent="0.2">
      <c r="A232" s="21">
        <f t="shared" si="12"/>
        <v>226</v>
      </c>
      <c r="B232" s="16" t="s">
        <v>304</v>
      </c>
      <c r="C232" s="16">
        <v>1900</v>
      </c>
      <c r="D232" s="16" t="s">
        <v>18</v>
      </c>
      <c r="E232" s="16" t="s">
        <v>27</v>
      </c>
      <c r="F232" s="16" t="s">
        <v>20</v>
      </c>
      <c r="G232" s="16">
        <v>10526</v>
      </c>
      <c r="H232" s="20">
        <v>2</v>
      </c>
      <c r="I232" s="21">
        <f t="shared" si="13"/>
        <v>226</v>
      </c>
      <c r="J232" s="22" t="str">
        <f t="shared" si="14"/>
        <v/>
      </c>
      <c r="K232" s="22" t="str">
        <f t="shared" si="15"/>
        <v/>
      </c>
      <c r="L232"/>
      <c r="M232"/>
      <c r="N232" t="str">
        <f>IF(ISERROR(VLOOKUP(B232,'[1]Zebrik W'!$B$7:$M$1000,12,0)),"",IF(VLOOKUP(B232,'[1]Zebrik W'!$B$7:$M$1000,12,0)=0,"--",VLOOKUP(B232,'[1]Zebrik W'!$B$7:$M$1000,12,0)))</f>
        <v/>
      </c>
    </row>
    <row r="233" spans="1:14" x14ac:dyDescent="0.2">
      <c r="A233" s="21">
        <f t="shared" si="12"/>
        <v>227</v>
      </c>
      <c r="B233" s="16" t="s">
        <v>305</v>
      </c>
      <c r="C233" s="16">
        <v>1975</v>
      </c>
      <c r="D233" s="16" t="s">
        <v>18</v>
      </c>
      <c r="E233" s="16" t="s">
        <v>93</v>
      </c>
      <c r="F233" s="16" t="s">
        <v>24</v>
      </c>
      <c r="G233" s="16">
        <v>10399</v>
      </c>
      <c r="H233" s="20">
        <v>3</v>
      </c>
      <c r="I233" s="21">
        <f t="shared" si="13"/>
        <v>227</v>
      </c>
      <c r="J233" s="22" t="str">
        <f t="shared" si="14"/>
        <v/>
      </c>
      <c r="K233" s="22" t="str">
        <f t="shared" si="15"/>
        <v/>
      </c>
      <c r="L233"/>
      <c r="M233"/>
      <c r="N233" t="str">
        <f>IF(ISERROR(VLOOKUP(B233,'[1]Zebrik W'!$B$7:$M$1000,12,0)),"",IF(VLOOKUP(B233,'[1]Zebrik W'!$B$7:$M$1000,12,0)=0,"--",VLOOKUP(B233,'[1]Zebrik W'!$B$7:$M$1000,12,0)))</f>
        <v/>
      </c>
    </row>
    <row r="234" spans="1:14" x14ac:dyDescent="0.2">
      <c r="A234" s="21">
        <f t="shared" si="12"/>
        <v>228</v>
      </c>
      <c r="B234" s="16" t="s">
        <v>306</v>
      </c>
      <c r="C234" s="16">
        <v>1987</v>
      </c>
      <c r="D234" s="16" t="s">
        <v>18</v>
      </c>
      <c r="E234" s="16" t="s">
        <v>31</v>
      </c>
      <c r="F234" s="16" t="s">
        <v>24</v>
      </c>
      <c r="G234" s="16">
        <v>10301</v>
      </c>
      <c r="H234" s="20">
        <v>2</v>
      </c>
      <c r="I234" s="21">
        <f t="shared" si="13"/>
        <v>228</v>
      </c>
      <c r="J234" s="22" t="str">
        <f t="shared" si="14"/>
        <v/>
      </c>
      <c r="K234" s="22" t="str">
        <f t="shared" si="15"/>
        <v/>
      </c>
      <c r="L234"/>
      <c r="M234"/>
      <c r="N234" t="str">
        <f>IF(ISERROR(VLOOKUP(B234,'[1]Zebrik W'!$B$7:$M$1000,12,0)),"",IF(VLOOKUP(B234,'[1]Zebrik W'!$B$7:$M$1000,12,0)=0,"--",VLOOKUP(B234,'[1]Zebrik W'!$B$7:$M$1000,12,0)))</f>
        <v/>
      </c>
    </row>
    <row r="235" spans="1:14" x14ac:dyDescent="0.2">
      <c r="A235" s="21">
        <f t="shared" si="12"/>
        <v>229</v>
      </c>
      <c r="B235" s="16" t="s">
        <v>307</v>
      </c>
      <c r="C235" s="16">
        <v>1986</v>
      </c>
      <c r="D235" s="16" t="s">
        <v>18</v>
      </c>
      <c r="E235" s="16" t="s">
        <v>115</v>
      </c>
      <c r="F235" s="16" t="s">
        <v>24</v>
      </c>
      <c r="G235" s="16">
        <v>10255</v>
      </c>
      <c r="H235" s="20">
        <v>3</v>
      </c>
      <c r="I235" s="21">
        <f t="shared" si="13"/>
        <v>229</v>
      </c>
      <c r="J235" s="22" t="str">
        <f t="shared" si="14"/>
        <v/>
      </c>
      <c r="K235" s="22" t="str">
        <f t="shared" si="15"/>
        <v/>
      </c>
      <c r="L235"/>
      <c r="M235"/>
      <c r="N235" t="str">
        <f>IF(ISERROR(VLOOKUP(B235,'[1]Zebrik W'!$B$7:$M$1000,12,0)),"",IF(VLOOKUP(B235,'[1]Zebrik W'!$B$7:$M$1000,12,0)=0,"--",VLOOKUP(B235,'[1]Zebrik W'!$B$7:$M$1000,12,0)))</f>
        <v/>
      </c>
    </row>
    <row r="236" spans="1:14" x14ac:dyDescent="0.2">
      <c r="A236" s="21">
        <f t="shared" si="12"/>
        <v>230</v>
      </c>
      <c r="B236" s="16" t="s">
        <v>308</v>
      </c>
      <c r="C236" s="16">
        <v>1976</v>
      </c>
      <c r="D236" s="16" t="s">
        <v>18</v>
      </c>
      <c r="E236" s="16" t="s">
        <v>124</v>
      </c>
      <c r="F236" s="16" t="s">
        <v>41</v>
      </c>
      <c r="G236" s="16">
        <v>10252</v>
      </c>
      <c r="H236" s="20">
        <v>2</v>
      </c>
      <c r="I236" s="21">
        <f t="shared" si="13"/>
        <v>230</v>
      </c>
      <c r="J236" s="22" t="str">
        <f t="shared" si="14"/>
        <v/>
      </c>
      <c r="K236" s="22" t="str">
        <f t="shared" si="15"/>
        <v/>
      </c>
      <c r="L236"/>
      <c r="M236"/>
      <c r="N236" t="str">
        <f>IF(ISERROR(VLOOKUP(B236,'[1]Zebrik W'!$B$7:$M$1000,12,0)),"",IF(VLOOKUP(B236,'[1]Zebrik W'!$B$7:$M$1000,12,0)=0,"--",VLOOKUP(B236,'[1]Zebrik W'!$B$7:$M$1000,12,0)))</f>
        <v/>
      </c>
    </row>
    <row r="237" spans="1:14" x14ac:dyDescent="0.2">
      <c r="A237" s="21">
        <f t="shared" si="12"/>
        <v>231</v>
      </c>
      <c r="B237" s="16" t="s">
        <v>309</v>
      </c>
      <c r="C237" s="16">
        <v>1965</v>
      </c>
      <c r="D237" s="16" t="s">
        <v>18</v>
      </c>
      <c r="E237" s="16" t="s">
        <v>73</v>
      </c>
      <c r="F237" s="16" t="s">
        <v>20</v>
      </c>
      <c r="G237" s="16">
        <v>10219</v>
      </c>
      <c r="H237" s="20">
        <v>2</v>
      </c>
      <c r="I237" s="21">
        <f t="shared" si="13"/>
        <v>231</v>
      </c>
      <c r="J237" s="22" t="str">
        <f t="shared" si="14"/>
        <v/>
      </c>
      <c r="K237" s="22" t="str">
        <f t="shared" si="15"/>
        <v/>
      </c>
      <c r="L237"/>
      <c r="M237"/>
      <c r="N237" t="str">
        <f>IF(ISERROR(VLOOKUP(B237,'[1]Zebrik W'!$B$7:$M$1000,12,0)),"",IF(VLOOKUP(B237,'[1]Zebrik W'!$B$7:$M$1000,12,0)=0,"--",VLOOKUP(B237,'[1]Zebrik W'!$B$7:$M$1000,12,0)))</f>
        <v/>
      </c>
    </row>
    <row r="238" spans="1:14" x14ac:dyDescent="0.2">
      <c r="A238" s="21">
        <f t="shared" si="12"/>
        <v>232</v>
      </c>
      <c r="B238" s="16" t="s">
        <v>310</v>
      </c>
      <c r="C238" s="16">
        <v>1950</v>
      </c>
      <c r="D238" s="16" t="s">
        <v>18</v>
      </c>
      <c r="E238" s="16" t="s">
        <v>93</v>
      </c>
      <c r="F238" s="16" t="s">
        <v>24</v>
      </c>
      <c r="G238" s="16">
        <v>10175</v>
      </c>
      <c r="H238" s="20">
        <v>3</v>
      </c>
      <c r="I238" s="21">
        <f t="shared" si="13"/>
        <v>232</v>
      </c>
      <c r="J238" s="22" t="str">
        <f t="shared" si="14"/>
        <v/>
      </c>
      <c r="K238" s="22" t="str">
        <f t="shared" si="15"/>
        <v/>
      </c>
      <c r="L238"/>
      <c r="M238"/>
      <c r="N238" t="str">
        <f>IF(ISERROR(VLOOKUP(B238,'[1]Zebrik W'!$B$7:$M$1000,12,0)),"",IF(VLOOKUP(B238,'[1]Zebrik W'!$B$7:$M$1000,12,0)=0,"--",VLOOKUP(B238,'[1]Zebrik W'!$B$7:$M$1000,12,0)))</f>
        <v/>
      </c>
    </row>
    <row r="239" spans="1:14" x14ac:dyDescent="0.2">
      <c r="A239" s="21">
        <f t="shared" si="12"/>
        <v>233</v>
      </c>
      <c r="B239" s="16" t="s">
        <v>311</v>
      </c>
      <c r="C239" s="16">
        <v>1972</v>
      </c>
      <c r="D239" s="16" t="s">
        <v>18</v>
      </c>
      <c r="E239" s="16" t="s">
        <v>138</v>
      </c>
      <c r="F239" s="16" t="s">
        <v>24</v>
      </c>
      <c r="G239" s="16">
        <v>10162</v>
      </c>
      <c r="H239" s="20">
        <v>3</v>
      </c>
      <c r="I239" s="21">
        <f t="shared" si="13"/>
        <v>233</v>
      </c>
      <c r="J239" s="22" t="str">
        <f t="shared" si="14"/>
        <v/>
      </c>
      <c r="K239" s="22" t="str">
        <f t="shared" si="15"/>
        <v/>
      </c>
      <c r="L239"/>
      <c r="M239"/>
      <c r="N239" t="str">
        <f>IF(ISERROR(VLOOKUP(B239,'[1]Zebrik W'!$B$7:$M$1000,12,0)),"",IF(VLOOKUP(B239,'[1]Zebrik W'!$B$7:$M$1000,12,0)=0,"--",VLOOKUP(B239,'[1]Zebrik W'!$B$7:$M$1000,12,0)))</f>
        <v/>
      </c>
    </row>
    <row r="240" spans="1:14" x14ac:dyDescent="0.2">
      <c r="A240" s="21">
        <f t="shared" si="12"/>
        <v>234</v>
      </c>
      <c r="B240" s="16" t="s">
        <v>312</v>
      </c>
      <c r="C240" s="16">
        <v>1954</v>
      </c>
      <c r="D240" s="16" t="s">
        <v>18</v>
      </c>
      <c r="E240" s="16" t="s">
        <v>31</v>
      </c>
      <c r="F240" s="16" t="s">
        <v>24</v>
      </c>
      <c r="G240" s="16">
        <v>9883</v>
      </c>
      <c r="H240" s="20">
        <v>3</v>
      </c>
      <c r="I240" s="21">
        <f t="shared" si="13"/>
        <v>234</v>
      </c>
      <c r="J240" s="22" t="str">
        <f t="shared" si="14"/>
        <v/>
      </c>
      <c r="K240" s="22" t="str">
        <f t="shared" si="15"/>
        <v/>
      </c>
      <c r="L240"/>
      <c r="M240"/>
      <c r="N240" t="str">
        <f>IF(ISERROR(VLOOKUP(B240,'[1]Zebrik W'!$B$7:$M$1000,12,0)),"",IF(VLOOKUP(B240,'[1]Zebrik W'!$B$7:$M$1000,12,0)=0,"--",VLOOKUP(B240,'[1]Zebrik W'!$B$7:$M$1000,12,0)))</f>
        <v/>
      </c>
    </row>
    <row r="241" spans="1:14" x14ac:dyDescent="0.2">
      <c r="A241" s="21">
        <f t="shared" si="12"/>
        <v>235</v>
      </c>
      <c r="B241" s="16" t="s">
        <v>313</v>
      </c>
      <c r="C241" s="16">
        <v>1980</v>
      </c>
      <c r="D241" s="16" t="s">
        <v>18</v>
      </c>
      <c r="E241" s="16" t="s">
        <v>59</v>
      </c>
      <c r="F241" s="16" t="s">
        <v>41</v>
      </c>
      <c r="G241" s="16">
        <v>9843</v>
      </c>
      <c r="H241" s="20">
        <v>2</v>
      </c>
      <c r="I241" s="21">
        <f t="shared" si="13"/>
        <v>235</v>
      </c>
      <c r="J241" s="22" t="str">
        <f t="shared" si="14"/>
        <v/>
      </c>
      <c r="K241" s="22" t="str">
        <f t="shared" si="15"/>
        <v/>
      </c>
      <c r="L241"/>
      <c r="M241"/>
      <c r="N241" t="str">
        <f>IF(ISERROR(VLOOKUP(B241,'[1]Zebrik W'!$B$7:$M$1000,12,0)),"",IF(VLOOKUP(B241,'[1]Zebrik W'!$B$7:$M$1000,12,0)=0,"--",VLOOKUP(B241,'[1]Zebrik W'!$B$7:$M$1000,12,0)))</f>
        <v/>
      </c>
    </row>
    <row r="242" spans="1:14" x14ac:dyDescent="0.2">
      <c r="A242" s="21">
        <f t="shared" si="12"/>
        <v>236</v>
      </c>
      <c r="B242" s="16" t="s">
        <v>314</v>
      </c>
      <c r="C242" s="16">
        <v>1987</v>
      </c>
      <c r="D242" s="16" t="s">
        <v>18</v>
      </c>
      <c r="E242" s="16" t="s">
        <v>33</v>
      </c>
      <c r="F242" s="16" t="s">
        <v>20</v>
      </c>
      <c r="G242" s="16">
        <v>9830</v>
      </c>
      <c r="H242" s="20">
        <v>2</v>
      </c>
      <c r="I242" s="21">
        <f t="shared" si="13"/>
        <v>236</v>
      </c>
      <c r="J242" s="22" t="str">
        <f t="shared" si="14"/>
        <v/>
      </c>
      <c r="K242" s="22" t="str">
        <f t="shared" si="15"/>
        <v/>
      </c>
      <c r="L242"/>
      <c r="M242"/>
      <c r="N242" t="str">
        <f>IF(ISERROR(VLOOKUP(B242,'[1]Zebrik W'!$B$7:$M$1000,12,0)),"",IF(VLOOKUP(B242,'[1]Zebrik W'!$B$7:$M$1000,12,0)=0,"--",VLOOKUP(B242,'[1]Zebrik W'!$B$7:$M$1000,12,0)))</f>
        <v/>
      </c>
    </row>
    <row r="243" spans="1:14" x14ac:dyDescent="0.2">
      <c r="A243" s="21">
        <f t="shared" si="12"/>
        <v>237</v>
      </c>
      <c r="B243" s="16" t="s">
        <v>315</v>
      </c>
      <c r="C243" s="16">
        <v>1987</v>
      </c>
      <c r="D243" s="16" t="s">
        <v>18</v>
      </c>
      <c r="E243" s="16" t="s">
        <v>101</v>
      </c>
      <c r="F243" s="16" t="s">
        <v>20</v>
      </c>
      <c r="G243" s="16">
        <v>9784</v>
      </c>
      <c r="H243" s="20">
        <v>3</v>
      </c>
      <c r="I243" s="21">
        <f t="shared" si="13"/>
        <v>237</v>
      </c>
      <c r="J243" s="22" t="str">
        <f t="shared" si="14"/>
        <v/>
      </c>
      <c r="K243" s="22" t="str">
        <f t="shared" si="15"/>
        <v/>
      </c>
      <c r="L243"/>
      <c r="M243"/>
      <c r="N243" t="str">
        <f>IF(ISERROR(VLOOKUP(B243,'[1]Zebrik W'!$B$7:$M$1000,12,0)),"",IF(VLOOKUP(B243,'[1]Zebrik W'!$B$7:$M$1000,12,0)=0,"--",VLOOKUP(B243,'[1]Zebrik W'!$B$7:$M$1000,12,0)))</f>
        <v/>
      </c>
    </row>
    <row r="244" spans="1:14" x14ac:dyDescent="0.2">
      <c r="A244" s="21">
        <f t="shared" si="12"/>
        <v>238</v>
      </c>
      <c r="B244" s="16" t="s">
        <v>316</v>
      </c>
      <c r="C244" s="16">
        <v>1974</v>
      </c>
      <c r="D244" s="16" t="s">
        <v>18</v>
      </c>
      <c r="E244" s="16" t="s">
        <v>127</v>
      </c>
      <c r="F244" s="16" t="s">
        <v>41</v>
      </c>
      <c r="G244" s="16">
        <v>9731</v>
      </c>
      <c r="H244" s="20">
        <v>2</v>
      </c>
      <c r="I244" s="21">
        <f t="shared" si="13"/>
        <v>238</v>
      </c>
      <c r="J244" s="22" t="str">
        <f t="shared" si="14"/>
        <v/>
      </c>
      <c r="K244" s="22" t="str">
        <f t="shared" si="15"/>
        <v/>
      </c>
      <c r="L244"/>
      <c r="M244"/>
      <c r="N244" t="str">
        <f>IF(ISERROR(VLOOKUP(B244,'[1]Zebrik W'!$B$7:$M$1000,12,0)),"",IF(VLOOKUP(B244,'[1]Zebrik W'!$B$7:$M$1000,12,0)=0,"--",VLOOKUP(B244,'[1]Zebrik W'!$B$7:$M$1000,12,0)))</f>
        <v/>
      </c>
    </row>
    <row r="245" spans="1:14" x14ac:dyDescent="0.2">
      <c r="A245" s="21">
        <f t="shared" si="12"/>
        <v>239</v>
      </c>
      <c r="B245" s="16" t="s">
        <v>317</v>
      </c>
      <c r="C245" s="16">
        <v>1970</v>
      </c>
      <c r="D245" s="16" t="s">
        <v>18</v>
      </c>
      <c r="E245" s="16" t="s">
        <v>160</v>
      </c>
      <c r="F245" s="16" t="s">
        <v>20</v>
      </c>
      <c r="G245" s="16">
        <v>9690</v>
      </c>
      <c r="H245" s="20">
        <v>3</v>
      </c>
      <c r="I245" s="21">
        <f t="shared" si="13"/>
        <v>239</v>
      </c>
      <c r="J245" s="22" t="str">
        <f t="shared" si="14"/>
        <v/>
      </c>
      <c r="K245" s="22" t="str">
        <f t="shared" si="15"/>
        <v/>
      </c>
      <c r="L245"/>
      <c r="M245"/>
      <c r="N245" t="str">
        <f>IF(ISERROR(VLOOKUP(B245,'[1]Zebrik W'!$B$7:$M$1000,12,0)),"",IF(VLOOKUP(B245,'[1]Zebrik W'!$B$7:$M$1000,12,0)=0,"--",VLOOKUP(B245,'[1]Zebrik W'!$B$7:$M$1000,12,0)))</f>
        <v/>
      </c>
    </row>
    <row r="246" spans="1:14" x14ac:dyDescent="0.2">
      <c r="A246" s="21">
        <f t="shared" si="12"/>
        <v>240</v>
      </c>
      <c r="B246" s="16" t="s">
        <v>318</v>
      </c>
      <c r="C246" s="16">
        <v>1993</v>
      </c>
      <c r="D246" s="16" t="s">
        <v>18</v>
      </c>
      <c r="E246" s="16" t="s">
        <v>57</v>
      </c>
      <c r="F246" s="16" t="s">
        <v>24</v>
      </c>
      <c r="G246" s="16">
        <v>9590</v>
      </c>
      <c r="H246" s="20">
        <v>2</v>
      </c>
      <c r="I246" s="21">
        <f t="shared" si="13"/>
        <v>240</v>
      </c>
      <c r="J246" s="22" t="str">
        <f t="shared" si="14"/>
        <v/>
      </c>
      <c r="K246" s="22" t="str">
        <f t="shared" si="15"/>
        <v/>
      </c>
      <c r="L246"/>
      <c r="M246"/>
      <c r="N246" t="str">
        <f>IF(ISERROR(VLOOKUP(B246,'[1]Zebrik W'!$B$7:$M$1000,12,0)),"",IF(VLOOKUP(B246,'[1]Zebrik W'!$B$7:$M$1000,12,0)=0,"--",VLOOKUP(B246,'[1]Zebrik W'!$B$7:$M$1000,12,0)))</f>
        <v/>
      </c>
    </row>
    <row r="247" spans="1:14" x14ac:dyDescent="0.2">
      <c r="A247" s="21">
        <f t="shared" si="12"/>
        <v>241</v>
      </c>
      <c r="B247" s="16" t="s">
        <v>319</v>
      </c>
      <c r="C247" s="16">
        <v>1965</v>
      </c>
      <c r="D247" s="16" t="s">
        <v>18</v>
      </c>
      <c r="E247" s="16" t="s">
        <v>31</v>
      </c>
      <c r="F247" s="16" t="s">
        <v>24</v>
      </c>
      <c r="G247" s="16">
        <v>9513</v>
      </c>
      <c r="H247" s="20">
        <v>2</v>
      </c>
      <c r="I247" s="21">
        <f t="shared" si="13"/>
        <v>241</v>
      </c>
      <c r="J247" s="22" t="str">
        <f t="shared" si="14"/>
        <v/>
      </c>
      <c r="K247" s="22" t="str">
        <f t="shared" si="15"/>
        <v/>
      </c>
      <c r="L247"/>
      <c r="M247"/>
      <c r="N247" t="str">
        <f>IF(ISERROR(VLOOKUP(B247,'[1]Zebrik W'!$B$7:$M$1000,12,0)),"",IF(VLOOKUP(B247,'[1]Zebrik W'!$B$7:$M$1000,12,0)=0,"--",VLOOKUP(B247,'[1]Zebrik W'!$B$7:$M$1000,12,0)))</f>
        <v/>
      </c>
    </row>
    <row r="248" spans="1:14" x14ac:dyDescent="0.2">
      <c r="A248" s="21">
        <f t="shared" si="12"/>
        <v>242</v>
      </c>
      <c r="B248" s="16" t="s">
        <v>320</v>
      </c>
      <c r="C248" s="16">
        <v>1972</v>
      </c>
      <c r="D248" s="16" t="s">
        <v>18</v>
      </c>
      <c r="E248" s="16" t="s">
        <v>23</v>
      </c>
      <c r="F248" s="16" t="s">
        <v>24</v>
      </c>
      <c r="G248" s="16">
        <v>9486</v>
      </c>
      <c r="H248" s="20">
        <v>2</v>
      </c>
      <c r="I248" s="21">
        <f t="shared" si="13"/>
        <v>242</v>
      </c>
      <c r="J248" s="22" t="str">
        <f t="shared" si="14"/>
        <v/>
      </c>
      <c r="K248" s="22" t="str">
        <f t="shared" si="15"/>
        <v/>
      </c>
      <c r="L248"/>
      <c r="M248"/>
      <c r="N248" t="str">
        <f>IF(ISERROR(VLOOKUP(B248,'[1]Zebrik W'!$B$7:$M$1000,12,0)),"",IF(VLOOKUP(B248,'[1]Zebrik W'!$B$7:$M$1000,12,0)=0,"--",VLOOKUP(B248,'[1]Zebrik W'!$B$7:$M$1000,12,0)))</f>
        <v/>
      </c>
    </row>
    <row r="249" spans="1:14" x14ac:dyDescent="0.2">
      <c r="A249" s="21">
        <f t="shared" si="12"/>
        <v>243</v>
      </c>
      <c r="B249" s="16" t="s">
        <v>321</v>
      </c>
      <c r="C249" s="16">
        <v>1960</v>
      </c>
      <c r="D249" s="16" t="s">
        <v>18</v>
      </c>
      <c r="E249" s="16" t="s">
        <v>27</v>
      </c>
      <c r="F249" s="16" t="s">
        <v>20</v>
      </c>
      <c r="G249" s="16">
        <v>9348</v>
      </c>
      <c r="H249" s="20">
        <v>2</v>
      </c>
      <c r="I249" s="21">
        <f t="shared" si="13"/>
        <v>243</v>
      </c>
      <c r="J249" s="22" t="str">
        <f t="shared" si="14"/>
        <v/>
      </c>
      <c r="K249" s="22" t="str">
        <f t="shared" si="15"/>
        <v/>
      </c>
      <c r="L249"/>
      <c r="M249"/>
      <c r="N249" t="str">
        <f>IF(ISERROR(VLOOKUP(B249,'[1]Zebrik W'!$B$7:$M$1000,12,0)),"",IF(VLOOKUP(B249,'[1]Zebrik W'!$B$7:$M$1000,12,0)=0,"--",VLOOKUP(B249,'[1]Zebrik W'!$B$7:$M$1000,12,0)))</f>
        <v/>
      </c>
    </row>
    <row r="250" spans="1:14" x14ac:dyDescent="0.2">
      <c r="A250" s="21">
        <f t="shared" si="12"/>
        <v>244</v>
      </c>
      <c r="B250" s="16" t="s">
        <v>322</v>
      </c>
      <c r="C250" s="16">
        <v>1975</v>
      </c>
      <c r="D250" s="16" t="s">
        <v>18</v>
      </c>
      <c r="E250" s="16" t="s">
        <v>93</v>
      </c>
      <c r="F250" s="16" t="s">
        <v>24</v>
      </c>
      <c r="G250" s="16">
        <v>9175</v>
      </c>
      <c r="H250" s="20">
        <v>3</v>
      </c>
      <c r="I250" s="21">
        <f t="shared" si="13"/>
        <v>244</v>
      </c>
      <c r="J250" s="22" t="str">
        <f t="shared" si="14"/>
        <v/>
      </c>
      <c r="K250" s="22" t="str">
        <f t="shared" si="15"/>
        <v/>
      </c>
      <c r="L250"/>
      <c r="M250"/>
      <c r="N250" t="str">
        <f>IF(ISERROR(VLOOKUP(B250,'[1]Zebrik W'!$B$7:$M$1000,12,0)),"",IF(VLOOKUP(B250,'[1]Zebrik W'!$B$7:$M$1000,12,0)=0,"--",VLOOKUP(B250,'[1]Zebrik W'!$B$7:$M$1000,12,0)))</f>
        <v/>
      </c>
    </row>
    <row r="251" spans="1:14" x14ac:dyDescent="0.2">
      <c r="A251" s="21">
        <f t="shared" si="12"/>
        <v>245</v>
      </c>
      <c r="B251" s="16" t="s">
        <v>323</v>
      </c>
      <c r="C251" s="16">
        <v>1988</v>
      </c>
      <c r="D251" s="16" t="s">
        <v>18</v>
      </c>
      <c r="E251" s="16" t="s">
        <v>31</v>
      </c>
      <c r="F251" s="16" t="s">
        <v>24</v>
      </c>
      <c r="G251" s="16">
        <v>9170</v>
      </c>
      <c r="H251" s="20">
        <v>2</v>
      </c>
      <c r="I251" s="21">
        <f t="shared" si="13"/>
        <v>245</v>
      </c>
      <c r="J251" s="22" t="str">
        <f t="shared" si="14"/>
        <v/>
      </c>
      <c r="K251" s="22" t="str">
        <f t="shared" si="15"/>
        <v/>
      </c>
      <c r="L251"/>
      <c r="M251"/>
      <c r="N251" t="str">
        <f>IF(ISERROR(VLOOKUP(B251,'[1]Zebrik W'!$B$7:$M$1000,12,0)),"",IF(VLOOKUP(B251,'[1]Zebrik W'!$B$7:$M$1000,12,0)=0,"--",VLOOKUP(B251,'[1]Zebrik W'!$B$7:$M$1000,12,0)))</f>
        <v/>
      </c>
    </row>
    <row r="252" spans="1:14" x14ac:dyDescent="0.2">
      <c r="A252" s="21">
        <f t="shared" si="12"/>
        <v>246</v>
      </c>
      <c r="B252" s="16" t="s">
        <v>324</v>
      </c>
      <c r="C252" s="16">
        <v>1974</v>
      </c>
      <c r="D252" s="16" t="s">
        <v>18</v>
      </c>
      <c r="E252" s="16" t="s">
        <v>57</v>
      </c>
      <c r="F252" s="16" t="s">
        <v>24</v>
      </c>
      <c r="G252" s="16">
        <v>9158</v>
      </c>
      <c r="H252" s="20">
        <v>3</v>
      </c>
      <c r="I252" s="21">
        <f t="shared" si="13"/>
        <v>246</v>
      </c>
      <c r="J252" s="22" t="str">
        <f t="shared" si="14"/>
        <v/>
      </c>
      <c r="K252" s="22" t="str">
        <f t="shared" si="15"/>
        <v/>
      </c>
      <c r="L252"/>
      <c r="M252"/>
      <c r="N252" t="str">
        <f>IF(ISERROR(VLOOKUP(B252,'[1]Zebrik W'!$B$7:$M$1000,12,0)),"",IF(VLOOKUP(B252,'[1]Zebrik W'!$B$7:$M$1000,12,0)=0,"--",VLOOKUP(B252,'[1]Zebrik W'!$B$7:$M$1000,12,0)))</f>
        <v/>
      </c>
    </row>
    <row r="253" spans="1:14" x14ac:dyDescent="0.2">
      <c r="A253" s="21">
        <f t="shared" si="12"/>
        <v>247</v>
      </c>
      <c r="B253" s="16" t="s">
        <v>325</v>
      </c>
      <c r="C253" s="16">
        <v>1975</v>
      </c>
      <c r="D253" s="16" t="s">
        <v>49</v>
      </c>
      <c r="E253" s="16" t="s">
        <v>59</v>
      </c>
      <c r="F253" s="16" t="s">
        <v>41</v>
      </c>
      <c r="G253" s="16">
        <v>9123</v>
      </c>
      <c r="H253" s="20">
        <v>3</v>
      </c>
      <c r="I253" s="21">
        <f t="shared" si="13"/>
        <v>247</v>
      </c>
      <c r="J253" s="22" t="str">
        <f t="shared" si="14"/>
        <v/>
      </c>
      <c r="K253" s="22" t="str">
        <f t="shared" si="15"/>
        <v/>
      </c>
      <c r="L253"/>
      <c r="M253"/>
      <c r="N253" t="str">
        <f>IF(ISERROR(VLOOKUP(B253,'[1]Zebrik W'!$B$7:$M$1000,12,0)),"",IF(VLOOKUP(B253,'[1]Zebrik W'!$B$7:$M$1000,12,0)=0,"--",VLOOKUP(B253,'[1]Zebrik W'!$B$7:$M$1000,12,0)))</f>
        <v>--</v>
      </c>
    </row>
    <row r="254" spans="1:14" x14ac:dyDescent="0.2">
      <c r="A254" s="21">
        <f t="shared" si="12"/>
        <v>248</v>
      </c>
      <c r="B254" s="16" t="s">
        <v>326</v>
      </c>
      <c r="C254" s="16">
        <v>2001</v>
      </c>
      <c r="D254" s="16" t="s">
        <v>18</v>
      </c>
      <c r="E254" s="16" t="s">
        <v>191</v>
      </c>
      <c r="F254" s="16" t="s">
        <v>24</v>
      </c>
      <c r="G254" s="16">
        <v>9058</v>
      </c>
      <c r="H254" s="20">
        <v>2</v>
      </c>
      <c r="I254" s="21">
        <f t="shared" si="13"/>
        <v>248</v>
      </c>
      <c r="J254" s="22" t="str">
        <f t="shared" si="14"/>
        <v>Junior v roce 2026</v>
      </c>
      <c r="K254" s="22" t="str">
        <f t="shared" si="15"/>
        <v/>
      </c>
      <c r="L254"/>
      <c r="M254"/>
      <c r="N254" t="str">
        <f>IF(ISERROR(VLOOKUP(B254,'[1]Zebrik W'!$B$7:$M$1000,12,0)),"",IF(VLOOKUP(B254,'[1]Zebrik W'!$B$7:$M$1000,12,0)=0,"--",VLOOKUP(B254,'[1]Zebrik W'!$B$7:$M$1000,12,0)))</f>
        <v/>
      </c>
    </row>
    <row r="255" spans="1:14" x14ac:dyDescent="0.2">
      <c r="A255" s="21">
        <f t="shared" si="12"/>
        <v>249</v>
      </c>
      <c r="B255" s="16" t="s">
        <v>327</v>
      </c>
      <c r="C255" s="16">
        <v>1981</v>
      </c>
      <c r="D255" s="16" t="s">
        <v>18</v>
      </c>
      <c r="E255" s="16" t="s">
        <v>57</v>
      </c>
      <c r="F255" s="16" t="s">
        <v>24</v>
      </c>
      <c r="G255" s="16">
        <v>8922</v>
      </c>
      <c r="H255" s="20">
        <v>2</v>
      </c>
      <c r="I255" s="21">
        <f t="shared" si="13"/>
        <v>249</v>
      </c>
      <c r="J255" s="22" t="str">
        <f t="shared" si="14"/>
        <v/>
      </c>
      <c r="K255" s="22" t="str">
        <f t="shared" si="15"/>
        <v/>
      </c>
      <c r="L255"/>
      <c r="M255"/>
      <c r="N255" t="str">
        <f>IF(ISERROR(VLOOKUP(B255,'[1]Zebrik W'!$B$7:$M$1000,12,0)),"",IF(VLOOKUP(B255,'[1]Zebrik W'!$B$7:$M$1000,12,0)=0,"--",VLOOKUP(B255,'[1]Zebrik W'!$B$7:$M$1000,12,0)))</f>
        <v/>
      </c>
    </row>
    <row r="256" spans="1:14" x14ac:dyDescent="0.2">
      <c r="A256" s="21">
        <f t="shared" si="12"/>
        <v>250</v>
      </c>
      <c r="B256" s="16" t="s">
        <v>328</v>
      </c>
      <c r="C256" s="16">
        <v>1968</v>
      </c>
      <c r="D256" s="16" t="s">
        <v>18</v>
      </c>
      <c r="E256" s="16" t="s">
        <v>329</v>
      </c>
      <c r="F256" s="16" t="s">
        <v>41</v>
      </c>
      <c r="G256" s="16">
        <v>8827</v>
      </c>
      <c r="H256" s="20">
        <v>2</v>
      </c>
      <c r="I256" s="21">
        <f t="shared" si="13"/>
        <v>250</v>
      </c>
      <c r="J256" s="22" t="str">
        <f t="shared" si="14"/>
        <v/>
      </c>
      <c r="K256" s="22" t="str">
        <f t="shared" si="15"/>
        <v/>
      </c>
      <c r="L256"/>
      <c r="M256"/>
      <c r="N256" t="str">
        <f>IF(ISERROR(VLOOKUP(B256,'[1]Zebrik W'!$B$7:$M$1000,12,0)),"",IF(VLOOKUP(B256,'[1]Zebrik W'!$B$7:$M$1000,12,0)=0,"--",VLOOKUP(B256,'[1]Zebrik W'!$B$7:$M$1000,12,0)))</f>
        <v/>
      </c>
    </row>
    <row r="257" spans="1:14" x14ac:dyDescent="0.2">
      <c r="A257" s="21">
        <f t="shared" si="12"/>
        <v>251</v>
      </c>
      <c r="B257" s="16" t="s">
        <v>330</v>
      </c>
      <c r="C257" s="16">
        <v>1953</v>
      </c>
      <c r="D257" s="16" t="s">
        <v>18</v>
      </c>
      <c r="E257" s="16" t="s">
        <v>80</v>
      </c>
      <c r="F257" s="16" t="s">
        <v>20</v>
      </c>
      <c r="G257" s="16">
        <v>8808</v>
      </c>
      <c r="H257" s="20">
        <v>3</v>
      </c>
      <c r="I257" s="21">
        <f t="shared" si="13"/>
        <v>251</v>
      </c>
      <c r="J257" s="22" t="str">
        <f t="shared" si="14"/>
        <v/>
      </c>
      <c r="K257" s="22" t="str">
        <f t="shared" si="15"/>
        <v/>
      </c>
      <c r="L257"/>
      <c r="M257"/>
      <c r="N257" t="str">
        <f>IF(ISERROR(VLOOKUP(B257,'[1]Zebrik W'!$B$7:$M$1000,12,0)),"",IF(VLOOKUP(B257,'[1]Zebrik W'!$B$7:$M$1000,12,0)=0,"--",VLOOKUP(B257,'[1]Zebrik W'!$B$7:$M$1000,12,0)))</f>
        <v/>
      </c>
    </row>
    <row r="258" spans="1:14" x14ac:dyDescent="0.2">
      <c r="A258" s="21">
        <f t="shared" si="12"/>
        <v>252</v>
      </c>
      <c r="B258" s="16" t="s">
        <v>331</v>
      </c>
      <c r="C258" s="16">
        <v>1960</v>
      </c>
      <c r="D258" s="16" t="s">
        <v>18</v>
      </c>
      <c r="E258" s="16" t="s">
        <v>93</v>
      </c>
      <c r="F258" s="16" t="s">
        <v>24</v>
      </c>
      <c r="G258" s="16">
        <v>8759</v>
      </c>
      <c r="H258" s="20">
        <v>3</v>
      </c>
      <c r="I258" s="21">
        <f t="shared" si="13"/>
        <v>252</v>
      </c>
      <c r="J258" s="22" t="str">
        <f t="shared" si="14"/>
        <v/>
      </c>
      <c r="K258" s="22" t="str">
        <f t="shared" si="15"/>
        <v/>
      </c>
      <c r="L258"/>
      <c r="M258"/>
      <c r="N258" t="str">
        <f>IF(ISERROR(VLOOKUP(B258,'[1]Zebrik W'!$B$7:$M$1000,12,0)),"",IF(VLOOKUP(B258,'[1]Zebrik W'!$B$7:$M$1000,12,0)=0,"--",VLOOKUP(B258,'[1]Zebrik W'!$B$7:$M$1000,12,0)))</f>
        <v/>
      </c>
    </row>
    <row r="259" spans="1:14" x14ac:dyDescent="0.2">
      <c r="A259" s="21">
        <f t="shared" si="12"/>
        <v>253</v>
      </c>
      <c r="B259" s="16" t="s">
        <v>332</v>
      </c>
      <c r="C259" s="16">
        <v>2004</v>
      </c>
      <c r="D259" s="16" t="s">
        <v>18</v>
      </c>
      <c r="E259" s="16" t="s">
        <v>36</v>
      </c>
      <c r="F259" s="16" t="s">
        <v>20</v>
      </c>
      <c r="G259" s="16">
        <v>8690</v>
      </c>
      <c r="H259" s="20">
        <v>2</v>
      </c>
      <c r="I259" s="21">
        <f t="shared" si="13"/>
        <v>253</v>
      </c>
      <c r="J259" s="22" t="str">
        <f t="shared" si="14"/>
        <v>Junior v roce 2026</v>
      </c>
      <c r="K259" s="22" t="str">
        <f t="shared" si="15"/>
        <v>Junior v roce 2027</v>
      </c>
      <c r="L259"/>
      <c r="M259"/>
      <c r="N259" t="str">
        <f>IF(ISERROR(VLOOKUP(B259,'[1]Zebrik W'!$B$7:$M$1000,12,0)),"",IF(VLOOKUP(B259,'[1]Zebrik W'!$B$7:$M$1000,12,0)=0,"--",VLOOKUP(B259,'[1]Zebrik W'!$B$7:$M$1000,12,0)))</f>
        <v/>
      </c>
    </row>
    <row r="260" spans="1:14" x14ac:dyDescent="0.2">
      <c r="A260" s="21">
        <f t="shared" si="12"/>
        <v>254</v>
      </c>
      <c r="B260" s="16" t="s">
        <v>333</v>
      </c>
      <c r="C260" s="16">
        <v>1971</v>
      </c>
      <c r="D260" s="16" t="s">
        <v>18</v>
      </c>
      <c r="E260" s="16" t="s">
        <v>27</v>
      </c>
      <c r="F260" s="16" t="s">
        <v>20</v>
      </c>
      <c r="G260" s="16">
        <v>8660</v>
      </c>
      <c r="H260" s="20">
        <v>3</v>
      </c>
      <c r="I260" s="21">
        <f t="shared" si="13"/>
        <v>254</v>
      </c>
      <c r="J260" s="22" t="str">
        <f t="shared" si="14"/>
        <v/>
      </c>
      <c r="K260" s="22" t="str">
        <f t="shared" si="15"/>
        <v/>
      </c>
      <c r="L260"/>
      <c r="M260"/>
      <c r="N260" t="str">
        <f>IF(ISERROR(VLOOKUP(B260,'[1]Zebrik W'!$B$7:$M$1000,12,0)),"",IF(VLOOKUP(B260,'[1]Zebrik W'!$B$7:$M$1000,12,0)=0,"--",VLOOKUP(B260,'[1]Zebrik W'!$B$7:$M$1000,12,0)))</f>
        <v/>
      </c>
    </row>
    <row r="261" spans="1:14" x14ac:dyDescent="0.2">
      <c r="A261" s="21">
        <f t="shared" si="12"/>
        <v>255</v>
      </c>
      <c r="B261" s="16" t="s">
        <v>334</v>
      </c>
      <c r="C261" s="16">
        <v>1981</v>
      </c>
      <c r="D261" s="16" t="s">
        <v>18</v>
      </c>
      <c r="E261" s="16" t="s">
        <v>193</v>
      </c>
      <c r="F261" s="16" t="s">
        <v>24</v>
      </c>
      <c r="G261" s="16">
        <v>8605</v>
      </c>
      <c r="H261" s="20">
        <v>2</v>
      </c>
      <c r="I261" s="21">
        <f t="shared" si="13"/>
        <v>255</v>
      </c>
      <c r="J261" s="22" t="str">
        <f t="shared" si="14"/>
        <v/>
      </c>
      <c r="K261" s="22" t="str">
        <f t="shared" si="15"/>
        <v/>
      </c>
      <c r="L261"/>
      <c r="M261"/>
      <c r="N261" t="str">
        <f>IF(ISERROR(VLOOKUP(B261,'[1]Zebrik W'!$B$7:$M$1000,12,0)),"",IF(VLOOKUP(B261,'[1]Zebrik W'!$B$7:$M$1000,12,0)=0,"--",VLOOKUP(B261,'[1]Zebrik W'!$B$7:$M$1000,12,0)))</f>
        <v/>
      </c>
    </row>
    <row r="262" spans="1:14" x14ac:dyDescent="0.2">
      <c r="A262" s="21">
        <f t="shared" si="12"/>
        <v>256</v>
      </c>
      <c r="B262" s="16" t="s">
        <v>335</v>
      </c>
      <c r="C262" s="16">
        <v>2001</v>
      </c>
      <c r="D262" s="16" t="s">
        <v>18</v>
      </c>
      <c r="E262" s="16" t="s">
        <v>57</v>
      </c>
      <c r="F262" s="16" t="s">
        <v>24</v>
      </c>
      <c r="G262" s="16">
        <v>8603</v>
      </c>
      <c r="H262" s="20">
        <v>2</v>
      </c>
      <c r="I262" s="21">
        <f t="shared" si="13"/>
        <v>256</v>
      </c>
      <c r="J262" s="22" t="str">
        <f t="shared" si="14"/>
        <v>Junior v roce 2026</v>
      </c>
      <c r="K262" s="22" t="str">
        <f t="shared" si="15"/>
        <v/>
      </c>
      <c r="L262"/>
      <c r="M262"/>
      <c r="N262" t="str">
        <f>IF(ISERROR(VLOOKUP(B262,'[1]Zebrik W'!$B$7:$M$1000,12,0)),"",IF(VLOOKUP(B262,'[1]Zebrik W'!$B$7:$M$1000,12,0)=0,"--",VLOOKUP(B262,'[1]Zebrik W'!$B$7:$M$1000,12,0)))</f>
        <v/>
      </c>
    </row>
    <row r="263" spans="1:14" x14ac:dyDescent="0.2">
      <c r="A263" s="21">
        <f t="shared" ref="A263:A326" si="16">RANK(G263,G:G)</f>
        <v>257</v>
      </c>
      <c r="B263" s="16" t="s">
        <v>336</v>
      </c>
      <c r="C263" s="16">
        <v>1981</v>
      </c>
      <c r="D263" s="16" t="s">
        <v>18</v>
      </c>
      <c r="E263" s="16" t="s">
        <v>57</v>
      </c>
      <c r="F263" s="16" t="s">
        <v>24</v>
      </c>
      <c r="G263" s="16">
        <v>8493</v>
      </c>
      <c r="H263" s="20">
        <v>2</v>
      </c>
      <c r="I263" s="21">
        <f t="shared" si="13"/>
        <v>257</v>
      </c>
      <c r="J263" s="22" t="str">
        <f t="shared" si="14"/>
        <v/>
      </c>
      <c r="K263" s="22" t="str">
        <f t="shared" si="15"/>
        <v/>
      </c>
      <c r="L263"/>
      <c r="M263"/>
      <c r="N263" t="str">
        <f>IF(ISERROR(VLOOKUP(B263,'[1]Zebrik W'!$B$7:$M$1000,12,0)),"",IF(VLOOKUP(B263,'[1]Zebrik W'!$B$7:$M$1000,12,0)=0,"--",VLOOKUP(B263,'[1]Zebrik W'!$B$7:$M$1000,12,0)))</f>
        <v/>
      </c>
    </row>
    <row r="264" spans="1:14" x14ac:dyDescent="0.2">
      <c r="A264" s="21">
        <f t="shared" si="16"/>
        <v>258</v>
      </c>
      <c r="B264" s="16" t="s">
        <v>337</v>
      </c>
      <c r="C264" s="16">
        <v>1962</v>
      </c>
      <c r="D264" s="16" t="s">
        <v>18</v>
      </c>
      <c r="E264" s="16" t="s">
        <v>140</v>
      </c>
      <c r="F264" s="16" t="s">
        <v>20</v>
      </c>
      <c r="G264" s="16">
        <v>8466</v>
      </c>
      <c r="H264" s="20">
        <v>3</v>
      </c>
      <c r="I264" s="21">
        <f t="shared" ref="I264:I327" si="17">RANK(G264,G:G)</f>
        <v>258</v>
      </c>
      <c r="J264" s="22" t="str">
        <f t="shared" ref="J264:J327" si="18">IF(C264="(prázdné)","",IF(($J$4-C264)&gt;25,"","Junior v roce "&amp;$J$4))</f>
        <v/>
      </c>
      <c r="K264" s="22" t="str">
        <f t="shared" ref="K264:K327" si="19">IF(C264="(prázdné)","",IF(($K$4-C264)&gt;25,"","Junior v roce "&amp;$K$4))</f>
        <v/>
      </c>
      <c r="L264"/>
      <c r="M264"/>
      <c r="N264" t="str">
        <f>IF(ISERROR(VLOOKUP(B264,'[1]Zebrik W'!$B$7:$M$1000,12,0)),"",IF(VLOOKUP(B264,'[1]Zebrik W'!$B$7:$M$1000,12,0)=0,"--",VLOOKUP(B264,'[1]Zebrik W'!$B$7:$M$1000,12,0)))</f>
        <v/>
      </c>
    </row>
    <row r="265" spans="1:14" x14ac:dyDescent="0.2">
      <c r="A265" s="21">
        <f t="shared" si="16"/>
        <v>259</v>
      </c>
      <c r="B265" s="16" t="s">
        <v>338</v>
      </c>
      <c r="C265" s="16">
        <v>1988</v>
      </c>
      <c r="D265" s="16" t="s">
        <v>18</v>
      </c>
      <c r="E265" s="16" t="s">
        <v>31</v>
      </c>
      <c r="F265" s="16" t="s">
        <v>24</v>
      </c>
      <c r="G265" s="16">
        <v>8407</v>
      </c>
      <c r="H265" s="20">
        <v>1</v>
      </c>
      <c r="I265" s="21">
        <f t="shared" si="17"/>
        <v>259</v>
      </c>
      <c r="J265" s="22" t="str">
        <f t="shared" si="18"/>
        <v/>
      </c>
      <c r="K265" s="22" t="str">
        <f t="shared" si="19"/>
        <v/>
      </c>
      <c r="L265"/>
      <c r="M265"/>
      <c r="N265" t="str">
        <f>IF(ISERROR(VLOOKUP(B265,'[1]Zebrik W'!$B$7:$M$1000,12,0)),"",IF(VLOOKUP(B265,'[1]Zebrik W'!$B$7:$M$1000,12,0)=0,"--",VLOOKUP(B265,'[1]Zebrik W'!$B$7:$M$1000,12,0)))</f>
        <v/>
      </c>
    </row>
    <row r="266" spans="1:14" x14ac:dyDescent="0.2">
      <c r="A266" s="21">
        <f t="shared" si="16"/>
        <v>260</v>
      </c>
      <c r="B266" s="16" t="s">
        <v>339</v>
      </c>
      <c r="C266" s="16">
        <v>1983</v>
      </c>
      <c r="D266" s="16" t="s">
        <v>18</v>
      </c>
      <c r="E266" s="16" t="s">
        <v>57</v>
      </c>
      <c r="F266" s="16" t="s">
        <v>24</v>
      </c>
      <c r="G266" s="16">
        <v>8112</v>
      </c>
      <c r="H266" s="20">
        <v>3</v>
      </c>
      <c r="I266" s="21">
        <f t="shared" si="17"/>
        <v>260</v>
      </c>
      <c r="J266" s="22" t="str">
        <f t="shared" si="18"/>
        <v/>
      </c>
      <c r="K266" s="22" t="str">
        <f t="shared" si="19"/>
        <v/>
      </c>
      <c r="L266"/>
      <c r="M266"/>
      <c r="N266" t="str">
        <f>IF(ISERROR(VLOOKUP(B266,'[1]Zebrik W'!$B$7:$M$1000,12,0)),"",IF(VLOOKUP(B266,'[1]Zebrik W'!$B$7:$M$1000,12,0)=0,"--",VLOOKUP(B266,'[1]Zebrik W'!$B$7:$M$1000,12,0)))</f>
        <v/>
      </c>
    </row>
    <row r="267" spans="1:14" x14ac:dyDescent="0.2">
      <c r="A267" s="21">
        <f t="shared" si="16"/>
        <v>261</v>
      </c>
      <c r="B267" s="16" t="s">
        <v>340</v>
      </c>
      <c r="C267" s="16">
        <v>1969</v>
      </c>
      <c r="D267" s="16" t="s">
        <v>18</v>
      </c>
      <c r="E267" s="16" t="s">
        <v>45</v>
      </c>
      <c r="F267" s="16" t="s">
        <v>24</v>
      </c>
      <c r="G267" s="16">
        <v>8108</v>
      </c>
      <c r="H267" s="20">
        <v>3</v>
      </c>
      <c r="I267" s="21">
        <f t="shared" si="17"/>
        <v>261</v>
      </c>
      <c r="J267" s="22" t="str">
        <f t="shared" si="18"/>
        <v/>
      </c>
      <c r="K267" s="22" t="str">
        <f t="shared" si="19"/>
        <v/>
      </c>
      <c r="L267"/>
      <c r="M267"/>
      <c r="N267" t="str">
        <f>IF(ISERROR(VLOOKUP(B267,'[1]Zebrik W'!$B$7:$M$1000,12,0)),"",IF(VLOOKUP(B267,'[1]Zebrik W'!$B$7:$M$1000,12,0)=0,"--",VLOOKUP(B267,'[1]Zebrik W'!$B$7:$M$1000,12,0)))</f>
        <v/>
      </c>
    </row>
    <row r="268" spans="1:14" s="7" customFormat="1" x14ac:dyDescent="0.2">
      <c r="A268" s="21">
        <f t="shared" si="16"/>
        <v>262</v>
      </c>
      <c r="B268" s="16" t="s">
        <v>341</v>
      </c>
      <c r="C268" s="16">
        <v>1956</v>
      </c>
      <c r="D268" s="16" t="s">
        <v>18</v>
      </c>
      <c r="E268" s="16" t="s">
        <v>67</v>
      </c>
      <c r="F268" s="16" t="s">
        <v>41</v>
      </c>
      <c r="G268" s="16">
        <v>7939</v>
      </c>
      <c r="H268" s="20">
        <v>3</v>
      </c>
      <c r="I268" s="21">
        <f t="shared" si="17"/>
        <v>262</v>
      </c>
      <c r="J268" s="22" t="str">
        <f t="shared" si="18"/>
        <v/>
      </c>
      <c r="K268" s="22" t="str">
        <f t="shared" si="19"/>
        <v/>
      </c>
      <c r="L268"/>
      <c r="M268"/>
      <c r="N268" t="str">
        <f>IF(ISERROR(VLOOKUP(B268,'[1]Zebrik W'!$B$7:$M$1000,12,0)),"",IF(VLOOKUP(B268,'[1]Zebrik W'!$B$7:$M$1000,12,0)=0,"--",VLOOKUP(B268,'[1]Zebrik W'!$B$7:$M$1000,12,0)))</f>
        <v/>
      </c>
    </row>
    <row r="269" spans="1:14" x14ac:dyDescent="0.2">
      <c r="A269" s="21">
        <f t="shared" si="16"/>
        <v>263</v>
      </c>
      <c r="B269" s="16" t="s">
        <v>342</v>
      </c>
      <c r="C269" s="16">
        <v>1972</v>
      </c>
      <c r="D269" s="16" t="s">
        <v>18</v>
      </c>
      <c r="E269" s="16" t="s">
        <v>47</v>
      </c>
      <c r="F269" s="16" t="s">
        <v>20</v>
      </c>
      <c r="G269" s="16">
        <v>7886</v>
      </c>
      <c r="H269" s="20">
        <v>1</v>
      </c>
      <c r="I269" s="21">
        <f t="shared" si="17"/>
        <v>263</v>
      </c>
      <c r="J269" s="22" t="str">
        <f t="shared" si="18"/>
        <v/>
      </c>
      <c r="K269" s="22" t="str">
        <f t="shared" si="19"/>
        <v/>
      </c>
      <c r="L269"/>
      <c r="M269"/>
      <c r="N269" t="str">
        <f>IF(ISERROR(VLOOKUP(B269,'[1]Zebrik W'!$B$7:$M$1000,12,0)),"",IF(VLOOKUP(B269,'[1]Zebrik W'!$B$7:$M$1000,12,0)=0,"--",VLOOKUP(B269,'[1]Zebrik W'!$B$7:$M$1000,12,0)))</f>
        <v/>
      </c>
    </row>
    <row r="270" spans="1:14" x14ac:dyDescent="0.2">
      <c r="A270" s="21">
        <f t="shared" si="16"/>
        <v>264</v>
      </c>
      <c r="B270" s="16" t="s">
        <v>343</v>
      </c>
      <c r="C270" s="16">
        <v>1974</v>
      </c>
      <c r="D270" s="16" t="s">
        <v>18</v>
      </c>
      <c r="E270" s="16" t="s">
        <v>344</v>
      </c>
      <c r="F270" s="16" t="s">
        <v>41</v>
      </c>
      <c r="G270" s="16">
        <v>7881</v>
      </c>
      <c r="H270" s="20">
        <v>2</v>
      </c>
      <c r="I270" s="21">
        <f t="shared" si="17"/>
        <v>264</v>
      </c>
      <c r="J270" s="22" t="str">
        <f t="shared" si="18"/>
        <v/>
      </c>
      <c r="K270" s="22" t="str">
        <f t="shared" si="19"/>
        <v/>
      </c>
      <c r="L270"/>
      <c r="M270"/>
      <c r="N270" t="str">
        <f>IF(ISERROR(VLOOKUP(B270,'[1]Zebrik W'!$B$7:$M$1000,12,0)),"",IF(VLOOKUP(B270,'[1]Zebrik W'!$B$7:$M$1000,12,0)=0,"--",VLOOKUP(B270,'[1]Zebrik W'!$B$7:$M$1000,12,0)))</f>
        <v/>
      </c>
    </row>
    <row r="271" spans="1:14" x14ac:dyDescent="0.2">
      <c r="A271" s="21">
        <f t="shared" si="16"/>
        <v>265</v>
      </c>
      <c r="B271" s="16" t="s">
        <v>345</v>
      </c>
      <c r="C271" s="16">
        <v>2007</v>
      </c>
      <c r="D271" s="16" t="s">
        <v>49</v>
      </c>
      <c r="E271" s="16" t="s">
        <v>131</v>
      </c>
      <c r="F271" s="16" t="s">
        <v>41</v>
      </c>
      <c r="G271" s="16">
        <v>7754</v>
      </c>
      <c r="H271" s="20">
        <v>2</v>
      </c>
      <c r="I271" s="21">
        <f t="shared" si="17"/>
        <v>265</v>
      </c>
      <c r="J271" s="22" t="str">
        <f t="shared" si="18"/>
        <v>Junior v roce 2026</v>
      </c>
      <c r="K271" s="22" t="str">
        <f t="shared" si="19"/>
        <v>Junior v roce 2027</v>
      </c>
      <c r="L271"/>
      <c r="M271"/>
      <c r="N271" t="str">
        <f>IF(ISERROR(VLOOKUP(B271,'[1]Zebrik W'!$B$7:$M$1000,12,0)),"",IF(VLOOKUP(B271,'[1]Zebrik W'!$B$7:$M$1000,12,0)=0,"--",VLOOKUP(B271,'[1]Zebrik W'!$B$7:$M$1000,12,0)))</f>
        <v>--</v>
      </c>
    </row>
    <row r="272" spans="1:14" x14ac:dyDescent="0.2">
      <c r="A272" s="21">
        <f t="shared" si="16"/>
        <v>266</v>
      </c>
      <c r="B272" s="16" t="s">
        <v>346</v>
      </c>
      <c r="C272" s="16">
        <v>2006</v>
      </c>
      <c r="D272" s="16" t="s">
        <v>18</v>
      </c>
      <c r="E272" s="16" t="s">
        <v>191</v>
      </c>
      <c r="F272" s="16" t="s">
        <v>24</v>
      </c>
      <c r="G272" s="16">
        <v>7751</v>
      </c>
      <c r="H272" s="20">
        <v>2</v>
      </c>
      <c r="I272" s="21">
        <f t="shared" si="17"/>
        <v>266</v>
      </c>
      <c r="J272" s="22" t="str">
        <f t="shared" si="18"/>
        <v>Junior v roce 2026</v>
      </c>
      <c r="K272" s="22" t="str">
        <f t="shared" si="19"/>
        <v>Junior v roce 2027</v>
      </c>
      <c r="L272"/>
      <c r="M272"/>
      <c r="N272" t="str">
        <f>IF(ISERROR(VLOOKUP(B272,'[1]Zebrik W'!$B$7:$M$1000,12,0)),"",IF(VLOOKUP(B272,'[1]Zebrik W'!$B$7:$M$1000,12,0)=0,"--",VLOOKUP(B272,'[1]Zebrik W'!$B$7:$M$1000,12,0)))</f>
        <v/>
      </c>
    </row>
    <row r="273" spans="1:14" x14ac:dyDescent="0.2">
      <c r="A273" s="21">
        <f t="shared" si="16"/>
        <v>267</v>
      </c>
      <c r="B273" s="16" t="s">
        <v>347</v>
      </c>
      <c r="C273" s="16">
        <v>1979</v>
      </c>
      <c r="D273" s="16" t="s">
        <v>18</v>
      </c>
      <c r="E273" s="16" t="s">
        <v>65</v>
      </c>
      <c r="F273" s="16" t="s">
        <v>41</v>
      </c>
      <c r="G273" s="16">
        <v>7750</v>
      </c>
      <c r="H273" s="20">
        <v>1</v>
      </c>
      <c r="I273" s="21">
        <f t="shared" si="17"/>
        <v>267</v>
      </c>
      <c r="J273" s="22" t="str">
        <f t="shared" si="18"/>
        <v/>
      </c>
      <c r="K273" s="22" t="str">
        <f t="shared" si="19"/>
        <v/>
      </c>
      <c r="L273"/>
      <c r="M273"/>
      <c r="N273" t="str">
        <f>IF(ISERROR(VLOOKUP(B273,'[1]Zebrik W'!$B$7:$M$1000,12,0)),"",IF(VLOOKUP(B273,'[1]Zebrik W'!$B$7:$M$1000,12,0)=0,"--",VLOOKUP(B273,'[1]Zebrik W'!$B$7:$M$1000,12,0)))</f>
        <v/>
      </c>
    </row>
    <row r="274" spans="1:14" x14ac:dyDescent="0.2">
      <c r="A274" s="21">
        <f t="shared" si="16"/>
        <v>268</v>
      </c>
      <c r="B274" s="16" t="s">
        <v>348</v>
      </c>
      <c r="C274" s="16">
        <v>2000</v>
      </c>
      <c r="D274" s="16" t="s">
        <v>18</v>
      </c>
      <c r="E274" s="16" t="s">
        <v>57</v>
      </c>
      <c r="F274" s="16" t="s">
        <v>24</v>
      </c>
      <c r="G274" s="16">
        <v>7745</v>
      </c>
      <c r="H274" s="20">
        <v>1</v>
      </c>
      <c r="I274" s="21">
        <f t="shared" si="17"/>
        <v>268</v>
      </c>
      <c r="J274" s="22" t="str">
        <f t="shared" si="18"/>
        <v/>
      </c>
      <c r="K274" s="22" t="str">
        <f t="shared" si="19"/>
        <v/>
      </c>
      <c r="L274"/>
      <c r="M274"/>
      <c r="N274" t="str">
        <f>IF(ISERROR(VLOOKUP(B274,'[1]Zebrik W'!$B$7:$M$1000,12,0)),"",IF(VLOOKUP(B274,'[1]Zebrik W'!$B$7:$M$1000,12,0)=0,"--",VLOOKUP(B274,'[1]Zebrik W'!$B$7:$M$1000,12,0)))</f>
        <v/>
      </c>
    </row>
    <row r="275" spans="1:14" x14ac:dyDescent="0.2">
      <c r="A275" s="21">
        <f t="shared" si="16"/>
        <v>269</v>
      </c>
      <c r="B275" s="16" t="s">
        <v>349</v>
      </c>
      <c r="C275" s="16">
        <v>1973</v>
      </c>
      <c r="D275" s="16" t="s">
        <v>18</v>
      </c>
      <c r="E275" s="16" t="s">
        <v>160</v>
      </c>
      <c r="F275" s="16" t="s">
        <v>20</v>
      </c>
      <c r="G275" s="16">
        <v>7639</v>
      </c>
      <c r="H275" s="20">
        <v>3</v>
      </c>
      <c r="I275" s="21">
        <f t="shared" si="17"/>
        <v>269</v>
      </c>
      <c r="J275" s="22" t="str">
        <f t="shared" si="18"/>
        <v/>
      </c>
      <c r="K275" s="22" t="str">
        <f t="shared" si="19"/>
        <v/>
      </c>
      <c r="L275"/>
      <c r="M275"/>
      <c r="N275" t="str">
        <f>IF(ISERROR(VLOOKUP(B275,'[1]Zebrik W'!$B$7:$M$1000,12,0)),"",IF(VLOOKUP(B275,'[1]Zebrik W'!$B$7:$M$1000,12,0)=0,"--",VLOOKUP(B275,'[1]Zebrik W'!$B$7:$M$1000,12,0)))</f>
        <v/>
      </c>
    </row>
    <row r="276" spans="1:14" x14ac:dyDescent="0.2">
      <c r="A276" s="21">
        <f t="shared" si="16"/>
        <v>270</v>
      </c>
      <c r="B276" s="16" t="s">
        <v>350</v>
      </c>
      <c r="C276" s="16">
        <v>1961</v>
      </c>
      <c r="D276" s="16" t="s">
        <v>18</v>
      </c>
      <c r="E276" s="16" t="s">
        <v>47</v>
      </c>
      <c r="F276" s="16" t="s">
        <v>20</v>
      </c>
      <c r="G276" s="16">
        <v>7594</v>
      </c>
      <c r="H276" s="20">
        <v>2</v>
      </c>
      <c r="I276" s="21">
        <f t="shared" si="17"/>
        <v>270</v>
      </c>
      <c r="J276" s="22" t="str">
        <f t="shared" si="18"/>
        <v/>
      </c>
      <c r="K276" s="22" t="str">
        <f t="shared" si="19"/>
        <v/>
      </c>
      <c r="L276"/>
      <c r="M276"/>
      <c r="N276" t="str">
        <f>IF(ISERROR(VLOOKUP(B276,'[1]Zebrik W'!$B$7:$M$1000,12,0)),"",IF(VLOOKUP(B276,'[1]Zebrik W'!$B$7:$M$1000,12,0)=0,"--",VLOOKUP(B276,'[1]Zebrik W'!$B$7:$M$1000,12,0)))</f>
        <v/>
      </c>
    </row>
    <row r="277" spans="1:14" x14ac:dyDescent="0.2">
      <c r="A277" s="21">
        <f t="shared" si="16"/>
        <v>271</v>
      </c>
      <c r="B277" s="16" t="s">
        <v>351</v>
      </c>
      <c r="C277" s="16">
        <v>1985</v>
      </c>
      <c r="D277" s="16" t="s">
        <v>18</v>
      </c>
      <c r="E277" s="16" t="s">
        <v>19</v>
      </c>
      <c r="F277" s="16" t="s">
        <v>20</v>
      </c>
      <c r="G277" s="16">
        <v>7550</v>
      </c>
      <c r="H277" s="20">
        <v>1</v>
      </c>
      <c r="I277" s="21">
        <f t="shared" si="17"/>
        <v>271</v>
      </c>
      <c r="J277" s="22" t="str">
        <f t="shared" si="18"/>
        <v/>
      </c>
      <c r="K277" s="22" t="str">
        <f t="shared" si="19"/>
        <v/>
      </c>
      <c r="L277"/>
      <c r="M277"/>
      <c r="N277" t="str">
        <f>IF(ISERROR(VLOOKUP(B277,'[1]Zebrik W'!$B$7:$M$1000,12,0)),"",IF(VLOOKUP(B277,'[1]Zebrik W'!$B$7:$M$1000,12,0)=0,"--",VLOOKUP(B277,'[1]Zebrik W'!$B$7:$M$1000,12,0)))</f>
        <v/>
      </c>
    </row>
    <row r="278" spans="1:14" x14ac:dyDescent="0.2">
      <c r="A278" s="21">
        <f t="shared" si="16"/>
        <v>272</v>
      </c>
      <c r="B278" s="16" t="s">
        <v>352</v>
      </c>
      <c r="C278" s="16">
        <v>1973</v>
      </c>
      <c r="D278" s="16" t="s">
        <v>18</v>
      </c>
      <c r="E278" s="16" t="s">
        <v>59</v>
      </c>
      <c r="F278" s="16" t="s">
        <v>41</v>
      </c>
      <c r="G278" s="16">
        <v>7513</v>
      </c>
      <c r="H278" s="20">
        <v>2</v>
      </c>
      <c r="I278" s="21">
        <f t="shared" si="17"/>
        <v>272</v>
      </c>
      <c r="J278" s="22" t="str">
        <f t="shared" si="18"/>
        <v/>
      </c>
      <c r="K278" s="22" t="str">
        <f t="shared" si="19"/>
        <v/>
      </c>
      <c r="L278"/>
      <c r="M278"/>
      <c r="N278" t="str">
        <f>IF(ISERROR(VLOOKUP(B278,'[1]Zebrik W'!$B$7:$M$1000,12,0)),"",IF(VLOOKUP(B278,'[1]Zebrik W'!$B$7:$M$1000,12,0)=0,"--",VLOOKUP(B278,'[1]Zebrik W'!$B$7:$M$1000,12,0)))</f>
        <v/>
      </c>
    </row>
    <row r="279" spans="1:14" x14ac:dyDescent="0.2">
      <c r="A279" s="21">
        <f t="shared" si="16"/>
        <v>273</v>
      </c>
      <c r="B279" s="16" t="s">
        <v>353</v>
      </c>
      <c r="C279" s="16">
        <v>2006</v>
      </c>
      <c r="D279" s="16" t="s">
        <v>18</v>
      </c>
      <c r="E279" s="16" t="s">
        <v>122</v>
      </c>
      <c r="F279" s="16" t="s">
        <v>24</v>
      </c>
      <c r="G279" s="16">
        <v>7446</v>
      </c>
      <c r="H279" s="20">
        <v>2</v>
      </c>
      <c r="I279" s="21">
        <f t="shared" si="17"/>
        <v>273</v>
      </c>
      <c r="J279" s="22" t="str">
        <f t="shared" si="18"/>
        <v>Junior v roce 2026</v>
      </c>
      <c r="K279" s="22" t="str">
        <f t="shared" si="19"/>
        <v>Junior v roce 2027</v>
      </c>
      <c r="L279"/>
      <c r="M279"/>
      <c r="N279" t="str">
        <f>IF(ISERROR(VLOOKUP(B279,'[1]Zebrik W'!$B$7:$M$1000,12,0)),"",IF(VLOOKUP(B279,'[1]Zebrik W'!$B$7:$M$1000,12,0)=0,"--",VLOOKUP(B279,'[1]Zebrik W'!$B$7:$M$1000,12,0)))</f>
        <v/>
      </c>
    </row>
    <row r="280" spans="1:14" x14ac:dyDescent="0.2">
      <c r="A280" s="21">
        <f t="shared" si="16"/>
        <v>274</v>
      </c>
      <c r="B280" s="16" t="s">
        <v>354</v>
      </c>
      <c r="C280" s="16">
        <v>1963</v>
      </c>
      <c r="D280" s="16" t="s">
        <v>49</v>
      </c>
      <c r="E280" s="16" t="s">
        <v>101</v>
      </c>
      <c r="F280" s="16" t="s">
        <v>20</v>
      </c>
      <c r="G280" s="16">
        <v>7393</v>
      </c>
      <c r="H280" s="20">
        <v>3</v>
      </c>
      <c r="I280" s="21">
        <f t="shared" si="17"/>
        <v>274</v>
      </c>
      <c r="J280" s="22" t="str">
        <f t="shared" si="18"/>
        <v/>
      </c>
      <c r="K280" s="22" t="str">
        <f t="shared" si="19"/>
        <v/>
      </c>
      <c r="L280"/>
      <c r="M280"/>
      <c r="N280" t="str">
        <f>IF(ISERROR(VLOOKUP(B280,'[1]Zebrik W'!$B$7:$M$1000,12,0)),"",IF(VLOOKUP(B280,'[1]Zebrik W'!$B$7:$M$1000,12,0)=0,"--",VLOOKUP(B280,'[1]Zebrik W'!$B$7:$M$1000,12,0)))</f>
        <v>--</v>
      </c>
    </row>
    <row r="281" spans="1:14" x14ac:dyDescent="0.2">
      <c r="A281" s="21">
        <f t="shared" si="16"/>
        <v>275</v>
      </c>
      <c r="B281" s="16" t="s">
        <v>355</v>
      </c>
      <c r="C281" s="16">
        <v>1956</v>
      </c>
      <c r="D281" s="16" t="s">
        <v>18</v>
      </c>
      <c r="E281" s="16" t="s">
        <v>233</v>
      </c>
      <c r="F281" s="16" t="s">
        <v>20</v>
      </c>
      <c r="G281" s="16">
        <v>7300</v>
      </c>
      <c r="H281" s="20">
        <v>1</v>
      </c>
      <c r="I281" s="21">
        <f t="shared" si="17"/>
        <v>275</v>
      </c>
      <c r="J281" s="22" t="str">
        <f t="shared" si="18"/>
        <v/>
      </c>
      <c r="K281" s="22" t="str">
        <f t="shared" si="19"/>
        <v/>
      </c>
      <c r="L281"/>
      <c r="M281"/>
      <c r="N281" t="str">
        <f>IF(ISERROR(VLOOKUP(B281,'[1]Zebrik W'!$B$7:$M$1000,12,0)),"",IF(VLOOKUP(B281,'[1]Zebrik W'!$B$7:$M$1000,12,0)=0,"--",VLOOKUP(B281,'[1]Zebrik W'!$B$7:$M$1000,12,0)))</f>
        <v/>
      </c>
    </row>
    <row r="282" spans="1:14" x14ac:dyDescent="0.2">
      <c r="A282" s="21">
        <f t="shared" si="16"/>
        <v>276</v>
      </c>
      <c r="B282" s="16" t="s">
        <v>356</v>
      </c>
      <c r="C282" s="16">
        <v>1966</v>
      </c>
      <c r="D282" s="16" t="s">
        <v>18</v>
      </c>
      <c r="E282" s="16" t="s">
        <v>45</v>
      </c>
      <c r="F282" s="16" t="s">
        <v>24</v>
      </c>
      <c r="G282" s="16">
        <v>7149</v>
      </c>
      <c r="H282" s="20">
        <v>2</v>
      </c>
      <c r="I282" s="21">
        <f t="shared" si="17"/>
        <v>276</v>
      </c>
      <c r="J282" s="22" t="str">
        <f t="shared" si="18"/>
        <v/>
      </c>
      <c r="K282" s="22" t="str">
        <f t="shared" si="19"/>
        <v/>
      </c>
      <c r="L282"/>
      <c r="M282"/>
      <c r="N282" t="str">
        <f>IF(ISERROR(VLOOKUP(B282,'[1]Zebrik W'!$B$7:$M$1000,12,0)),"",IF(VLOOKUP(B282,'[1]Zebrik W'!$B$7:$M$1000,12,0)=0,"--",VLOOKUP(B282,'[1]Zebrik W'!$B$7:$M$1000,12,0)))</f>
        <v/>
      </c>
    </row>
    <row r="283" spans="1:14" x14ac:dyDescent="0.2">
      <c r="A283" s="21">
        <f t="shared" si="16"/>
        <v>277</v>
      </c>
      <c r="B283" s="16" t="s">
        <v>357</v>
      </c>
      <c r="C283" s="16">
        <v>2004</v>
      </c>
      <c r="D283" s="16" t="s">
        <v>18</v>
      </c>
      <c r="E283" s="16" t="s">
        <v>138</v>
      </c>
      <c r="F283" s="16" t="s">
        <v>24</v>
      </c>
      <c r="G283" s="16">
        <v>7089</v>
      </c>
      <c r="H283" s="20">
        <v>2</v>
      </c>
      <c r="I283" s="21">
        <f t="shared" si="17"/>
        <v>277</v>
      </c>
      <c r="J283" s="22" t="str">
        <f t="shared" si="18"/>
        <v>Junior v roce 2026</v>
      </c>
      <c r="K283" s="22" t="str">
        <f t="shared" si="19"/>
        <v>Junior v roce 2027</v>
      </c>
      <c r="L283"/>
      <c r="M283"/>
      <c r="N283" t="str">
        <f>IF(ISERROR(VLOOKUP(B283,'[1]Zebrik W'!$B$7:$M$1000,12,0)),"",IF(VLOOKUP(B283,'[1]Zebrik W'!$B$7:$M$1000,12,0)=0,"--",VLOOKUP(B283,'[1]Zebrik W'!$B$7:$M$1000,12,0)))</f>
        <v/>
      </c>
    </row>
    <row r="284" spans="1:14" x14ac:dyDescent="0.2">
      <c r="A284" s="21">
        <f t="shared" si="16"/>
        <v>278</v>
      </c>
      <c r="B284" s="16" t="s">
        <v>358</v>
      </c>
      <c r="C284" s="16">
        <v>2000</v>
      </c>
      <c r="D284" s="16" t="s">
        <v>18</v>
      </c>
      <c r="E284" s="16" t="s">
        <v>54</v>
      </c>
      <c r="F284" s="16" t="s">
        <v>41</v>
      </c>
      <c r="G284" s="16">
        <v>7063</v>
      </c>
      <c r="H284" s="20">
        <v>2</v>
      </c>
      <c r="I284" s="21">
        <f t="shared" si="17"/>
        <v>278</v>
      </c>
      <c r="J284" s="22" t="str">
        <f t="shared" si="18"/>
        <v/>
      </c>
      <c r="K284" s="22" t="str">
        <f t="shared" si="19"/>
        <v/>
      </c>
      <c r="L284"/>
      <c r="M284"/>
      <c r="N284" t="str">
        <f>IF(ISERROR(VLOOKUP(B284,'[1]Zebrik W'!$B$7:$M$1000,12,0)),"",IF(VLOOKUP(B284,'[1]Zebrik W'!$B$7:$M$1000,12,0)=0,"--",VLOOKUP(B284,'[1]Zebrik W'!$B$7:$M$1000,12,0)))</f>
        <v/>
      </c>
    </row>
    <row r="285" spans="1:14" x14ac:dyDescent="0.2">
      <c r="A285" s="21">
        <f t="shared" si="16"/>
        <v>279</v>
      </c>
      <c r="B285" s="16" t="s">
        <v>359</v>
      </c>
      <c r="C285" s="16">
        <v>1968</v>
      </c>
      <c r="D285" s="16" t="s">
        <v>18</v>
      </c>
      <c r="E285" s="16" t="s">
        <v>33</v>
      </c>
      <c r="F285" s="16" t="s">
        <v>20</v>
      </c>
      <c r="G285" s="16">
        <v>7041</v>
      </c>
      <c r="H285" s="20">
        <v>1</v>
      </c>
      <c r="I285" s="21">
        <f t="shared" si="17"/>
        <v>279</v>
      </c>
      <c r="J285" s="22" t="str">
        <f t="shared" si="18"/>
        <v/>
      </c>
      <c r="K285" s="22" t="str">
        <f t="shared" si="19"/>
        <v/>
      </c>
      <c r="L285"/>
      <c r="M285"/>
      <c r="N285" t="str">
        <f>IF(ISERROR(VLOOKUP(B285,'[1]Zebrik W'!$B$7:$M$1000,12,0)),"",IF(VLOOKUP(B285,'[1]Zebrik W'!$B$7:$M$1000,12,0)=0,"--",VLOOKUP(B285,'[1]Zebrik W'!$B$7:$M$1000,12,0)))</f>
        <v/>
      </c>
    </row>
    <row r="286" spans="1:14" x14ac:dyDescent="0.2">
      <c r="A286" s="21">
        <f t="shared" si="16"/>
        <v>280</v>
      </c>
      <c r="B286" s="16" t="s">
        <v>360</v>
      </c>
      <c r="C286" s="16">
        <v>1979</v>
      </c>
      <c r="D286" s="16" t="s">
        <v>18</v>
      </c>
      <c r="E286" s="16" t="s">
        <v>57</v>
      </c>
      <c r="F286" s="16" t="s">
        <v>24</v>
      </c>
      <c r="G286" s="16">
        <v>7030</v>
      </c>
      <c r="H286" s="20">
        <v>1</v>
      </c>
      <c r="I286" s="21">
        <f t="shared" si="17"/>
        <v>280</v>
      </c>
      <c r="J286" s="22" t="str">
        <f t="shared" si="18"/>
        <v/>
      </c>
      <c r="K286" s="22" t="str">
        <f t="shared" si="19"/>
        <v/>
      </c>
      <c r="L286"/>
      <c r="M286"/>
      <c r="N286" t="str">
        <f>IF(ISERROR(VLOOKUP(B286,'[1]Zebrik W'!$B$7:$M$1000,12,0)),"",IF(VLOOKUP(B286,'[1]Zebrik W'!$B$7:$M$1000,12,0)=0,"--",VLOOKUP(B286,'[1]Zebrik W'!$B$7:$M$1000,12,0)))</f>
        <v/>
      </c>
    </row>
    <row r="287" spans="1:14" x14ac:dyDescent="0.2">
      <c r="A287" s="21">
        <f t="shared" si="16"/>
        <v>281</v>
      </c>
      <c r="B287" s="16" t="s">
        <v>361</v>
      </c>
      <c r="C287" s="16">
        <v>1977</v>
      </c>
      <c r="D287" s="16" t="s">
        <v>18</v>
      </c>
      <c r="E287" s="16" t="s">
        <v>27</v>
      </c>
      <c r="F287" s="16" t="s">
        <v>20</v>
      </c>
      <c r="G287" s="16">
        <v>7011</v>
      </c>
      <c r="H287" s="20">
        <v>2</v>
      </c>
      <c r="I287" s="21">
        <f t="shared" si="17"/>
        <v>281</v>
      </c>
      <c r="J287" s="22" t="str">
        <f t="shared" si="18"/>
        <v/>
      </c>
      <c r="K287" s="22" t="str">
        <f t="shared" si="19"/>
        <v/>
      </c>
      <c r="L287"/>
      <c r="M287"/>
      <c r="N287" t="str">
        <f>IF(ISERROR(VLOOKUP(B287,'[1]Zebrik W'!$B$7:$M$1000,12,0)),"",IF(VLOOKUP(B287,'[1]Zebrik W'!$B$7:$M$1000,12,0)=0,"--",VLOOKUP(B287,'[1]Zebrik W'!$B$7:$M$1000,12,0)))</f>
        <v/>
      </c>
    </row>
    <row r="288" spans="1:14" x14ac:dyDescent="0.2">
      <c r="A288" s="21">
        <f t="shared" si="16"/>
        <v>282</v>
      </c>
      <c r="B288" s="16" t="s">
        <v>362</v>
      </c>
      <c r="C288" s="16">
        <v>1966</v>
      </c>
      <c r="D288" s="16" t="s">
        <v>18</v>
      </c>
      <c r="E288" s="16" t="s">
        <v>57</v>
      </c>
      <c r="F288" s="16" t="s">
        <v>24</v>
      </c>
      <c r="G288" s="16">
        <v>6944</v>
      </c>
      <c r="H288" s="20">
        <v>2</v>
      </c>
      <c r="I288" s="21">
        <f t="shared" si="17"/>
        <v>282</v>
      </c>
      <c r="J288" s="22" t="str">
        <f t="shared" si="18"/>
        <v/>
      </c>
      <c r="K288" s="22" t="str">
        <f t="shared" si="19"/>
        <v/>
      </c>
      <c r="L288"/>
      <c r="M288"/>
      <c r="N288" t="str">
        <f>IF(ISERROR(VLOOKUP(B288,'[1]Zebrik W'!$B$7:$M$1000,12,0)),"",IF(VLOOKUP(B288,'[1]Zebrik W'!$B$7:$M$1000,12,0)=0,"--",VLOOKUP(B288,'[1]Zebrik W'!$B$7:$M$1000,12,0)))</f>
        <v/>
      </c>
    </row>
    <row r="289" spans="1:14" x14ac:dyDescent="0.2">
      <c r="A289" s="21">
        <f t="shared" si="16"/>
        <v>283</v>
      </c>
      <c r="B289" s="16" t="s">
        <v>363</v>
      </c>
      <c r="C289" s="16">
        <v>1950</v>
      </c>
      <c r="D289" s="16" t="s">
        <v>18</v>
      </c>
      <c r="E289" s="16" t="s">
        <v>31</v>
      </c>
      <c r="F289" s="16" t="s">
        <v>24</v>
      </c>
      <c r="G289" s="16">
        <v>6812</v>
      </c>
      <c r="H289" s="20">
        <v>3</v>
      </c>
      <c r="I289" s="21">
        <f t="shared" si="17"/>
        <v>283</v>
      </c>
      <c r="J289" s="22" t="str">
        <f t="shared" si="18"/>
        <v/>
      </c>
      <c r="K289" s="22" t="str">
        <f t="shared" si="19"/>
        <v/>
      </c>
      <c r="L289"/>
      <c r="M289"/>
      <c r="N289" t="str">
        <f>IF(ISERROR(VLOOKUP(B289,'[1]Zebrik W'!$B$7:$M$1000,12,0)),"",IF(VLOOKUP(B289,'[1]Zebrik W'!$B$7:$M$1000,12,0)=0,"--",VLOOKUP(B289,'[1]Zebrik W'!$B$7:$M$1000,12,0)))</f>
        <v/>
      </c>
    </row>
    <row r="290" spans="1:14" x14ac:dyDescent="0.2">
      <c r="A290" s="21">
        <f t="shared" si="16"/>
        <v>284</v>
      </c>
      <c r="B290" s="16" t="s">
        <v>364</v>
      </c>
      <c r="C290" s="16">
        <v>1981</v>
      </c>
      <c r="D290" s="16" t="s">
        <v>18</v>
      </c>
      <c r="E290" s="16" t="s">
        <v>33</v>
      </c>
      <c r="F290" s="16" t="s">
        <v>20</v>
      </c>
      <c r="G290" s="16">
        <v>6782</v>
      </c>
      <c r="H290" s="20">
        <v>2</v>
      </c>
      <c r="I290" s="21">
        <f t="shared" si="17"/>
        <v>284</v>
      </c>
      <c r="J290" s="22" t="str">
        <f t="shared" si="18"/>
        <v/>
      </c>
      <c r="K290" s="22" t="str">
        <f t="shared" si="19"/>
        <v/>
      </c>
      <c r="L290"/>
      <c r="M290"/>
      <c r="N290" t="str">
        <f>IF(ISERROR(VLOOKUP(B290,'[1]Zebrik W'!$B$7:$M$1000,12,0)),"",IF(VLOOKUP(B290,'[1]Zebrik W'!$B$7:$M$1000,12,0)=0,"--",VLOOKUP(B290,'[1]Zebrik W'!$B$7:$M$1000,12,0)))</f>
        <v/>
      </c>
    </row>
    <row r="291" spans="1:14" x14ac:dyDescent="0.2">
      <c r="A291" s="21">
        <f t="shared" si="16"/>
        <v>285</v>
      </c>
      <c r="B291" s="16" t="s">
        <v>365</v>
      </c>
      <c r="C291" s="16">
        <v>1982</v>
      </c>
      <c r="D291" s="16" t="s">
        <v>18</v>
      </c>
      <c r="E291" s="16" t="s">
        <v>103</v>
      </c>
      <c r="F291" s="16" t="s">
        <v>41</v>
      </c>
      <c r="G291" s="16">
        <v>6710</v>
      </c>
      <c r="H291" s="20">
        <v>1</v>
      </c>
      <c r="I291" s="21">
        <f t="shared" si="17"/>
        <v>285</v>
      </c>
      <c r="J291" s="22" t="str">
        <f t="shared" si="18"/>
        <v/>
      </c>
      <c r="K291" s="22" t="str">
        <f t="shared" si="19"/>
        <v/>
      </c>
      <c r="L291"/>
      <c r="M291"/>
      <c r="N291" t="str">
        <f>IF(ISERROR(VLOOKUP(B291,'[1]Zebrik W'!$B$7:$M$1000,12,0)),"",IF(VLOOKUP(B291,'[1]Zebrik W'!$B$7:$M$1000,12,0)=0,"--",VLOOKUP(B291,'[1]Zebrik W'!$B$7:$M$1000,12,0)))</f>
        <v/>
      </c>
    </row>
    <row r="292" spans="1:14" x14ac:dyDescent="0.2">
      <c r="A292" s="21">
        <f t="shared" si="16"/>
        <v>286</v>
      </c>
      <c r="B292" s="16" t="s">
        <v>366</v>
      </c>
      <c r="C292" s="16">
        <v>2005</v>
      </c>
      <c r="D292" s="16" t="s">
        <v>18</v>
      </c>
      <c r="E292" s="16" t="s">
        <v>59</v>
      </c>
      <c r="F292" s="16" t="s">
        <v>41</v>
      </c>
      <c r="G292" s="16">
        <v>6584</v>
      </c>
      <c r="H292" s="20">
        <v>2</v>
      </c>
      <c r="I292" s="21">
        <f t="shared" si="17"/>
        <v>286</v>
      </c>
      <c r="J292" s="22" t="str">
        <f t="shared" si="18"/>
        <v>Junior v roce 2026</v>
      </c>
      <c r="K292" s="22" t="str">
        <f t="shared" si="19"/>
        <v>Junior v roce 2027</v>
      </c>
      <c r="L292"/>
      <c r="M292"/>
      <c r="N292" t="str">
        <f>IF(ISERROR(VLOOKUP(B292,'[1]Zebrik W'!$B$7:$M$1000,12,0)),"",IF(VLOOKUP(B292,'[1]Zebrik W'!$B$7:$M$1000,12,0)=0,"--",VLOOKUP(B292,'[1]Zebrik W'!$B$7:$M$1000,12,0)))</f>
        <v/>
      </c>
    </row>
    <row r="293" spans="1:14" x14ac:dyDescent="0.2">
      <c r="A293" s="21">
        <f t="shared" si="16"/>
        <v>287</v>
      </c>
      <c r="B293" s="16" t="s">
        <v>367</v>
      </c>
      <c r="C293" s="16">
        <v>1979</v>
      </c>
      <c r="D293" s="16" t="s">
        <v>18</v>
      </c>
      <c r="E293" s="16" t="s">
        <v>63</v>
      </c>
      <c r="F293" s="16" t="s">
        <v>41</v>
      </c>
      <c r="G293" s="16">
        <v>6575</v>
      </c>
      <c r="H293" s="20">
        <v>1</v>
      </c>
      <c r="I293" s="21">
        <f t="shared" si="17"/>
        <v>287</v>
      </c>
      <c r="J293" s="22" t="str">
        <f t="shared" si="18"/>
        <v/>
      </c>
      <c r="K293" s="22" t="str">
        <f t="shared" si="19"/>
        <v/>
      </c>
      <c r="L293"/>
      <c r="M293"/>
      <c r="N293" t="str">
        <f>IF(ISERROR(VLOOKUP(B293,'[1]Zebrik W'!$B$7:$M$1000,12,0)),"",IF(VLOOKUP(B293,'[1]Zebrik W'!$B$7:$M$1000,12,0)=0,"--",VLOOKUP(B293,'[1]Zebrik W'!$B$7:$M$1000,12,0)))</f>
        <v/>
      </c>
    </row>
    <row r="294" spans="1:14" x14ac:dyDescent="0.2">
      <c r="A294" s="21">
        <f t="shared" si="16"/>
        <v>288</v>
      </c>
      <c r="B294" s="16" t="s">
        <v>368</v>
      </c>
      <c r="C294" s="16">
        <v>1959</v>
      </c>
      <c r="D294" s="16" t="s">
        <v>18</v>
      </c>
      <c r="E294" s="16" t="s">
        <v>71</v>
      </c>
      <c r="F294" s="16" t="s">
        <v>41</v>
      </c>
      <c r="G294" s="16">
        <v>6554</v>
      </c>
      <c r="H294" s="20">
        <v>1</v>
      </c>
      <c r="I294" s="21">
        <f t="shared" si="17"/>
        <v>288</v>
      </c>
      <c r="J294" s="22" t="str">
        <f t="shared" si="18"/>
        <v/>
      </c>
      <c r="K294" s="22" t="str">
        <f t="shared" si="19"/>
        <v/>
      </c>
      <c r="L294"/>
      <c r="M294"/>
      <c r="N294" t="str">
        <f>IF(ISERROR(VLOOKUP(B294,'[1]Zebrik W'!$B$7:$M$1000,12,0)),"",IF(VLOOKUP(B294,'[1]Zebrik W'!$B$7:$M$1000,12,0)=0,"--",VLOOKUP(B294,'[1]Zebrik W'!$B$7:$M$1000,12,0)))</f>
        <v/>
      </c>
    </row>
    <row r="295" spans="1:14" x14ac:dyDescent="0.2">
      <c r="A295" s="21">
        <f t="shared" si="16"/>
        <v>289</v>
      </c>
      <c r="B295" s="16" t="s">
        <v>369</v>
      </c>
      <c r="C295" s="16">
        <v>1976</v>
      </c>
      <c r="D295" s="16" t="s">
        <v>18</v>
      </c>
      <c r="E295" s="16" t="s">
        <v>33</v>
      </c>
      <c r="F295" s="16" t="s">
        <v>20</v>
      </c>
      <c r="G295" s="16">
        <v>6541</v>
      </c>
      <c r="H295" s="20">
        <v>2</v>
      </c>
      <c r="I295" s="21">
        <f t="shared" si="17"/>
        <v>289</v>
      </c>
      <c r="J295" s="22" t="str">
        <f t="shared" si="18"/>
        <v/>
      </c>
      <c r="K295" s="22" t="str">
        <f t="shared" si="19"/>
        <v/>
      </c>
      <c r="L295"/>
      <c r="M295"/>
      <c r="N295" t="str">
        <f>IF(ISERROR(VLOOKUP(B295,'[1]Zebrik W'!$B$7:$M$1000,12,0)),"",IF(VLOOKUP(B295,'[1]Zebrik W'!$B$7:$M$1000,12,0)=0,"--",VLOOKUP(B295,'[1]Zebrik W'!$B$7:$M$1000,12,0)))</f>
        <v/>
      </c>
    </row>
    <row r="296" spans="1:14" x14ac:dyDescent="0.2">
      <c r="A296" s="21">
        <f t="shared" si="16"/>
        <v>290</v>
      </c>
      <c r="B296" s="16" t="s">
        <v>370</v>
      </c>
      <c r="C296" s="16">
        <v>1965</v>
      </c>
      <c r="D296" s="16" t="s">
        <v>18</v>
      </c>
      <c r="E296" s="16" t="s">
        <v>157</v>
      </c>
      <c r="F296" s="16" t="s">
        <v>24</v>
      </c>
      <c r="G296" s="16">
        <v>6532</v>
      </c>
      <c r="H296" s="20">
        <v>1</v>
      </c>
      <c r="I296" s="21">
        <f t="shared" si="17"/>
        <v>290</v>
      </c>
      <c r="J296" s="22" t="str">
        <f t="shared" si="18"/>
        <v/>
      </c>
      <c r="K296" s="22" t="str">
        <f t="shared" si="19"/>
        <v/>
      </c>
      <c r="L296"/>
      <c r="M296"/>
      <c r="N296" t="str">
        <f>IF(ISERROR(VLOOKUP(B296,'[1]Zebrik W'!$B$7:$M$1000,12,0)),"",IF(VLOOKUP(B296,'[1]Zebrik W'!$B$7:$M$1000,12,0)=0,"--",VLOOKUP(B296,'[1]Zebrik W'!$B$7:$M$1000,12,0)))</f>
        <v/>
      </c>
    </row>
    <row r="297" spans="1:14" x14ac:dyDescent="0.2">
      <c r="A297" s="21">
        <f t="shared" si="16"/>
        <v>291</v>
      </c>
      <c r="B297" s="16" t="s">
        <v>371</v>
      </c>
      <c r="C297" s="16">
        <v>1959</v>
      </c>
      <c r="D297" s="16" t="s">
        <v>18</v>
      </c>
      <c r="E297" s="16" t="s">
        <v>31</v>
      </c>
      <c r="F297" s="16" t="s">
        <v>24</v>
      </c>
      <c r="G297" s="16">
        <v>6522</v>
      </c>
      <c r="H297" s="20">
        <v>3</v>
      </c>
      <c r="I297" s="21">
        <f t="shared" si="17"/>
        <v>291</v>
      </c>
      <c r="J297" s="22" t="str">
        <f t="shared" si="18"/>
        <v/>
      </c>
      <c r="K297" s="22" t="str">
        <f t="shared" si="19"/>
        <v/>
      </c>
      <c r="L297"/>
      <c r="M297"/>
      <c r="N297" t="str">
        <f>IF(ISERROR(VLOOKUP(B297,'[1]Zebrik W'!$B$7:$M$1000,12,0)),"",IF(VLOOKUP(B297,'[1]Zebrik W'!$B$7:$M$1000,12,0)=0,"--",VLOOKUP(B297,'[1]Zebrik W'!$B$7:$M$1000,12,0)))</f>
        <v/>
      </c>
    </row>
    <row r="298" spans="1:14" x14ac:dyDescent="0.2">
      <c r="A298" s="21">
        <f t="shared" si="16"/>
        <v>292</v>
      </c>
      <c r="B298" s="16" t="s">
        <v>372</v>
      </c>
      <c r="C298" s="16">
        <v>1969</v>
      </c>
      <c r="D298" s="16" t="s">
        <v>18</v>
      </c>
      <c r="E298" s="16" t="s">
        <v>140</v>
      </c>
      <c r="F298" s="16" t="s">
        <v>20</v>
      </c>
      <c r="G298" s="16">
        <v>6420</v>
      </c>
      <c r="H298" s="20">
        <v>1</v>
      </c>
      <c r="I298" s="21">
        <f t="shared" si="17"/>
        <v>292</v>
      </c>
      <c r="J298" s="22" t="str">
        <f t="shared" si="18"/>
        <v/>
      </c>
      <c r="K298" s="22" t="str">
        <f t="shared" si="19"/>
        <v/>
      </c>
      <c r="L298"/>
      <c r="M298"/>
      <c r="N298" t="str">
        <f>IF(ISERROR(VLOOKUP(B298,'[1]Zebrik W'!$B$7:$M$1000,12,0)),"",IF(VLOOKUP(B298,'[1]Zebrik W'!$B$7:$M$1000,12,0)=0,"--",VLOOKUP(B298,'[1]Zebrik W'!$B$7:$M$1000,12,0)))</f>
        <v/>
      </c>
    </row>
    <row r="299" spans="1:14" x14ac:dyDescent="0.2">
      <c r="A299" s="21">
        <f t="shared" si="16"/>
        <v>293</v>
      </c>
      <c r="B299" s="16" t="s">
        <v>373</v>
      </c>
      <c r="C299" s="16">
        <v>1966</v>
      </c>
      <c r="D299" s="16" t="s">
        <v>18</v>
      </c>
      <c r="E299" s="16" t="s">
        <v>78</v>
      </c>
      <c r="F299" s="16" t="s">
        <v>41</v>
      </c>
      <c r="G299" s="16">
        <v>6418</v>
      </c>
      <c r="H299" s="20">
        <v>1</v>
      </c>
      <c r="I299" s="21">
        <f t="shared" si="17"/>
        <v>293</v>
      </c>
      <c r="J299" s="22" t="str">
        <f t="shared" si="18"/>
        <v/>
      </c>
      <c r="K299" s="22" t="str">
        <f t="shared" si="19"/>
        <v/>
      </c>
      <c r="L299"/>
      <c r="M299"/>
      <c r="N299" t="str">
        <f>IF(ISERROR(VLOOKUP(B299,'[1]Zebrik W'!$B$7:$M$1000,12,0)),"",IF(VLOOKUP(B299,'[1]Zebrik W'!$B$7:$M$1000,12,0)=0,"--",VLOOKUP(B299,'[1]Zebrik W'!$B$7:$M$1000,12,0)))</f>
        <v/>
      </c>
    </row>
    <row r="300" spans="1:14" x14ac:dyDescent="0.2">
      <c r="A300" s="21">
        <f t="shared" si="16"/>
        <v>294</v>
      </c>
      <c r="B300" s="16" t="s">
        <v>374</v>
      </c>
      <c r="C300" s="16">
        <v>1993</v>
      </c>
      <c r="D300" s="16" t="s">
        <v>18</v>
      </c>
      <c r="E300" s="16" t="s">
        <v>111</v>
      </c>
      <c r="F300" s="16" t="s">
        <v>20</v>
      </c>
      <c r="G300" s="16">
        <v>6331</v>
      </c>
      <c r="H300" s="20">
        <v>1</v>
      </c>
      <c r="I300" s="21">
        <f t="shared" si="17"/>
        <v>294</v>
      </c>
      <c r="J300" s="22" t="str">
        <f t="shared" si="18"/>
        <v/>
      </c>
      <c r="K300" s="22" t="str">
        <f t="shared" si="19"/>
        <v/>
      </c>
      <c r="L300"/>
      <c r="M300"/>
      <c r="N300" t="str">
        <f>IF(ISERROR(VLOOKUP(B300,'[1]Zebrik W'!$B$7:$M$1000,12,0)),"",IF(VLOOKUP(B300,'[1]Zebrik W'!$B$7:$M$1000,12,0)=0,"--",VLOOKUP(B300,'[1]Zebrik W'!$B$7:$M$1000,12,0)))</f>
        <v/>
      </c>
    </row>
    <row r="301" spans="1:14" x14ac:dyDescent="0.2">
      <c r="A301" s="21">
        <f t="shared" si="16"/>
        <v>295</v>
      </c>
      <c r="B301" s="16" t="s">
        <v>375</v>
      </c>
      <c r="C301" s="16">
        <v>1972</v>
      </c>
      <c r="D301" s="16" t="s">
        <v>18</v>
      </c>
      <c r="E301" s="16" t="s">
        <v>59</v>
      </c>
      <c r="F301" s="16" t="s">
        <v>41</v>
      </c>
      <c r="G301" s="16">
        <v>6250</v>
      </c>
      <c r="H301" s="20">
        <v>2</v>
      </c>
      <c r="I301" s="21">
        <f t="shared" si="17"/>
        <v>295</v>
      </c>
      <c r="J301" s="22" t="str">
        <f t="shared" si="18"/>
        <v/>
      </c>
      <c r="K301" s="22" t="str">
        <f t="shared" si="19"/>
        <v/>
      </c>
      <c r="L301"/>
      <c r="M301"/>
      <c r="N301" t="str">
        <f>IF(ISERROR(VLOOKUP(B301,'[1]Zebrik W'!$B$7:$M$1000,12,0)),"",IF(VLOOKUP(B301,'[1]Zebrik W'!$B$7:$M$1000,12,0)=0,"--",VLOOKUP(B301,'[1]Zebrik W'!$B$7:$M$1000,12,0)))</f>
        <v/>
      </c>
    </row>
    <row r="302" spans="1:14" x14ac:dyDescent="0.2">
      <c r="A302" s="21">
        <f t="shared" si="16"/>
        <v>296</v>
      </c>
      <c r="B302" s="16" t="s">
        <v>376</v>
      </c>
      <c r="C302" s="16">
        <v>1992</v>
      </c>
      <c r="D302" s="16" t="s">
        <v>18</v>
      </c>
      <c r="E302" s="16" t="s">
        <v>122</v>
      </c>
      <c r="F302" s="16" t="s">
        <v>24</v>
      </c>
      <c r="G302" s="16">
        <v>6142</v>
      </c>
      <c r="H302" s="20">
        <v>1</v>
      </c>
      <c r="I302" s="21">
        <f t="shared" si="17"/>
        <v>296</v>
      </c>
      <c r="J302" s="22" t="str">
        <f t="shared" si="18"/>
        <v/>
      </c>
      <c r="K302" s="22" t="str">
        <f t="shared" si="19"/>
        <v/>
      </c>
      <c r="L302"/>
      <c r="M302"/>
      <c r="N302" t="str">
        <f>IF(ISERROR(VLOOKUP(B302,'[1]Zebrik W'!$B$7:$M$1000,12,0)),"",IF(VLOOKUP(B302,'[1]Zebrik W'!$B$7:$M$1000,12,0)=0,"--",VLOOKUP(B302,'[1]Zebrik W'!$B$7:$M$1000,12,0)))</f>
        <v/>
      </c>
    </row>
    <row r="303" spans="1:14" x14ac:dyDescent="0.2">
      <c r="A303" s="21">
        <f t="shared" si="16"/>
        <v>297</v>
      </c>
      <c r="B303" s="16" t="s">
        <v>377</v>
      </c>
      <c r="C303" s="16">
        <v>1987</v>
      </c>
      <c r="D303" s="16" t="s">
        <v>18</v>
      </c>
      <c r="E303" s="16" t="s">
        <v>63</v>
      </c>
      <c r="F303" s="16" t="s">
        <v>41</v>
      </c>
      <c r="G303" s="16">
        <v>6096</v>
      </c>
      <c r="H303" s="20">
        <v>1</v>
      </c>
      <c r="I303" s="21">
        <f t="shared" si="17"/>
        <v>297</v>
      </c>
      <c r="J303" s="22" t="str">
        <f t="shared" si="18"/>
        <v/>
      </c>
      <c r="K303" s="22" t="str">
        <f t="shared" si="19"/>
        <v/>
      </c>
      <c r="L303"/>
      <c r="M303"/>
      <c r="N303" t="str">
        <f>IF(ISERROR(VLOOKUP(B303,'[1]Zebrik W'!$B$7:$M$1000,12,0)),"",IF(VLOOKUP(B303,'[1]Zebrik W'!$B$7:$M$1000,12,0)=0,"--",VLOOKUP(B303,'[1]Zebrik W'!$B$7:$M$1000,12,0)))</f>
        <v/>
      </c>
    </row>
    <row r="304" spans="1:14" x14ac:dyDescent="0.2">
      <c r="A304" s="21">
        <f t="shared" si="16"/>
        <v>298</v>
      </c>
      <c r="B304" s="16" t="s">
        <v>378</v>
      </c>
      <c r="C304" s="16">
        <v>1973</v>
      </c>
      <c r="D304" s="16" t="s">
        <v>18</v>
      </c>
      <c r="E304" s="16" t="s">
        <v>379</v>
      </c>
      <c r="F304" s="16" t="s">
        <v>41</v>
      </c>
      <c r="G304" s="16">
        <v>6095</v>
      </c>
      <c r="H304" s="20">
        <v>1</v>
      </c>
      <c r="I304" s="21">
        <f t="shared" si="17"/>
        <v>298</v>
      </c>
      <c r="J304" s="22" t="str">
        <f t="shared" si="18"/>
        <v/>
      </c>
      <c r="K304" s="22" t="str">
        <f t="shared" si="19"/>
        <v/>
      </c>
      <c r="L304"/>
      <c r="M304"/>
      <c r="N304" t="str">
        <f>IF(ISERROR(VLOOKUP(B304,'[1]Zebrik W'!$B$7:$M$1000,12,0)),"",IF(VLOOKUP(B304,'[1]Zebrik W'!$B$7:$M$1000,12,0)=0,"--",VLOOKUP(B304,'[1]Zebrik W'!$B$7:$M$1000,12,0)))</f>
        <v/>
      </c>
    </row>
    <row r="305" spans="1:14" x14ac:dyDescent="0.2">
      <c r="A305" s="21">
        <f t="shared" si="16"/>
        <v>299</v>
      </c>
      <c r="B305" s="16" t="s">
        <v>380</v>
      </c>
      <c r="C305" s="16">
        <v>1965</v>
      </c>
      <c r="D305" s="16" t="s">
        <v>18</v>
      </c>
      <c r="E305" s="16" t="s">
        <v>23</v>
      </c>
      <c r="F305" s="16" t="s">
        <v>24</v>
      </c>
      <c r="G305" s="16">
        <v>6080</v>
      </c>
      <c r="H305" s="20">
        <v>1</v>
      </c>
      <c r="I305" s="21">
        <f t="shared" si="17"/>
        <v>299</v>
      </c>
      <c r="J305" s="22" t="str">
        <f t="shared" si="18"/>
        <v/>
      </c>
      <c r="K305" s="22" t="str">
        <f t="shared" si="19"/>
        <v/>
      </c>
      <c r="L305"/>
      <c r="M305"/>
      <c r="N305" t="str">
        <f>IF(ISERROR(VLOOKUP(B305,'[1]Zebrik W'!$B$7:$M$1000,12,0)),"",IF(VLOOKUP(B305,'[1]Zebrik W'!$B$7:$M$1000,12,0)=0,"--",VLOOKUP(B305,'[1]Zebrik W'!$B$7:$M$1000,12,0)))</f>
        <v/>
      </c>
    </row>
    <row r="306" spans="1:14" x14ac:dyDescent="0.2">
      <c r="A306" s="21">
        <f t="shared" si="16"/>
        <v>300</v>
      </c>
      <c r="B306" s="16" t="s">
        <v>381</v>
      </c>
      <c r="C306" s="16">
        <v>1984</v>
      </c>
      <c r="D306" s="16" t="s">
        <v>18</v>
      </c>
      <c r="E306" s="16" t="s">
        <v>140</v>
      </c>
      <c r="F306" s="16" t="s">
        <v>20</v>
      </c>
      <c r="G306" s="16">
        <v>5965</v>
      </c>
      <c r="H306" s="20">
        <v>2</v>
      </c>
      <c r="I306" s="21">
        <f t="shared" si="17"/>
        <v>300</v>
      </c>
      <c r="J306" s="22" t="str">
        <f t="shared" si="18"/>
        <v/>
      </c>
      <c r="K306" s="22" t="str">
        <f t="shared" si="19"/>
        <v/>
      </c>
      <c r="L306"/>
      <c r="M306"/>
      <c r="N306" t="str">
        <f>IF(ISERROR(VLOOKUP(B306,'[1]Zebrik W'!$B$7:$M$1000,12,0)),"",IF(VLOOKUP(B306,'[1]Zebrik W'!$B$7:$M$1000,12,0)=0,"--",VLOOKUP(B306,'[1]Zebrik W'!$B$7:$M$1000,12,0)))</f>
        <v/>
      </c>
    </row>
    <row r="307" spans="1:14" x14ac:dyDescent="0.2">
      <c r="A307" s="21">
        <f t="shared" si="16"/>
        <v>301</v>
      </c>
      <c r="B307" s="16" t="s">
        <v>382</v>
      </c>
      <c r="C307" s="16">
        <v>1968</v>
      </c>
      <c r="D307" s="16" t="s">
        <v>18</v>
      </c>
      <c r="E307" s="16" t="s">
        <v>78</v>
      </c>
      <c r="F307" s="16" t="s">
        <v>41</v>
      </c>
      <c r="G307" s="16">
        <v>5939</v>
      </c>
      <c r="H307" s="20">
        <v>1</v>
      </c>
      <c r="I307" s="21">
        <f t="shared" si="17"/>
        <v>301</v>
      </c>
      <c r="J307" s="22" t="str">
        <f t="shared" si="18"/>
        <v/>
      </c>
      <c r="K307" s="22" t="str">
        <f t="shared" si="19"/>
        <v/>
      </c>
      <c r="L307"/>
      <c r="M307"/>
      <c r="N307" t="str">
        <f>IF(ISERROR(VLOOKUP(B307,'[1]Zebrik W'!$B$7:$M$1000,12,0)),"",IF(VLOOKUP(B307,'[1]Zebrik W'!$B$7:$M$1000,12,0)=0,"--",VLOOKUP(B307,'[1]Zebrik W'!$B$7:$M$1000,12,0)))</f>
        <v/>
      </c>
    </row>
    <row r="308" spans="1:14" x14ac:dyDescent="0.2">
      <c r="A308" s="21">
        <f t="shared" si="16"/>
        <v>302</v>
      </c>
      <c r="B308" s="16" t="s">
        <v>383</v>
      </c>
      <c r="C308" s="16">
        <v>1980</v>
      </c>
      <c r="D308" s="16" t="s">
        <v>18</v>
      </c>
      <c r="E308" s="16" t="s">
        <v>160</v>
      </c>
      <c r="F308" s="16" t="s">
        <v>20</v>
      </c>
      <c r="G308" s="16">
        <v>5929</v>
      </c>
      <c r="H308" s="20">
        <v>1</v>
      </c>
      <c r="I308" s="21">
        <f t="shared" si="17"/>
        <v>302</v>
      </c>
      <c r="J308" s="22" t="str">
        <f t="shared" si="18"/>
        <v/>
      </c>
      <c r="K308" s="22" t="str">
        <f t="shared" si="19"/>
        <v/>
      </c>
      <c r="L308"/>
      <c r="M308"/>
      <c r="N308" t="str">
        <f>IF(ISERROR(VLOOKUP(B308,'[1]Zebrik W'!$B$7:$M$1000,12,0)),"",IF(VLOOKUP(B308,'[1]Zebrik W'!$B$7:$M$1000,12,0)=0,"--",VLOOKUP(B308,'[1]Zebrik W'!$B$7:$M$1000,12,0)))</f>
        <v/>
      </c>
    </row>
    <row r="309" spans="1:14" x14ac:dyDescent="0.2">
      <c r="A309" s="21">
        <f t="shared" si="16"/>
        <v>303</v>
      </c>
      <c r="B309" s="16" t="s">
        <v>384</v>
      </c>
      <c r="C309" s="16">
        <v>1945</v>
      </c>
      <c r="D309" s="16" t="s">
        <v>18</v>
      </c>
      <c r="E309" s="16" t="s">
        <v>67</v>
      </c>
      <c r="F309" s="16" t="s">
        <v>41</v>
      </c>
      <c r="G309" s="16">
        <v>5921</v>
      </c>
      <c r="H309" s="20">
        <v>2</v>
      </c>
      <c r="I309" s="21">
        <f t="shared" si="17"/>
        <v>303</v>
      </c>
      <c r="J309" s="22" t="str">
        <f t="shared" si="18"/>
        <v/>
      </c>
      <c r="K309" s="22" t="str">
        <f t="shared" si="19"/>
        <v/>
      </c>
      <c r="L309"/>
      <c r="M309"/>
      <c r="N309" t="str">
        <f>IF(ISERROR(VLOOKUP(B309,'[1]Zebrik W'!$B$7:$M$1000,12,0)),"",IF(VLOOKUP(B309,'[1]Zebrik W'!$B$7:$M$1000,12,0)=0,"--",VLOOKUP(B309,'[1]Zebrik W'!$B$7:$M$1000,12,0)))</f>
        <v/>
      </c>
    </row>
    <row r="310" spans="1:14" x14ac:dyDescent="0.2">
      <c r="A310" s="21">
        <f t="shared" si="16"/>
        <v>304</v>
      </c>
      <c r="B310" s="16" t="s">
        <v>385</v>
      </c>
      <c r="C310" s="16">
        <v>1984</v>
      </c>
      <c r="D310" s="16" t="s">
        <v>18</v>
      </c>
      <c r="E310" s="16" t="s">
        <v>29</v>
      </c>
      <c r="F310" s="16" t="s">
        <v>24</v>
      </c>
      <c r="G310" s="16">
        <v>5895</v>
      </c>
      <c r="H310" s="20">
        <v>1</v>
      </c>
      <c r="I310" s="21">
        <f t="shared" si="17"/>
        <v>304</v>
      </c>
      <c r="J310" s="22" t="str">
        <f t="shared" si="18"/>
        <v/>
      </c>
      <c r="K310" s="22" t="str">
        <f t="shared" si="19"/>
        <v/>
      </c>
      <c r="L310"/>
      <c r="M310"/>
      <c r="N310" t="str">
        <f>IF(ISERROR(VLOOKUP(B310,'[1]Zebrik W'!$B$7:$M$1000,12,0)),"",IF(VLOOKUP(B310,'[1]Zebrik W'!$B$7:$M$1000,12,0)=0,"--",VLOOKUP(B310,'[1]Zebrik W'!$B$7:$M$1000,12,0)))</f>
        <v/>
      </c>
    </row>
    <row r="311" spans="1:14" x14ac:dyDescent="0.2">
      <c r="A311" s="21">
        <f t="shared" si="16"/>
        <v>305</v>
      </c>
      <c r="B311" s="16" t="s">
        <v>386</v>
      </c>
      <c r="C311" s="16">
        <v>1975</v>
      </c>
      <c r="D311" s="16" t="s">
        <v>18</v>
      </c>
      <c r="E311" s="16" t="s">
        <v>93</v>
      </c>
      <c r="F311" s="16" t="s">
        <v>24</v>
      </c>
      <c r="G311" s="16">
        <v>5839</v>
      </c>
      <c r="H311" s="20">
        <v>2</v>
      </c>
      <c r="I311" s="21">
        <f t="shared" si="17"/>
        <v>305</v>
      </c>
      <c r="J311" s="22" t="str">
        <f t="shared" si="18"/>
        <v/>
      </c>
      <c r="K311" s="22" t="str">
        <f t="shared" si="19"/>
        <v/>
      </c>
      <c r="L311"/>
      <c r="M311"/>
      <c r="N311" t="str">
        <f>IF(ISERROR(VLOOKUP(B311,'[1]Zebrik W'!$B$7:$M$1000,12,0)),"",IF(VLOOKUP(B311,'[1]Zebrik W'!$B$7:$M$1000,12,0)=0,"--",VLOOKUP(B311,'[1]Zebrik W'!$B$7:$M$1000,12,0)))</f>
        <v/>
      </c>
    </row>
    <row r="312" spans="1:14" x14ac:dyDescent="0.2">
      <c r="A312" s="21">
        <f t="shared" si="16"/>
        <v>306</v>
      </c>
      <c r="B312" s="16" t="s">
        <v>387</v>
      </c>
      <c r="C312" s="16">
        <v>1962</v>
      </c>
      <c r="D312" s="16" t="s">
        <v>18</v>
      </c>
      <c r="E312" s="16" t="s">
        <v>23</v>
      </c>
      <c r="F312" s="16" t="s">
        <v>24</v>
      </c>
      <c r="G312" s="16">
        <v>5818</v>
      </c>
      <c r="H312" s="20">
        <v>1</v>
      </c>
      <c r="I312" s="21">
        <f t="shared" si="17"/>
        <v>306</v>
      </c>
      <c r="J312" s="22" t="str">
        <f t="shared" si="18"/>
        <v/>
      </c>
      <c r="K312" s="22" t="str">
        <f t="shared" si="19"/>
        <v/>
      </c>
      <c r="L312"/>
      <c r="M312"/>
      <c r="N312" t="str">
        <f>IF(ISERROR(VLOOKUP(B312,'[1]Zebrik W'!$B$7:$M$1000,12,0)),"",IF(VLOOKUP(B312,'[1]Zebrik W'!$B$7:$M$1000,12,0)=0,"--",VLOOKUP(B312,'[1]Zebrik W'!$B$7:$M$1000,12,0)))</f>
        <v/>
      </c>
    </row>
    <row r="313" spans="1:14" x14ac:dyDescent="0.2">
      <c r="A313" s="21">
        <f t="shared" si="16"/>
        <v>307</v>
      </c>
      <c r="B313" s="16" t="s">
        <v>388</v>
      </c>
      <c r="C313" s="16">
        <v>1997</v>
      </c>
      <c r="D313" s="16" t="s">
        <v>49</v>
      </c>
      <c r="E313" s="16" t="s">
        <v>103</v>
      </c>
      <c r="F313" s="16" t="s">
        <v>41</v>
      </c>
      <c r="G313" s="16">
        <v>5772</v>
      </c>
      <c r="H313" s="20">
        <v>1</v>
      </c>
      <c r="I313" s="21">
        <f t="shared" si="17"/>
        <v>307</v>
      </c>
      <c r="J313" s="22" t="str">
        <f t="shared" si="18"/>
        <v/>
      </c>
      <c r="K313" s="22" t="str">
        <f t="shared" si="19"/>
        <v/>
      </c>
      <c r="L313"/>
      <c r="M313"/>
      <c r="N313" t="str">
        <f>IF(ISERROR(VLOOKUP(B313,'[1]Zebrik W'!$B$7:$M$1000,12,0)),"",IF(VLOOKUP(B313,'[1]Zebrik W'!$B$7:$M$1000,12,0)=0,"--",VLOOKUP(B313,'[1]Zebrik W'!$B$7:$M$1000,12,0)))</f>
        <v>--</v>
      </c>
    </row>
    <row r="314" spans="1:14" x14ac:dyDescent="0.2">
      <c r="A314" s="21">
        <f t="shared" si="16"/>
        <v>308</v>
      </c>
      <c r="B314" s="16" t="s">
        <v>389</v>
      </c>
      <c r="C314" s="16">
        <v>1962</v>
      </c>
      <c r="D314" s="16" t="s">
        <v>18</v>
      </c>
      <c r="E314" s="16" t="s">
        <v>59</v>
      </c>
      <c r="F314" s="16" t="s">
        <v>41</v>
      </c>
      <c r="G314" s="16">
        <v>5721</v>
      </c>
      <c r="H314" s="20">
        <v>1</v>
      </c>
      <c r="I314" s="21">
        <f t="shared" si="17"/>
        <v>308</v>
      </c>
      <c r="J314" s="22" t="str">
        <f t="shared" si="18"/>
        <v/>
      </c>
      <c r="K314" s="22" t="str">
        <f t="shared" si="19"/>
        <v/>
      </c>
      <c r="L314"/>
      <c r="M314"/>
      <c r="N314" t="str">
        <f>IF(ISERROR(VLOOKUP(B314,'[1]Zebrik W'!$B$7:$M$1000,12,0)),"",IF(VLOOKUP(B314,'[1]Zebrik W'!$B$7:$M$1000,12,0)=0,"--",VLOOKUP(B314,'[1]Zebrik W'!$B$7:$M$1000,12,0)))</f>
        <v/>
      </c>
    </row>
    <row r="315" spans="1:14" x14ac:dyDescent="0.2">
      <c r="A315" s="21">
        <f t="shared" si="16"/>
        <v>309</v>
      </c>
      <c r="B315" s="16" t="s">
        <v>390</v>
      </c>
      <c r="C315" s="16">
        <v>1995</v>
      </c>
      <c r="D315" s="16" t="s">
        <v>18</v>
      </c>
      <c r="E315" s="16" t="s">
        <v>29</v>
      </c>
      <c r="F315" s="16" t="s">
        <v>24</v>
      </c>
      <c r="G315" s="16">
        <v>5720</v>
      </c>
      <c r="H315" s="20">
        <v>2</v>
      </c>
      <c r="I315" s="21">
        <f t="shared" si="17"/>
        <v>309</v>
      </c>
      <c r="J315" s="22" t="str">
        <f t="shared" si="18"/>
        <v/>
      </c>
      <c r="K315" s="22" t="str">
        <f t="shared" si="19"/>
        <v/>
      </c>
      <c r="L315"/>
      <c r="M315"/>
      <c r="N315" t="str">
        <f>IF(ISERROR(VLOOKUP(B315,'[1]Zebrik W'!$B$7:$M$1000,12,0)),"",IF(VLOOKUP(B315,'[1]Zebrik W'!$B$7:$M$1000,12,0)=0,"--",VLOOKUP(B315,'[1]Zebrik W'!$B$7:$M$1000,12,0)))</f>
        <v/>
      </c>
    </row>
    <row r="316" spans="1:14" x14ac:dyDescent="0.2">
      <c r="A316" s="21">
        <f t="shared" si="16"/>
        <v>310</v>
      </c>
      <c r="B316" s="16" t="s">
        <v>391</v>
      </c>
      <c r="C316" s="16">
        <v>1992</v>
      </c>
      <c r="D316" s="16" t="s">
        <v>18</v>
      </c>
      <c r="E316" s="16" t="s">
        <v>29</v>
      </c>
      <c r="F316" s="16" t="s">
        <v>24</v>
      </c>
      <c r="G316" s="16">
        <v>5694</v>
      </c>
      <c r="H316" s="20">
        <v>1</v>
      </c>
      <c r="I316" s="21">
        <f t="shared" si="17"/>
        <v>310</v>
      </c>
      <c r="J316" s="22" t="str">
        <f t="shared" si="18"/>
        <v/>
      </c>
      <c r="K316" s="22" t="str">
        <f t="shared" si="19"/>
        <v/>
      </c>
      <c r="L316"/>
      <c r="M316"/>
      <c r="N316" t="str">
        <f>IF(ISERROR(VLOOKUP(B316,'[1]Zebrik W'!$B$7:$M$1000,12,0)),"",IF(VLOOKUP(B316,'[1]Zebrik W'!$B$7:$M$1000,12,0)=0,"--",VLOOKUP(B316,'[1]Zebrik W'!$B$7:$M$1000,12,0)))</f>
        <v/>
      </c>
    </row>
    <row r="317" spans="1:14" x14ac:dyDescent="0.2">
      <c r="A317" s="21">
        <f t="shared" si="16"/>
        <v>311</v>
      </c>
      <c r="B317" s="16" t="s">
        <v>392</v>
      </c>
      <c r="C317" s="16">
        <v>1982</v>
      </c>
      <c r="D317" s="16" t="s">
        <v>18</v>
      </c>
      <c r="E317" s="16" t="s">
        <v>124</v>
      </c>
      <c r="F317" s="16" t="s">
        <v>41</v>
      </c>
      <c r="G317" s="16">
        <v>5607</v>
      </c>
      <c r="H317" s="20">
        <v>1</v>
      </c>
      <c r="I317" s="21">
        <f t="shared" si="17"/>
        <v>311</v>
      </c>
      <c r="J317" s="22" t="str">
        <f t="shared" si="18"/>
        <v/>
      </c>
      <c r="K317" s="22" t="str">
        <f t="shared" si="19"/>
        <v/>
      </c>
      <c r="L317"/>
      <c r="M317"/>
      <c r="N317" t="str">
        <f>IF(ISERROR(VLOOKUP(B317,'[1]Zebrik W'!$B$7:$M$1000,12,0)),"",IF(VLOOKUP(B317,'[1]Zebrik W'!$B$7:$M$1000,12,0)=0,"--",VLOOKUP(B317,'[1]Zebrik W'!$B$7:$M$1000,12,0)))</f>
        <v/>
      </c>
    </row>
    <row r="318" spans="1:14" x14ac:dyDescent="0.2">
      <c r="A318" s="21">
        <f t="shared" si="16"/>
        <v>312</v>
      </c>
      <c r="B318" s="16" t="s">
        <v>393</v>
      </c>
      <c r="C318" s="16">
        <v>1966</v>
      </c>
      <c r="D318" s="16" t="s">
        <v>18</v>
      </c>
      <c r="E318" s="16" t="s">
        <v>78</v>
      </c>
      <c r="F318" s="16" t="s">
        <v>41</v>
      </c>
      <c r="G318" s="16">
        <v>5589</v>
      </c>
      <c r="H318" s="20">
        <v>2</v>
      </c>
      <c r="I318" s="21">
        <f t="shared" si="17"/>
        <v>312</v>
      </c>
      <c r="J318" s="22" t="str">
        <f t="shared" si="18"/>
        <v/>
      </c>
      <c r="K318" s="22" t="str">
        <f t="shared" si="19"/>
        <v/>
      </c>
      <c r="L318"/>
      <c r="M318"/>
      <c r="N318" t="str">
        <f>IF(ISERROR(VLOOKUP(B318,'[1]Zebrik W'!$B$7:$M$1000,12,0)),"",IF(VLOOKUP(B318,'[1]Zebrik W'!$B$7:$M$1000,12,0)=0,"--",VLOOKUP(B318,'[1]Zebrik W'!$B$7:$M$1000,12,0)))</f>
        <v/>
      </c>
    </row>
    <row r="319" spans="1:14" x14ac:dyDescent="0.2">
      <c r="A319" s="21">
        <f t="shared" si="16"/>
        <v>313</v>
      </c>
      <c r="B319" s="16" t="s">
        <v>394</v>
      </c>
      <c r="C319" s="16">
        <v>1959</v>
      </c>
      <c r="D319" s="16" t="s">
        <v>18</v>
      </c>
      <c r="E319" s="16" t="s">
        <v>29</v>
      </c>
      <c r="F319" s="16" t="s">
        <v>24</v>
      </c>
      <c r="G319" s="16">
        <v>5575</v>
      </c>
      <c r="H319" s="20">
        <v>2</v>
      </c>
      <c r="I319" s="21">
        <f t="shared" si="17"/>
        <v>313</v>
      </c>
      <c r="J319" s="22" t="str">
        <f t="shared" si="18"/>
        <v/>
      </c>
      <c r="K319" s="22" t="str">
        <f t="shared" si="19"/>
        <v/>
      </c>
      <c r="L319"/>
      <c r="M319"/>
      <c r="N319" t="str">
        <f>IF(ISERROR(VLOOKUP(B319,'[1]Zebrik W'!$B$7:$M$1000,12,0)),"",IF(VLOOKUP(B319,'[1]Zebrik W'!$B$7:$M$1000,12,0)=0,"--",VLOOKUP(B319,'[1]Zebrik W'!$B$7:$M$1000,12,0)))</f>
        <v/>
      </c>
    </row>
    <row r="320" spans="1:14" x14ac:dyDescent="0.2">
      <c r="A320" s="21">
        <f t="shared" si="16"/>
        <v>314</v>
      </c>
      <c r="B320" s="16" t="s">
        <v>395</v>
      </c>
      <c r="C320" s="16">
        <v>1955</v>
      </c>
      <c r="D320" s="16" t="s">
        <v>18</v>
      </c>
      <c r="E320" s="16" t="s">
        <v>140</v>
      </c>
      <c r="F320" s="16" t="s">
        <v>20</v>
      </c>
      <c r="G320" s="16">
        <v>5564</v>
      </c>
      <c r="H320" s="20">
        <v>1</v>
      </c>
      <c r="I320" s="21">
        <f t="shared" si="17"/>
        <v>314</v>
      </c>
      <c r="J320" s="22" t="str">
        <f t="shared" si="18"/>
        <v/>
      </c>
      <c r="K320" s="22" t="str">
        <f t="shared" si="19"/>
        <v/>
      </c>
      <c r="L320"/>
      <c r="M320"/>
      <c r="N320" t="str">
        <f>IF(ISERROR(VLOOKUP(B320,'[1]Zebrik W'!$B$7:$M$1000,12,0)),"",IF(VLOOKUP(B320,'[1]Zebrik W'!$B$7:$M$1000,12,0)=0,"--",VLOOKUP(B320,'[1]Zebrik W'!$B$7:$M$1000,12,0)))</f>
        <v/>
      </c>
    </row>
    <row r="321" spans="1:14" x14ac:dyDescent="0.2">
      <c r="A321" s="21">
        <f t="shared" si="16"/>
        <v>315</v>
      </c>
      <c r="B321" s="16" t="s">
        <v>396</v>
      </c>
      <c r="C321" s="16">
        <v>1972</v>
      </c>
      <c r="D321" s="16" t="s">
        <v>18</v>
      </c>
      <c r="E321" s="16" t="s">
        <v>124</v>
      </c>
      <c r="F321" s="16" t="s">
        <v>41</v>
      </c>
      <c r="G321" s="16">
        <v>5524</v>
      </c>
      <c r="H321" s="20">
        <v>1</v>
      </c>
      <c r="I321" s="21">
        <f t="shared" si="17"/>
        <v>315</v>
      </c>
      <c r="J321" s="22" t="str">
        <f t="shared" si="18"/>
        <v/>
      </c>
      <c r="K321" s="22" t="str">
        <f t="shared" si="19"/>
        <v/>
      </c>
      <c r="L321"/>
      <c r="M321"/>
      <c r="N321" t="str">
        <f>IF(ISERROR(VLOOKUP(B321,'[1]Zebrik W'!$B$7:$M$1000,12,0)),"",IF(VLOOKUP(B321,'[1]Zebrik W'!$B$7:$M$1000,12,0)=0,"--",VLOOKUP(B321,'[1]Zebrik W'!$B$7:$M$1000,12,0)))</f>
        <v/>
      </c>
    </row>
    <row r="322" spans="1:14" x14ac:dyDescent="0.2">
      <c r="A322" s="21">
        <f t="shared" si="16"/>
        <v>316</v>
      </c>
      <c r="B322" s="16" t="s">
        <v>397</v>
      </c>
      <c r="C322" s="16">
        <v>2004</v>
      </c>
      <c r="D322" s="16" t="s">
        <v>18</v>
      </c>
      <c r="E322" s="16" t="s">
        <v>97</v>
      </c>
      <c r="F322" s="16" t="s">
        <v>24</v>
      </c>
      <c r="G322" s="16">
        <v>5522</v>
      </c>
      <c r="H322" s="20">
        <v>1</v>
      </c>
      <c r="I322" s="21">
        <f t="shared" si="17"/>
        <v>316</v>
      </c>
      <c r="J322" s="22" t="str">
        <f t="shared" si="18"/>
        <v>Junior v roce 2026</v>
      </c>
      <c r="K322" s="22" t="str">
        <f t="shared" si="19"/>
        <v>Junior v roce 2027</v>
      </c>
      <c r="L322"/>
      <c r="M322"/>
      <c r="N322" t="str">
        <f>IF(ISERROR(VLOOKUP(B322,'[1]Zebrik W'!$B$7:$M$1000,12,0)),"",IF(VLOOKUP(B322,'[1]Zebrik W'!$B$7:$M$1000,12,0)=0,"--",VLOOKUP(B322,'[1]Zebrik W'!$B$7:$M$1000,12,0)))</f>
        <v/>
      </c>
    </row>
    <row r="323" spans="1:14" x14ac:dyDescent="0.2">
      <c r="A323" s="21">
        <f t="shared" si="16"/>
        <v>317</v>
      </c>
      <c r="B323" s="16" t="s">
        <v>398</v>
      </c>
      <c r="C323" s="16">
        <v>1993</v>
      </c>
      <c r="D323" s="16" t="s">
        <v>18</v>
      </c>
      <c r="E323" s="16" t="s">
        <v>99</v>
      </c>
      <c r="F323" s="16" t="s">
        <v>24</v>
      </c>
      <c r="G323" s="16">
        <v>5463</v>
      </c>
      <c r="H323" s="20">
        <v>1</v>
      </c>
      <c r="I323" s="21">
        <f t="shared" si="17"/>
        <v>317</v>
      </c>
      <c r="J323" s="22" t="str">
        <f t="shared" si="18"/>
        <v/>
      </c>
      <c r="K323" s="22" t="str">
        <f t="shared" si="19"/>
        <v/>
      </c>
      <c r="L323"/>
      <c r="M323"/>
      <c r="N323" t="str">
        <f>IF(ISERROR(VLOOKUP(B323,'[1]Zebrik W'!$B$7:$M$1000,12,0)),"",IF(VLOOKUP(B323,'[1]Zebrik W'!$B$7:$M$1000,12,0)=0,"--",VLOOKUP(B323,'[1]Zebrik W'!$B$7:$M$1000,12,0)))</f>
        <v/>
      </c>
    </row>
    <row r="324" spans="1:14" x14ac:dyDescent="0.2">
      <c r="A324" s="21">
        <f t="shared" si="16"/>
        <v>318</v>
      </c>
      <c r="B324" s="16" t="s">
        <v>399</v>
      </c>
      <c r="C324" s="16">
        <v>1971</v>
      </c>
      <c r="D324" s="16" t="s">
        <v>18</v>
      </c>
      <c r="E324" s="16" t="s">
        <v>29</v>
      </c>
      <c r="F324" s="16" t="s">
        <v>24</v>
      </c>
      <c r="G324" s="16">
        <v>5436</v>
      </c>
      <c r="H324" s="20">
        <v>1</v>
      </c>
      <c r="I324" s="21">
        <f t="shared" si="17"/>
        <v>318</v>
      </c>
      <c r="J324" s="22" t="str">
        <f t="shared" si="18"/>
        <v/>
      </c>
      <c r="K324" s="22" t="str">
        <f t="shared" si="19"/>
        <v/>
      </c>
      <c r="L324"/>
      <c r="M324"/>
      <c r="N324" t="str">
        <f>IF(ISERROR(VLOOKUP(B324,'[1]Zebrik W'!$B$7:$M$1000,12,0)),"",IF(VLOOKUP(B324,'[1]Zebrik W'!$B$7:$M$1000,12,0)=0,"--",VLOOKUP(B324,'[1]Zebrik W'!$B$7:$M$1000,12,0)))</f>
        <v/>
      </c>
    </row>
    <row r="325" spans="1:14" x14ac:dyDescent="0.2">
      <c r="A325" s="21">
        <f t="shared" si="16"/>
        <v>319</v>
      </c>
      <c r="B325" s="16" t="s">
        <v>400</v>
      </c>
      <c r="C325" s="16">
        <v>1955</v>
      </c>
      <c r="D325" s="16" t="s">
        <v>18</v>
      </c>
      <c r="E325" s="16" t="s">
        <v>223</v>
      </c>
      <c r="F325" s="16" t="s">
        <v>41</v>
      </c>
      <c r="G325" s="16">
        <v>5384</v>
      </c>
      <c r="H325" s="20">
        <v>1</v>
      </c>
      <c r="I325" s="21">
        <f t="shared" si="17"/>
        <v>319</v>
      </c>
      <c r="J325" s="22" t="str">
        <f t="shared" si="18"/>
        <v/>
      </c>
      <c r="K325" s="22" t="str">
        <f t="shared" si="19"/>
        <v/>
      </c>
      <c r="L325"/>
      <c r="M325"/>
      <c r="N325" t="str">
        <f>IF(ISERROR(VLOOKUP(B325,'[1]Zebrik W'!$B$7:$M$1000,12,0)),"",IF(VLOOKUP(B325,'[1]Zebrik W'!$B$7:$M$1000,12,0)=0,"--",VLOOKUP(B325,'[1]Zebrik W'!$B$7:$M$1000,12,0)))</f>
        <v/>
      </c>
    </row>
    <row r="326" spans="1:14" x14ac:dyDescent="0.2">
      <c r="A326" s="21">
        <f t="shared" si="16"/>
        <v>320</v>
      </c>
      <c r="B326" s="16" t="s">
        <v>401</v>
      </c>
      <c r="C326" s="16">
        <v>1973</v>
      </c>
      <c r="D326" s="16" t="s">
        <v>18</v>
      </c>
      <c r="E326" s="16" t="s">
        <v>124</v>
      </c>
      <c r="F326" s="16" t="s">
        <v>41</v>
      </c>
      <c r="G326" s="16">
        <v>5303</v>
      </c>
      <c r="H326" s="20">
        <v>1</v>
      </c>
      <c r="I326" s="21">
        <f t="shared" si="17"/>
        <v>320</v>
      </c>
      <c r="J326" s="22" t="str">
        <f t="shared" si="18"/>
        <v/>
      </c>
      <c r="K326" s="22" t="str">
        <f t="shared" si="19"/>
        <v/>
      </c>
      <c r="L326"/>
      <c r="M326"/>
      <c r="N326" t="str">
        <f>IF(ISERROR(VLOOKUP(B326,'[1]Zebrik W'!$B$7:$M$1000,12,0)),"",IF(VLOOKUP(B326,'[1]Zebrik W'!$B$7:$M$1000,12,0)=0,"--",VLOOKUP(B326,'[1]Zebrik W'!$B$7:$M$1000,12,0)))</f>
        <v/>
      </c>
    </row>
    <row r="327" spans="1:14" x14ac:dyDescent="0.2">
      <c r="A327" s="21">
        <f t="shared" ref="A327:A390" si="20">RANK(G327,G:G)</f>
        <v>321</v>
      </c>
      <c r="B327" s="16" t="s">
        <v>402</v>
      </c>
      <c r="C327" s="16">
        <v>1977</v>
      </c>
      <c r="D327" s="16" t="s">
        <v>18</v>
      </c>
      <c r="E327" s="16" t="s">
        <v>172</v>
      </c>
      <c r="F327" s="16" t="s">
        <v>24</v>
      </c>
      <c r="G327" s="16">
        <v>5266</v>
      </c>
      <c r="H327" s="20">
        <v>2</v>
      </c>
      <c r="I327" s="21">
        <f t="shared" si="17"/>
        <v>321</v>
      </c>
      <c r="J327" s="22" t="str">
        <f t="shared" si="18"/>
        <v/>
      </c>
      <c r="K327" s="22" t="str">
        <f t="shared" si="19"/>
        <v/>
      </c>
      <c r="L327"/>
      <c r="M327"/>
      <c r="N327" t="str">
        <f>IF(ISERROR(VLOOKUP(B327,'[1]Zebrik W'!$B$7:$M$1000,12,0)),"",IF(VLOOKUP(B327,'[1]Zebrik W'!$B$7:$M$1000,12,0)=0,"--",VLOOKUP(B327,'[1]Zebrik W'!$B$7:$M$1000,12,0)))</f>
        <v/>
      </c>
    </row>
    <row r="328" spans="1:14" x14ac:dyDescent="0.2">
      <c r="A328" s="21">
        <f t="shared" si="20"/>
        <v>322</v>
      </c>
      <c r="B328" s="16" t="s">
        <v>403</v>
      </c>
      <c r="C328" s="16">
        <v>1983</v>
      </c>
      <c r="D328" s="16" t="s">
        <v>18</v>
      </c>
      <c r="E328" s="16" t="s">
        <v>157</v>
      </c>
      <c r="F328" s="16" t="s">
        <v>24</v>
      </c>
      <c r="G328" s="16">
        <v>5231</v>
      </c>
      <c r="H328" s="20">
        <v>1</v>
      </c>
      <c r="I328" s="21">
        <f t="shared" ref="I328:I391" si="21">RANK(G328,G:G)</f>
        <v>322</v>
      </c>
      <c r="J328" s="22" t="str">
        <f t="shared" ref="J328:J391" si="22">IF(C328="(prázdné)","",IF(($J$4-C328)&gt;25,"","Junior v roce "&amp;$J$4))</f>
        <v/>
      </c>
      <c r="K328" s="22" t="str">
        <f t="shared" ref="K328:K391" si="23">IF(C328="(prázdné)","",IF(($K$4-C328)&gt;25,"","Junior v roce "&amp;$K$4))</f>
        <v/>
      </c>
      <c r="L328"/>
      <c r="M328"/>
      <c r="N328" t="str">
        <f>IF(ISERROR(VLOOKUP(B328,'[1]Zebrik W'!$B$7:$M$1000,12,0)),"",IF(VLOOKUP(B328,'[1]Zebrik W'!$B$7:$M$1000,12,0)=0,"--",VLOOKUP(B328,'[1]Zebrik W'!$B$7:$M$1000,12,0)))</f>
        <v/>
      </c>
    </row>
    <row r="329" spans="1:14" x14ac:dyDescent="0.2">
      <c r="A329" s="21">
        <f t="shared" si="20"/>
        <v>323</v>
      </c>
      <c r="B329" s="16" t="s">
        <v>404</v>
      </c>
      <c r="C329" s="16">
        <v>1962</v>
      </c>
      <c r="D329" s="16" t="s">
        <v>18</v>
      </c>
      <c r="E329" s="16" t="s">
        <v>93</v>
      </c>
      <c r="F329" s="16" t="s">
        <v>24</v>
      </c>
      <c r="G329" s="16">
        <v>5169</v>
      </c>
      <c r="H329" s="20">
        <v>1</v>
      </c>
      <c r="I329" s="21">
        <f t="shared" si="21"/>
        <v>323</v>
      </c>
      <c r="J329" s="22" t="str">
        <f t="shared" si="22"/>
        <v/>
      </c>
      <c r="K329" s="22" t="str">
        <f t="shared" si="23"/>
        <v/>
      </c>
      <c r="L329"/>
      <c r="M329"/>
      <c r="N329" t="str">
        <f>IF(ISERROR(VLOOKUP(B329,'[1]Zebrik W'!$B$7:$M$1000,12,0)),"",IF(VLOOKUP(B329,'[1]Zebrik W'!$B$7:$M$1000,12,0)=0,"--",VLOOKUP(B329,'[1]Zebrik W'!$B$7:$M$1000,12,0)))</f>
        <v/>
      </c>
    </row>
    <row r="330" spans="1:14" x14ac:dyDescent="0.2">
      <c r="A330" s="21">
        <f t="shared" si="20"/>
        <v>324</v>
      </c>
      <c r="B330" s="16" t="s">
        <v>405</v>
      </c>
      <c r="C330" s="16">
        <v>1960</v>
      </c>
      <c r="D330" s="16" t="s">
        <v>18</v>
      </c>
      <c r="E330" s="16" t="s">
        <v>27</v>
      </c>
      <c r="F330" s="16" t="s">
        <v>20</v>
      </c>
      <c r="G330" s="16">
        <v>5134</v>
      </c>
      <c r="H330" s="20">
        <v>1</v>
      </c>
      <c r="I330" s="21">
        <f t="shared" si="21"/>
        <v>324</v>
      </c>
      <c r="J330" s="22" t="str">
        <f t="shared" si="22"/>
        <v/>
      </c>
      <c r="K330" s="22" t="str">
        <f t="shared" si="23"/>
        <v/>
      </c>
      <c r="L330"/>
      <c r="M330"/>
      <c r="N330" t="str">
        <f>IF(ISERROR(VLOOKUP(B330,'[1]Zebrik W'!$B$7:$M$1000,12,0)),"",IF(VLOOKUP(B330,'[1]Zebrik W'!$B$7:$M$1000,12,0)=0,"--",VLOOKUP(B330,'[1]Zebrik W'!$B$7:$M$1000,12,0)))</f>
        <v/>
      </c>
    </row>
    <row r="331" spans="1:14" x14ac:dyDescent="0.2">
      <c r="A331" s="21">
        <f t="shared" si="20"/>
        <v>325</v>
      </c>
      <c r="B331" s="16" t="s">
        <v>406</v>
      </c>
      <c r="C331" s="16">
        <v>1969</v>
      </c>
      <c r="D331" s="16" t="s">
        <v>18</v>
      </c>
      <c r="E331" s="16" t="s">
        <v>105</v>
      </c>
      <c r="F331" s="16" t="s">
        <v>20</v>
      </c>
      <c r="G331" s="16">
        <v>5117</v>
      </c>
      <c r="H331" s="20">
        <v>1</v>
      </c>
      <c r="I331" s="21">
        <f t="shared" si="21"/>
        <v>325</v>
      </c>
      <c r="J331" s="22" t="str">
        <f t="shared" si="22"/>
        <v/>
      </c>
      <c r="K331" s="22" t="str">
        <f t="shared" si="23"/>
        <v/>
      </c>
      <c r="L331"/>
      <c r="M331"/>
      <c r="N331" t="str">
        <f>IF(ISERROR(VLOOKUP(B331,'[1]Zebrik W'!$B$7:$M$1000,12,0)),"",IF(VLOOKUP(B331,'[1]Zebrik W'!$B$7:$M$1000,12,0)=0,"--",VLOOKUP(B331,'[1]Zebrik W'!$B$7:$M$1000,12,0)))</f>
        <v/>
      </c>
    </row>
    <row r="332" spans="1:14" x14ac:dyDescent="0.2">
      <c r="A332" s="21">
        <f t="shared" si="20"/>
        <v>326</v>
      </c>
      <c r="B332" s="16" t="s">
        <v>407</v>
      </c>
      <c r="C332" s="16">
        <v>1974</v>
      </c>
      <c r="D332" s="16" t="s">
        <v>18</v>
      </c>
      <c r="E332" s="16" t="s">
        <v>45</v>
      </c>
      <c r="F332" s="16" t="s">
        <v>24</v>
      </c>
      <c r="G332" s="16">
        <v>5116</v>
      </c>
      <c r="H332" s="20">
        <v>3</v>
      </c>
      <c r="I332" s="21">
        <f t="shared" si="21"/>
        <v>326</v>
      </c>
      <c r="J332" s="22" t="str">
        <f t="shared" si="22"/>
        <v/>
      </c>
      <c r="K332" s="22" t="str">
        <f t="shared" si="23"/>
        <v/>
      </c>
      <c r="L332"/>
      <c r="M332"/>
      <c r="N332" t="str">
        <f>IF(ISERROR(VLOOKUP(B332,'[1]Zebrik W'!$B$7:$M$1000,12,0)),"",IF(VLOOKUP(B332,'[1]Zebrik W'!$B$7:$M$1000,12,0)=0,"--",VLOOKUP(B332,'[1]Zebrik W'!$B$7:$M$1000,12,0)))</f>
        <v/>
      </c>
    </row>
    <row r="333" spans="1:14" x14ac:dyDescent="0.2">
      <c r="A333" s="21">
        <f t="shared" si="20"/>
        <v>327</v>
      </c>
      <c r="B333" s="16" t="s">
        <v>408</v>
      </c>
      <c r="C333" s="16">
        <v>1963</v>
      </c>
      <c r="D333" s="16" t="s">
        <v>18</v>
      </c>
      <c r="E333" s="16" t="s">
        <v>71</v>
      </c>
      <c r="F333" s="16" t="s">
        <v>41</v>
      </c>
      <c r="G333" s="16">
        <v>5095</v>
      </c>
      <c r="H333" s="20">
        <v>1</v>
      </c>
      <c r="I333" s="21">
        <f t="shared" si="21"/>
        <v>327</v>
      </c>
      <c r="J333" s="22" t="str">
        <f t="shared" si="22"/>
        <v/>
      </c>
      <c r="K333" s="22" t="str">
        <f t="shared" si="23"/>
        <v/>
      </c>
      <c r="L333"/>
      <c r="M333"/>
      <c r="N333" t="str">
        <f>IF(ISERROR(VLOOKUP(B333,'[1]Zebrik W'!$B$7:$M$1000,12,0)),"",IF(VLOOKUP(B333,'[1]Zebrik W'!$B$7:$M$1000,12,0)=0,"--",VLOOKUP(B333,'[1]Zebrik W'!$B$7:$M$1000,12,0)))</f>
        <v/>
      </c>
    </row>
    <row r="334" spans="1:14" x14ac:dyDescent="0.2">
      <c r="A334" s="21">
        <f t="shared" si="20"/>
        <v>328</v>
      </c>
      <c r="B334" s="16" t="s">
        <v>409</v>
      </c>
      <c r="C334" s="16">
        <v>1987</v>
      </c>
      <c r="D334" s="16" t="s">
        <v>18</v>
      </c>
      <c r="E334" s="16" t="s">
        <v>36</v>
      </c>
      <c r="F334" s="16" t="s">
        <v>20</v>
      </c>
      <c r="G334" s="16">
        <v>5013</v>
      </c>
      <c r="H334" s="20">
        <v>1</v>
      </c>
      <c r="I334" s="21">
        <f t="shared" si="21"/>
        <v>328</v>
      </c>
      <c r="J334" s="22" t="str">
        <f t="shared" si="22"/>
        <v/>
      </c>
      <c r="K334" s="22" t="str">
        <f t="shared" si="23"/>
        <v/>
      </c>
      <c r="L334"/>
      <c r="M334"/>
      <c r="N334" t="str">
        <f>IF(ISERROR(VLOOKUP(B334,'[1]Zebrik W'!$B$7:$M$1000,12,0)),"",IF(VLOOKUP(B334,'[1]Zebrik W'!$B$7:$M$1000,12,0)=0,"--",VLOOKUP(B334,'[1]Zebrik W'!$B$7:$M$1000,12,0)))</f>
        <v/>
      </c>
    </row>
    <row r="335" spans="1:14" x14ac:dyDescent="0.2">
      <c r="A335" s="21">
        <f t="shared" si="20"/>
        <v>329</v>
      </c>
      <c r="B335" s="16" t="s">
        <v>410</v>
      </c>
      <c r="C335" s="16">
        <v>2002</v>
      </c>
      <c r="D335" s="16" t="s">
        <v>18</v>
      </c>
      <c r="E335" s="16" t="s">
        <v>33</v>
      </c>
      <c r="F335" s="16" t="s">
        <v>20</v>
      </c>
      <c r="G335" s="16">
        <v>4985</v>
      </c>
      <c r="H335" s="20">
        <v>1</v>
      </c>
      <c r="I335" s="21">
        <f t="shared" si="21"/>
        <v>329</v>
      </c>
      <c r="J335" s="22" t="str">
        <f t="shared" si="22"/>
        <v>Junior v roce 2026</v>
      </c>
      <c r="K335" s="22" t="str">
        <f t="shared" si="23"/>
        <v>Junior v roce 2027</v>
      </c>
      <c r="L335"/>
      <c r="M335"/>
      <c r="N335" t="str">
        <f>IF(ISERROR(VLOOKUP(B335,'[1]Zebrik W'!$B$7:$M$1000,12,0)),"",IF(VLOOKUP(B335,'[1]Zebrik W'!$B$7:$M$1000,12,0)=0,"--",VLOOKUP(B335,'[1]Zebrik W'!$B$7:$M$1000,12,0)))</f>
        <v/>
      </c>
    </row>
    <row r="336" spans="1:14" x14ac:dyDescent="0.2">
      <c r="A336" s="21">
        <f t="shared" si="20"/>
        <v>330</v>
      </c>
      <c r="B336" s="16" t="s">
        <v>411</v>
      </c>
      <c r="C336" s="16">
        <v>2005</v>
      </c>
      <c r="D336" s="16" t="s">
        <v>49</v>
      </c>
      <c r="E336" s="16" t="s">
        <v>29</v>
      </c>
      <c r="F336" s="16" t="s">
        <v>24</v>
      </c>
      <c r="G336" s="16">
        <v>4981</v>
      </c>
      <c r="H336" s="20">
        <v>1</v>
      </c>
      <c r="I336" s="21">
        <f t="shared" si="21"/>
        <v>330</v>
      </c>
      <c r="J336" s="22" t="str">
        <f t="shared" si="22"/>
        <v>Junior v roce 2026</v>
      </c>
      <c r="K336" s="22" t="str">
        <f t="shared" si="23"/>
        <v>Junior v roce 2027</v>
      </c>
      <c r="L336"/>
      <c r="M336"/>
      <c r="N336" t="str">
        <f>IF(ISERROR(VLOOKUP(B336,'[1]Zebrik W'!$B$7:$M$1000,12,0)),"",IF(VLOOKUP(B336,'[1]Zebrik W'!$B$7:$M$1000,12,0)=0,"--",VLOOKUP(B336,'[1]Zebrik W'!$B$7:$M$1000,12,0)))</f>
        <v>--</v>
      </c>
    </row>
    <row r="337" spans="1:14" x14ac:dyDescent="0.2">
      <c r="A337" s="21">
        <f t="shared" si="20"/>
        <v>331</v>
      </c>
      <c r="B337" s="16" t="s">
        <v>412</v>
      </c>
      <c r="C337" s="16">
        <v>1993</v>
      </c>
      <c r="D337" s="16" t="s">
        <v>49</v>
      </c>
      <c r="E337" s="16" t="s">
        <v>71</v>
      </c>
      <c r="F337" s="16" t="s">
        <v>41</v>
      </c>
      <c r="G337" s="16">
        <v>4975</v>
      </c>
      <c r="H337" s="20">
        <v>1</v>
      </c>
      <c r="I337" s="21">
        <f t="shared" si="21"/>
        <v>331</v>
      </c>
      <c r="J337" s="22" t="str">
        <f t="shared" si="22"/>
        <v/>
      </c>
      <c r="K337" s="22" t="str">
        <f t="shared" si="23"/>
        <v/>
      </c>
      <c r="L337"/>
      <c r="M337" t="s">
        <v>21</v>
      </c>
      <c r="N337" t="str">
        <f>IF(ISERROR(VLOOKUP(B337,'[1]Zebrik W'!$B$7:$M$1000,12,0)),"",IF(VLOOKUP(B337,'[1]Zebrik W'!$B$7:$M$1000,12,0)=0,"--",VLOOKUP(B337,'[1]Zebrik W'!$B$7:$M$1000,12,0)))</f>
        <v>WRV 2026</v>
      </c>
    </row>
    <row r="338" spans="1:14" x14ac:dyDescent="0.2">
      <c r="A338" s="21">
        <f t="shared" si="20"/>
        <v>332</v>
      </c>
      <c r="B338" s="16" t="s">
        <v>413</v>
      </c>
      <c r="C338" s="16">
        <v>2002</v>
      </c>
      <c r="D338" s="16" t="s">
        <v>18</v>
      </c>
      <c r="E338" s="16" t="s">
        <v>278</v>
      </c>
      <c r="F338" s="16" t="s">
        <v>41</v>
      </c>
      <c r="G338" s="16">
        <v>4902</v>
      </c>
      <c r="H338" s="20">
        <v>1</v>
      </c>
      <c r="I338" s="21">
        <f t="shared" si="21"/>
        <v>332</v>
      </c>
      <c r="J338" s="22" t="str">
        <f t="shared" si="22"/>
        <v>Junior v roce 2026</v>
      </c>
      <c r="K338" s="22" t="str">
        <f t="shared" si="23"/>
        <v>Junior v roce 2027</v>
      </c>
      <c r="L338"/>
      <c r="M338"/>
      <c r="N338" t="str">
        <f>IF(ISERROR(VLOOKUP(B338,'[1]Zebrik W'!$B$7:$M$1000,12,0)),"",IF(VLOOKUP(B338,'[1]Zebrik W'!$B$7:$M$1000,12,0)=0,"--",VLOOKUP(B338,'[1]Zebrik W'!$B$7:$M$1000,12,0)))</f>
        <v/>
      </c>
    </row>
    <row r="339" spans="1:14" x14ac:dyDescent="0.2">
      <c r="A339" s="21">
        <f t="shared" si="20"/>
        <v>333</v>
      </c>
      <c r="B339" s="16" t="s">
        <v>414</v>
      </c>
      <c r="C339" s="16">
        <v>1964</v>
      </c>
      <c r="D339" s="16" t="s">
        <v>18</v>
      </c>
      <c r="E339" s="16" t="s">
        <v>191</v>
      </c>
      <c r="F339" s="16" t="s">
        <v>24</v>
      </c>
      <c r="G339" s="16">
        <v>4876</v>
      </c>
      <c r="H339" s="20">
        <v>2</v>
      </c>
      <c r="I339" s="21">
        <f t="shared" si="21"/>
        <v>333</v>
      </c>
      <c r="J339" s="22" t="str">
        <f t="shared" si="22"/>
        <v/>
      </c>
      <c r="K339" s="22" t="str">
        <f t="shared" si="23"/>
        <v/>
      </c>
      <c r="L339"/>
      <c r="M339"/>
      <c r="N339" t="str">
        <f>IF(ISERROR(VLOOKUP(B339,'[1]Zebrik W'!$B$7:$M$1000,12,0)),"",IF(VLOOKUP(B339,'[1]Zebrik W'!$B$7:$M$1000,12,0)=0,"--",VLOOKUP(B339,'[1]Zebrik W'!$B$7:$M$1000,12,0)))</f>
        <v/>
      </c>
    </row>
    <row r="340" spans="1:14" x14ac:dyDescent="0.2">
      <c r="A340" s="21">
        <f t="shared" si="20"/>
        <v>334</v>
      </c>
      <c r="B340" s="16" t="s">
        <v>415</v>
      </c>
      <c r="C340" s="16">
        <v>2006</v>
      </c>
      <c r="D340" s="16" t="s">
        <v>18</v>
      </c>
      <c r="E340" s="16" t="s">
        <v>31</v>
      </c>
      <c r="F340" s="16" t="s">
        <v>24</v>
      </c>
      <c r="G340" s="16">
        <v>4858</v>
      </c>
      <c r="H340" s="20">
        <v>2</v>
      </c>
      <c r="I340" s="21">
        <f t="shared" si="21"/>
        <v>334</v>
      </c>
      <c r="J340" s="22" t="str">
        <f t="shared" si="22"/>
        <v>Junior v roce 2026</v>
      </c>
      <c r="K340" s="22" t="str">
        <f t="shared" si="23"/>
        <v>Junior v roce 2027</v>
      </c>
      <c r="L340"/>
      <c r="M340"/>
      <c r="N340" t="str">
        <f>IF(ISERROR(VLOOKUP(B340,'[1]Zebrik W'!$B$7:$M$1000,12,0)),"",IF(VLOOKUP(B340,'[1]Zebrik W'!$B$7:$M$1000,12,0)=0,"--",VLOOKUP(B340,'[1]Zebrik W'!$B$7:$M$1000,12,0)))</f>
        <v/>
      </c>
    </row>
    <row r="341" spans="1:14" x14ac:dyDescent="0.2">
      <c r="A341" s="21">
        <f t="shared" si="20"/>
        <v>335</v>
      </c>
      <c r="B341" s="16" t="s">
        <v>416</v>
      </c>
      <c r="C341" s="16">
        <v>1975</v>
      </c>
      <c r="D341" s="16" t="s">
        <v>18</v>
      </c>
      <c r="E341" s="16" t="s">
        <v>278</v>
      </c>
      <c r="F341" s="16" t="s">
        <v>41</v>
      </c>
      <c r="G341" s="16">
        <v>4849</v>
      </c>
      <c r="H341" s="20">
        <v>1</v>
      </c>
      <c r="I341" s="21">
        <f t="shared" si="21"/>
        <v>335</v>
      </c>
      <c r="J341" s="22" t="str">
        <f t="shared" si="22"/>
        <v/>
      </c>
      <c r="K341" s="22" t="str">
        <f t="shared" si="23"/>
        <v/>
      </c>
      <c r="L341"/>
      <c r="M341"/>
      <c r="N341" t="str">
        <f>IF(ISERROR(VLOOKUP(B341,'[1]Zebrik W'!$B$7:$M$1000,12,0)),"",IF(VLOOKUP(B341,'[1]Zebrik W'!$B$7:$M$1000,12,0)=0,"--",VLOOKUP(B341,'[1]Zebrik W'!$B$7:$M$1000,12,0)))</f>
        <v/>
      </c>
    </row>
    <row r="342" spans="1:14" x14ac:dyDescent="0.2">
      <c r="A342" s="21">
        <f t="shared" si="20"/>
        <v>336</v>
      </c>
      <c r="B342" s="16" t="s">
        <v>417</v>
      </c>
      <c r="C342" s="16">
        <v>2004</v>
      </c>
      <c r="D342" s="16" t="s">
        <v>18</v>
      </c>
      <c r="E342" s="16" t="s">
        <v>27</v>
      </c>
      <c r="F342" s="16" t="s">
        <v>20</v>
      </c>
      <c r="G342" s="16">
        <v>4846</v>
      </c>
      <c r="H342" s="20">
        <v>1</v>
      </c>
      <c r="I342" s="21">
        <f t="shared" si="21"/>
        <v>336</v>
      </c>
      <c r="J342" s="22" t="str">
        <f t="shared" si="22"/>
        <v>Junior v roce 2026</v>
      </c>
      <c r="K342" s="22" t="str">
        <f t="shared" si="23"/>
        <v>Junior v roce 2027</v>
      </c>
      <c r="L342"/>
      <c r="M342"/>
      <c r="N342" t="str">
        <f>IF(ISERROR(VLOOKUP(B342,'[1]Zebrik W'!$B$7:$M$1000,12,0)),"",IF(VLOOKUP(B342,'[1]Zebrik W'!$B$7:$M$1000,12,0)=0,"--",VLOOKUP(B342,'[1]Zebrik W'!$B$7:$M$1000,12,0)))</f>
        <v/>
      </c>
    </row>
    <row r="343" spans="1:14" x14ac:dyDescent="0.2">
      <c r="A343" s="21">
        <f t="shared" si="20"/>
        <v>337</v>
      </c>
      <c r="B343" s="16" t="s">
        <v>418</v>
      </c>
      <c r="C343" s="16">
        <v>1972</v>
      </c>
      <c r="D343" s="16" t="s">
        <v>18</v>
      </c>
      <c r="E343" s="16" t="s">
        <v>344</v>
      </c>
      <c r="F343" s="16" t="s">
        <v>41</v>
      </c>
      <c r="G343" s="16">
        <v>4796</v>
      </c>
      <c r="H343" s="20">
        <v>1</v>
      </c>
      <c r="I343" s="21">
        <f t="shared" si="21"/>
        <v>337</v>
      </c>
      <c r="J343" s="22" t="str">
        <f t="shared" si="22"/>
        <v/>
      </c>
      <c r="K343" s="22" t="str">
        <f t="shared" si="23"/>
        <v/>
      </c>
      <c r="L343"/>
      <c r="M343"/>
      <c r="N343" t="str">
        <f>IF(ISERROR(VLOOKUP(B343,'[1]Zebrik W'!$B$7:$M$1000,12,0)),"",IF(VLOOKUP(B343,'[1]Zebrik W'!$B$7:$M$1000,12,0)=0,"--",VLOOKUP(B343,'[1]Zebrik W'!$B$7:$M$1000,12,0)))</f>
        <v/>
      </c>
    </row>
    <row r="344" spans="1:14" x14ac:dyDescent="0.2">
      <c r="A344" s="21">
        <f t="shared" si="20"/>
        <v>338</v>
      </c>
      <c r="B344" s="16" t="s">
        <v>419</v>
      </c>
      <c r="C344" s="16">
        <v>1972</v>
      </c>
      <c r="D344" s="16" t="s">
        <v>18</v>
      </c>
      <c r="E344" s="16" t="s">
        <v>157</v>
      </c>
      <c r="F344" s="16" t="s">
        <v>24</v>
      </c>
      <c r="G344" s="16">
        <v>4787</v>
      </c>
      <c r="H344" s="20">
        <v>1</v>
      </c>
      <c r="I344" s="21">
        <f t="shared" si="21"/>
        <v>338</v>
      </c>
      <c r="J344" s="22" t="str">
        <f t="shared" si="22"/>
        <v/>
      </c>
      <c r="K344" s="22" t="str">
        <f t="shared" si="23"/>
        <v/>
      </c>
      <c r="L344"/>
      <c r="M344"/>
      <c r="N344" t="str">
        <f>IF(ISERROR(VLOOKUP(B344,'[1]Zebrik W'!$B$7:$M$1000,12,0)),"",IF(VLOOKUP(B344,'[1]Zebrik W'!$B$7:$M$1000,12,0)=0,"--",VLOOKUP(B344,'[1]Zebrik W'!$B$7:$M$1000,12,0)))</f>
        <v/>
      </c>
    </row>
    <row r="345" spans="1:14" x14ac:dyDescent="0.2">
      <c r="A345" s="21">
        <f t="shared" si="20"/>
        <v>339</v>
      </c>
      <c r="B345" s="16" t="s">
        <v>420</v>
      </c>
      <c r="C345" s="16">
        <v>1990</v>
      </c>
      <c r="D345" s="16" t="s">
        <v>18</v>
      </c>
      <c r="E345" s="16" t="s">
        <v>29</v>
      </c>
      <c r="F345" s="16" t="s">
        <v>24</v>
      </c>
      <c r="G345" s="16">
        <v>4749</v>
      </c>
      <c r="H345" s="20">
        <v>1</v>
      </c>
      <c r="I345" s="21">
        <f t="shared" si="21"/>
        <v>339</v>
      </c>
      <c r="J345" s="22" t="str">
        <f t="shared" si="22"/>
        <v/>
      </c>
      <c r="K345" s="22" t="str">
        <f t="shared" si="23"/>
        <v/>
      </c>
      <c r="L345"/>
      <c r="M345"/>
      <c r="N345" t="str">
        <f>IF(ISERROR(VLOOKUP(B345,'[1]Zebrik W'!$B$7:$M$1000,12,0)),"",IF(VLOOKUP(B345,'[1]Zebrik W'!$B$7:$M$1000,12,0)=0,"--",VLOOKUP(B345,'[1]Zebrik W'!$B$7:$M$1000,12,0)))</f>
        <v/>
      </c>
    </row>
    <row r="346" spans="1:14" x14ac:dyDescent="0.2">
      <c r="A346" s="21">
        <f t="shared" si="20"/>
        <v>340</v>
      </c>
      <c r="B346" s="16" t="s">
        <v>421</v>
      </c>
      <c r="C346" s="16">
        <v>1988</v>
      </c>
      <c r="D346" s="16" t="s">
        <v>18</v>
      </c>
      <c r="E346" s="16" t="s">
        <v>19</v>
      </c>
      <c r="F346" s="16" t="s">
        <v>20</v>
      </c>
      <c r="G346" s="16">
        <v>4745</v>
      </c>
      <c r="H346" s="20">
        <v>1</v>
      </c>
      <c r="I346" s="21">
        <f t="shared" si="21"/>
        <v>340</v>
      </c>
      <c r="J346" s="22" t="str">
        <f t="shared" si="22"/>
        <v/>
      </c>
      <c r="K346" s="22" t="str">
        <f t="shared" si="23"/>
        <v/>
      </c>
      <c r="L346"/>
      <c r="M346"/>
      <c r="N346" t="str">
        <f>IF(ISERROR(VLOOKUP(B346,'[1]Zebrik W'!$B$7:$M$1000,12,0)),"",IF(VLOOKUP(B346,'[1]Zebrik W'!$B$7:$M$1000,12,0)=0,"--",VLOOKUP(B346,'[1]Zebrik W'!$B$7:$M$1000,12,0)))</f>
        <v/>
      </c>
    </row>
    <row r="347" spans="1:14" x14ac:dyDescent="0.2">
      <c r="A347" s="21">
        <f t="shared" si="20"/>
        <v>341</v>
      </c>
      <c r="B347" s="16" t="s">
        <v>422</v>
      </c>
      <c r="C347" s="16">
        <v>1965</v>
      </c>
      <c r="D347" s="16" t="s">
        <v>18</v>
      </c>
      <c r="E347" s="16" t="s">
        <v>103</v>
      </c>
      <c r="F347" s="16" t="s">
        <v>41</v>
      </c>
      <c r="G347" s="16">
        <v>4708</v>
      </c>
      <c r="H347" s="20">
        <v>1</v>
      </c>
      <c r="I347" s="21">
        <f t="shared" si="21"/>
        <v>341</v>
      </c>
      <c r="J347" s="22" t="str">
        <f t="shared" si="22"/>
        <v/>
      </c>
      <c r="K347" s="22" t="str">
        <f t="shared" si="23"/>
        <v/>
      </c>
      <c r="L347"/>
      <c r="M347"/>
      <c r="N347" t="str">
        <f>IF(ISERROR(VLOOKUP(B347,'[1]Zebrik W'!$B$7:$M$1000,12,0)),"",IF(VLOOKUP(B347,'[1]Zebrik W'!$B$7:$M$1000,12,0)=0,"--",VLOOKUP(B347,'[1]Zebrik W'!$B$7:$M$1000,12,0)))</f>
        <v/>
      </c>
    </row>
    <row r="348" spans="1:14" x14ac:dyDescent="0.2">
      <c r="A348" s="21">
        <f t="shared" si="20"/>
        <v>342</v>
      </c>
      <c r="B348" s="16" t="s">
        <v>423</v>
      </c>
      <c r="C348" s="16">
        <v>1986</v>
      </c>
      <c r="D348" s="16" t="s">
        <v>18</v>
      </c>
      <c r="E348" s="16" t="s">
        <v>23</v>
      </c>
      <c r="F348" s="16" t="s">
        <v>24</v>
      </c>
      <c r="G348" s="16">
        <v>4706</v>
      </c>
      <c r="H348" s="20">
        <v>1</v>
      </c>
      <c r="I348" s="21">
        <f t="shared" si="21"/>
        <v>342</v>
      </c>
      <c r="J348" s="22" t="str">
        <f t="shared" si="22"/>
        <v/>
      </c>
      <c r="K348" s="22" t="str">
        <f t="shared" si="23"/>
        <v/>
      </c>
      <c r="L348"/>
      <c r="M348"/>
      <c r="N348" t="str">
        <f>IF(ISERROR(VLOOKUP(B348,'[1]Zebrik W'!$B$7:$M$1000,12,0)),"",IF(VLOOKUP(B348,'[1]Zebrik W'!$B$7:$M$1000,12,0)=0,"--",VLOOKUP(B348,'[1]Zebrik W'!$B$7:$M$1000,12,0)))</f>
        <v/>
      </c>
    </row>
    <row r="349" spans="1:14" x14ac:dyDescent="0.2">
      <c r="A349" s="21">
        <f t="shared" si="20"/>
        <v>343</v>
      </c>
      <c r="B349" s="16" t="s">
        <v>424</v>
      </c>
      <c r="C349" s="16">
        <v>1985</v>
      </c>
      <c r="D349" s="16" t="s">
        <v>18</v>
      </c>
      <c r="E349" s="16" t="s">
        <v>93</v>
      </c>
      <c r="F349" s="16" t="s">
        <v>24</v>
      </c>
      <c r="G349" s="16">
        <v>4669</v>
      </c>
      <c r="H349" s="20">
        <v>1</v>
      </c>
      <c r="I349" s="21">
        <f t="shared" si="21"/>
        <v>343</v>
      </c>
      <c r="J349" s="22" t="str">
        <f t="shared" si="22"/>
        <v/>
      </c>
      <c r="K349" s="22" t="str">
        <f t="shared" si="23"/>
        <v/>
      </c>
      <c r="L349"/>
      <c r="M349"/>
      <c r="N349" t="str">
        <f>IF(ISERROR(VLOOKUP(B349,'[1]Zebrik W'!$B$7:$M$1000,12,0)),"",IF(VLOOKUP(B349,'[1]Zebrik W'!$B$7:$M$1000,12,0)=0,"--",VLOOKUP(B349,'[1]Zebrik W'!$B$7:$M$1000,12,0)))</f>
        <v/>
      </c>
    </row>
    <row r="350" spans="1:14" x14ac:dyDescent="0.2">
      <c r="A350" s="21">
        <f t="shared" si="20"/>
        <v>344</v>
      </c>
      <c r="B350" s="16" t="s">
        <v>425</v>
      </c>
      <c r="C350" s="16">
        <v>1964</v>
      </c>
      <c r="D350" s="16" t="s">
        <v>18</v>
      </c>
      <c r="E350" s="16" t="s">
        <v>78</v>
      </c>
      <c r="F350" s="16" t="s">
        <v>41</v>
      </c>
      <c r="G350" s="16">
        <v>4626</v>
      </c>
      <c r="H350" s="20">
        <v>3</v>
      </c>
      <c r="I350" s="21">
        <f t="shared" si="21"/>
        <v>344</v>
      </c>
      <c r="J350" s="22" t="str">
        <f t="shared" si="22"/>
        <v/>
      </c>
      <c r="K350" s="22" t="str">
        <f t="shared" si="23"/>
        <v/>
      </c>
      <c r="L350"/>
      <c r="M350"/>
      <c r="N350" t="str">
        <f>IF(ISERROR(VLOOKUP(B350,'[1]Zebrik W'!$B$7:$M$1000,12,0)),"",IF(VLOOKUP(B350,'[1]Zebrik W'!$B$7:$M$1000,12,0)=0,"--",VLOOKUP(B350,'[1]Zebrik W'!$B$7:$M$1000,12,0)))</f>
        <v/>
      </c>
    </row>
    <row r="351" spans="1:14" x14ac:dyDescent="0.2">
      <c r="A351" s="21">
        <f t="shared" si="20"/>
        <v>345</v>
      </c>
      <c r="B351" s="16" t="s">
        <v>426</v>
      </c>
      <c r="C351" s="16">
        <v>1972</v>
      </c>
      <c r="D351" s="16" t="s">
        <v>18</v>
      </c>
      <c r="E351" s="16" t="s">
        <v>111</v>
      </c>
      <c r="F351" s="16" t="s">
        <v>20</v>
      </c>
      <c r="G351" s="16">
        <v>4622</v>
      </c>
      <c r="H351" s="20">
        <v>2</v>
      </c>
      <c r="I351" s="21">
        <f t="shared" si="21"/>
        <v>345</v>
      </c>
      <c r="J351" s="22" t="str">
        <f t="shared" si="22"/>
        <v/>
      </c>
      <c r="K351" s="22" t="str">
        <f t="shared" si="23"/>
        <v/>
      </c>
      <c r="L351"/>
      <c r="M351"/>
      <c r="N351" t="str">
        <f>IF(ISERROR(VLOOKUP(B351,'[1]Zebrik W'!$B$7:$M$1000,12,0)),"",IF(VLOOKUP(B351,'[1]Zebrik W'!$B$7:$M$1000,12,0)=0,"--",VLOOKUP(B351,'[1]Zebrik W'!$B$7:$M$1000,12,0)))</f>
        <v/>
      </c>
    </row>
    <row r="352" spans="1:14" x14ac:dyDescent="0.2">
      <c r="A352" s="21">
        <f t="shared" si="20"/>
        <v>346</v>
      </c>
      <c r="B352" s="16" t="s">
        <v>427</v>
      </c>
      <c r="C352" s="16">
        <v>1993</v>
      </c>
      <c r="D352" s="16" t="s">
        <v>49</v>
      </c>
      <c r="E352" s="16" t="s">
        <v>59</v>
      </c>
      <c r="F352" s="16" t="s">
        <v>41</v>
      </c>
      <c r="G352" s="16">
        <v>4620</v>
      </c>
      <c r="H352" s="20">
        <v>2</v>
      </c>
      <c r="I352" s="21">
        <f t="shared" si="21"/>
        <v>346</v>
      </c>
      <c r="J352" s="22" t="str">
        <f t="shared" si="22"/>
        <v/>
      </c>
      <c r="K352" s="22" t="str">
        <f t="shared" si="23"/>
        <v/>
      </c>
      <c r="L352"/>
      <c r="M352"/>
      <c r="N352" t="str">
        <f>IF(ISERROR(VLOOKUP(B352,'[1]Zebrik W'!$B$7:$M$1000,12,0)),"",IF(VLOOKUP(B352,'[1]Zebrik W'!$B$7:$M$1000,12,0)=0,"--",VLOOKUP(B352,'[1]Zebrik W'!$B$7:$M$1000,12,0)))</f>
        <v>--</v>
      </c>
    </row>
    <row r="353" spans="1:14" x14ac:dyDescent="0.2">
      <c r="A353" s="21">
        <f t="shared" si="20"/>
        <v>347</v>
      </c>
      <c r="B353" s="16" t="s">
        <v>428</v>
      </c>
      <c r="C353" s="16">
        <v>1970</v>
      </c>
      <c r="D353" s="16" t="s">
        <v>18</v>
      </c>
      <c r="E353" s="16" t="s">
        <v>193</v>
      </c>
      <c r="F353" s="16" t="s">
        <v>24</v>
      </c>
      <c r="G353" s="16">
        <v>4605</v>
      </c>
      <c r="H353" s="20">
        <v>1</v>
      </c>
      <c r="I353" s="21">
        <f t="shared" si="21"/>
        <v>347</v>
      </c>
      <c r="J353" s="22" t="str">
        <f t="shared" si="22"/>
        <v/>
      </c>
      <c r="K353" s="22" t="str">
        <f t="shared" si="23"/>
        <v/>
      </c>
      <c r="L353"/>
      <c r="M353"/>
      <c r="N353" t="str">
        <f>IF(ISERROR(VLOOKUP(B353,'[1]Zebrik W'!$B$7:$M$1000,12,0)),"",IF(VLOOKUP(B353,'[1]Zebrik W'!$B$7:$M$1000,12,0)=0,"--",VLOOKUP(B353,'[1]Zebrik W'!$B$7:$M$1000,12,0)))</f>
        <v/>
      </c>
    </row>
    <row r="354" spans="1:14" x14ac:dyDescent="0.2">
      <c r="A354" s="21">
        <f t="shared" si="20"/>
        <v>348</v>
      </c>
      <c r="B354" s="16" t="s">
        <v>429</v>
      </c>
      <c r="C354" s="16">
        <v>1972</v>
      </c>
      <c r="D354" s="16" t="s">
        <v>18</v>
      </c>
      <c r="E354" s="16" t="s">
        <v>27</v>
      </c>
      <c r="F354" s="16" t="s">
        <v>20</v>
      </c>
      <c r="G354" s="16">
        <v>4576</v>
      </c>
      <c r="H354" s="20">
        <v>1</v>
      </c>
      <c r="I354" s="21">
        <f t="shared" si="21"/>
        <v>348</v>
      </c>
      <c r="J354" s="22" t="str">
        <f t="shared" si="22"/>
        <v/>
      </c>
      <c r="K354" s="22" t="str">
        <f t="shared" si="23"/>
        <v/>
      </c>
      <c r="L354"/>
      <c r="M354"/>
      <c r="N354" t="str">
        <f>IF(ISERROR(VLOOKUP(B354,'[1]Zebrik W'!$B$7:$M$1000,12,0)),"",IF(VLOOKUP(B354,'[1]Zebrik W'!$B$7:$M$1000,12,0)=0,"--",VLOOKUP(B354,'[1]Zebrik W'!$B$7:$M$1000,12,0)))</f>
        <v/>
      </c>
    </row>
    <row r="355" spans="1:14" x14ac:dyDescent="0.2">
      <c r="A355" s="21">
        <f t="shared" si="20"/>
        <v>349</v>
      </c>
      <c r="B355" s="16" t="s">
        <v>430</v>
      </c>
      <c r="C355" s="16">
        <v>1983</v>
      </c>
      <c r="D355" s="16" t="s">
        <v>18</v>
      </c>
      <c r="E355" s="16" t="s">
        <v>99</v>
      </c>
      <c r="F355" s="16" t="s">
        <v>24</v>
      </c>
      <c r="G355" s="16">
        <v>4478</v>
      </c>
      <c r="H355" s="20">
        <v>2</v>
      </c>
      <c r="I355" s="21">
        <f t="shared" si="21"/>
        <v>349</v>
      </c>
      <c r="J355" s="22" t="str">
        <f t="shared" si="22"/>
        <v/>
      </c>
      <c r="K355" s="22" t="str">
        <f t="shared" si="23"/>
        <v/>
      </c>
      <c r="L355"/>
      <c r="M355"/>
      <c r="N355" t="str">
        <f>IF(ISERROR(VLOOKUP(B355,'[1]Zebrik W'!$B$7:$M$1000,12,0)),"",IF(VLOOKUP(B355,'[1]Zebrik W'!$B$7:$M$1000,12,0)=0,"--",VLOOKUP(B355,'[1]Zebrik W'!$B$7:$M$1000,12,0)))</f>
        <v/>
      </c>
    </row>
    <row r="356" spans="1:14" x14ac:dyDescent="0.2">
      <c r="A356" s="21">
        <f t="shared" si="20"/>
        <v>350</v>
      </c>
      <c r="B356" s="16" t="s">
        <v>431</v>
      </c>
      <c r="C356" s="16">
        <v>1990</v>
      </c>
      <c r="D356" s="16" t="s">
        <v>18</v>
      </c>
      <c r="E356" s="16" t="s">
        <v>101</v>
      </c>
      <c r="F356" s="16" t="s">
        <v>20</v>
      </c>
      <c r="G356" s="16">
        <v>4476</v>
      </c>
      <c r="H356" s="20">
        <v>2</v>
      </c>
      <c r="I356" s="21">
        <f t="shared" si="21"/>
        <v>350</v>
      </c>
      <c r="J356" s="22" t="str">
        <f t="shared" si="22"/>
        <v/>
      </c>
      <c r="K356" s="22" t="str">
        <f t="shared" si="23"/>
        <v/>
      </c>
      <c r="L356"/>
      <c r="M356"/>
      <c r="N356" t="str">
        <f>IF(ISERROR(VLOOKUP(B356,'[1]Zebrik W'!$B$7:$M$1000,12,0)),"",IF(VLOOKUP(B356,'[1]Zebrik W'!$B$7:$M$1000,12,0)=0,"--",VLOOKUP(B356,'[1]Zebrik W'!$B$7:$M$1000,12,0)))</f>
        <v/>
      </c>
    </row>
    <row r="357" spans="1:14" x14ac:dyDescent="0.2">
      <c r="A357" s="21">
        <f t="shared" si="20"/>
        <v>351</v>
      </c>
      <c r="B357" s="16" t="s">
        <v>432</v>
      </c>
      <c r="C357" s="16">
        <v>1987</v>
      </c>
      <c r="D357" s="16" t="s">
        <v>18</v>
      </c>
      <c r="E357" s="16" t="s">
        <v>29</v>
      </c>
      <c r="F357" s="16" t="s">
        <v>24</v>
      </c>
      <c r="G357" s="16">
        <v>4433</v>
      </c>
      <c r="H357" s="20">
        <v>1</v>
      </c>
      <c r="I357" s="21">
        <f t="shared" si="21"/>
        <v>351</v>
      </c>
      <c r="J357" s="22" t="str">
        <f t="shared" si="22"/>
        <v/>
      </c>
      <c r="K357" s="22" t="str">
        <f t="shared" si="23"/>
        <v/>
      </c>
      <c r="L357"/>
      <c r="M357"/>
      <c r="N357" t="str">
        <f>IF(ISERROR(VLOOKUP(B357,'[1]Zebrik W'!$B$7:$M$1000,12,0)),"",IF(VLOOKUP(B357,'[1]Zebrik W'!$B$7:$M$1000,12,0)=0,"--",VLOOKUP(B357,'[1]Zebrik W'!$B$7:$M$1000,12,0)))</f>
        <v/>
      </c>
    </row>
    <row r="358" spans="1:14" x14ac:dyDescent="0.2">
      <c r="A358" s="21">
        <f t="shared" si="20"/>
        <v>352</v>
      </c>
      <c r="B358" s="16" t="s">
        <v>433</v>
      </c>
      <c r="C358" s="16">
        <v>1974</v>
      </c>
      <c r="D358" s="16" t="s">
        <v>18</v>
      </c>
      <c r="E358" s="16" t="s">
        <v>127</v>
      </c>
      <c r="F358" s="16" t="s">
        <v>41</v>
      </c>
      <c r="G358" s="16">
        <v>4427</v>
      </c>
      <c r="H358" s="20">
        <v>1</v>
      </c>
      <c r="I358" s="21">
        <f t="shared" si="21"/>
        <v>352</v>
      </c>
      <c r="J358" s="22" t="str">
        <f t="shared" si="22"/>
        <v/>
      </c>
      <c r="K358" s="22" t="str">
        <f t="shared" si="23"/>
        <v/>
      </c>
      <c r="L358"/>
      <c r="M358"/>
      <c r="N358" t="str">
        <f>IF(ISERROR(VLOOKUP(B358,'[1]Zebrik W'!$B$7:$M$1000,12,0)),"",IF(VLOOKUP(B358,'[1]Zebrik W'!$B$7:$M$1000,12,0)=0,"--",VLOOKUP(B358,'[1]Zebrik W'!$B$7:$M$1000,12,0)))</f>
        <v/>
      </c>
    </row>
    <row r="359" spans="1:14" x14ac:dyDescent="0.2">
      <c r="A359" s="21">
        <f t="shared" si="20"/>
        <v>353</v>
      </c>
      <c r="B359" s="16" t="s">
        <v>434</v>
      </c>
      <c r="C359" s="16">
        <v>1968</v>
      </c>
      <c r="D359" s="16" t="s">
        <v>18</v>
      </c>
      <c r="E359" s="16" t="s">
        <v>111</v>
      </c>
      <c r="F359" s="16" t="s">
        <v>20</v>
      </c>
      <c r="G359" s="16">
        <v>4406</v>
      </c>
      <c r="H359" s="20">
        <v>1</v>
      </c>
      <c r="I359" s="21">
        <f t="shared" si="21"/>
        <v>353</v>
      </c>
      <c r="J359" s="22" t="str">
        <f t="shared" si="22"/>
        <v/>
      </c>
      <c r="K359" s="22" t="str">
        <f t="shared" si="23"/>
        <v/>
      </c>
      <c r="L359"/>
      <c r="M359"/>
      <c r="N359" t="str">
        <f>IF(ISERROR(VLOOKUP(B359,'[1]Zebrik W'!$B$7:$M$1000,12,0)),"",IF(VLOOKUP(B359,'[1]Zebrik W'!$B$7:$M$1000,12,0)=0,"--",VLOOKUP(B359,'[1]Zebrik W'!$B$7:$M$1000,12,0)))</f>
        <v/>
      </c>
    </row>
    <row r="360" spans="1:14" x14ac:dyDescent="0.2">
      <c r="A360" s="21">
        <f t="shared" si="20"/>
        <v>353</v>
      </c>
      <c r="B360" s="16" t="s">
        <v>435</v>
      </c>
      <c r="C360" s="16">
        <v>1971</v>
      </c>
      <c r="D360" s="16" t="s">
        <v>18</v>
      </c>
      <c r="E360" s="16" t="s">
        <v>93</v>
      </c>
      <c r="F360" s="16" t="s">
        <v>24</v>
      </c>
      <c r="G360" s="16">
        <v>4406</v>
      </c>
      <c r="H360" s="20">
        <v>2</v>
      </c>
      <c r="I360" s="21">
        <f t="shared" si="21"/>
        <v>353</v>
      </c>
      <c r="J360" s="22" t="str">
        <f t="shared" si="22"/>
        <v/>
      </c>
      <c r="K360" s="22" t="str">
        <f t="shared" si="23"/>
        <v/>
      </c>
      <c r="L360"/>
      <c r="M360"/>
      <c r="N360" t="str">
        <f>IF(ISERROR(VLOOKUP(B360,'[1]Zebrik W'!$B$7:$M$1000,12,0)),"",IF(VLOOKUP(B360,'[1]Zebrik W'!$B$7:$M$1000,12,0)=0,"--",VLOOKUP(B360,'[1]Zebrik W'!$B$7:$M$1000,12,0)))</f>
        <v/>
      </c>
    </row>
    <row r="361" spans="1:14" x14ac:dyDescent="0.2">
      <c r="A361" s="21">
        <f t="shared" si="20"/>
        <v>355</v>
      </c>
      <c r="B361" s="16" t="s">
        <v>436</v>
      </c>
      <c r="C361" s="16">
        <v>1974</v>
      </c>
      <c r="D361" s="16" t="s">
        <v>18</v>
      </c>
      <c r="E361" s="16" t="s">
        <v>278</v>
      </c>
      <c r="F361" s="16" t="s">
        <v>41</v>
      </c>
      <c r="G361" s="16">
        <v>4392</v>
      </c>
      <c r="H361" s="20">
        <v>1</v>
      </c>
      <c r="I361" s="21">
        <f t="shared" si="21"/>
        <v>355</v>
      </c>
      <c r="J361" s="22" t="str">
        <f t="shared" si="22"/>
        <v/>
      </c>
      <c r="K361" s="22" t="str">
        <f t="shared" si="23"/>
        <v/>
      </c>
      <c r="L361"/>
      <c r="M361"/>
      <c r="N361" t="str">
        <f>IF(ISERROR(VLOOKUP(B361,'[1]Zebrik W'!$B$7:$M$1000,12,0)),"",IF(VLOOKUP(B361,'[1]Zebrik W'!$B$7:$M$1000,12,0)=0,"--",VLOOKUP(B361,'[1]Zebrik W'!$B$7:$M$1000,12,0)))</f>
        <v/>
      </c>
    </row>
    <row r="362" spans="1:14" x14ac:dyDescent="0.2">
      <c r="A362" s="21">
        <f t="shared" si="20"/>
        <v>356</v>
      </c>
      <c r="B362" s="16" t="s">
        <v>437</v>
      </c>
      <c r="C362" s="16">
        <v>2007</v>
      </c>
      <c r="D362" s="16" t="s">
        <v>18</v>
      </c>
      <c r="E362" s="16" t="s">
        <v>29</v>
      </c>
      <c r="F362" s="16" t="s">
        <v>24</v>
      </c>
      <c r="G362" s="16">
        <v>4387</v>
      </c>
      <c r="H362" s="20">
        <v>1</v>
      </c>
      <c r="I362" s="21">
        <f t="shared" si="21"/>
        <v>356</v>
      </c>
      <c r="J362" s="22" t="str">
        <f t="shared" si="22"/>
        <v>Junior v roce 2026</v>
      </c>
      <c r="K362" s="22" t="str">
        <f t="shared" si="23"/>
        <v>Junior v roce 2027</v>
      </c>
      <c r="L362"/>
      <c r="M362"/>
      <c r="N362" t="str">
        <f>IF(ISERROR(VLOOKUP(B362,'[1]Zebrik W'!$B$7:$M$1000,12,0)),"",IF(VLOOKUP(B362,'[1]Zebrik W'!$B$7:$M$1000,12,0)=0,"--",VLOOKUP(B362,'[1]Zebrik W'!$B$7:$M$1000,12,0)))</f>
        <v/>
      </c>
    </row>
    <row r="363" spans="1:14" x14ac:dyDescent="0.2">
      <c r="A363" s="21">
        <f t="shared" si="20"/>
        <v>357</v>
      </c>
      <c r="B363" s="16" t="s">
        <v>438</v>
      </c>
      <c r="C363" s="16">
        <v>1993</v>
      </c>
      <c r="D363" s="16" t="s">
        <v>18</v>
      </c>
      <c r="E363" s="16" t="s">
        <v>111</v>
      </c>
      <c r="F363" s="16" t="s">
        <v>20</v>
      </c>
      <c r="G363" s="16">
        <v>4297</v>
      </c>
      <c r="H363" s="20">
        <v>2</v>
      </c>
      <c r="I363" s="21">
        <f t="shared" si="21"/>
        <v>357</v>
      </c>
      <c r="J363" s="22" t="str">
        <f t="shared" si="22"/>
        <v/>
      </c>
      <c r="K363" s="22" t="str">
        <f t="shared" si="23"/>
        <v/>
      </c>
      <c r="L363"/>
      <c r="M363"/>
      <c r="N363" t="str">
        <f>IF(ISERROR(VLOOKUP(B363,'[1]Zebrik W'!$B$7:$M$1000,12,0)),"",IF(VLOOKUP(B363,'[1]Zebrik W'!$B$7:$M$1000,12,0)=0,"--",VLOOKUP(B363,'[1]Zebrik W'!$B$7:$M$1000,12,0)))</f>
        <v/>
      </c>
    </row>
    <row r="364" spans="1:14" x14ac:dyDescent="0.2">
      <c r="A364" s="21">
        <f t="shared" si="20"/>
        <v>358</v>
      </c>
      <c r="B364" s="16" t="s">
        <v>439</v>
      </c>
      <c r="C364" s="16">
        <v>1972</v>
      </c>
      <c r="D364" s="16" t="s">
        <v>18</v>
      </c>
      <c r="E364" s="16" t="s">
        <v>57</v>
      </c>
      <c r="F364" s="16" t="s">
        <v>24</v>
      </c>
      <c r="G364" s="16">
        <v>4243</v>
      </c>
      <c r="H364" s="20">
        <v>1</v>
      </c>
      <c r="I364" s="21">
        <f t="shared" si="21"/>
        <v>358</v>
      </c>
      <c r="J364" s="22" t="str">
        <f t="shared" si="22"/>
        <v/>
      </c>
      <c r="K364" s="22" t="str">
        <f t="shared" si="23"/>
        <v/>
      </c>
      <c r="L364"/>
      <c r="M364"/>
      <c r="N364" t="str">
        <f>IF(ISERROR(VLOOKUP(B364,'[1]Zebrik W'!$B$7:$M$1000,12,0)),"",IF(VLOOKUP(B364,'[1]Zebrik W'!$B$7:$M$1000,12,0)=0,"--",VLOOKUP(B364,'[1]Zebrik W'!$B$7:$M$1000,12,0)))</f>
        <v/>
      </c>
    </row>
    <row r="365" spans="1:14" x14ac:dyDescent="0.2">
      <c r="A365" s="21">
        <f t="shared" si="20"/>
        <v>359</v>
      </c>
      <c r="B365" s="16" t="s">
        <v>440</v>
      </c>
      <c r="C365" s="16">
        <v>2003</v>
      </c>
      <c r="D365" s="16" t="s">
        <v>18</v>
      </c>
      <c r="E365" s="16" t="s">
        <v>73</v>
      </c>
      <c r="F365" s="16" t="s">
        <v>20</v>
      </c>
      <c r="G365" s="16">
        <v>4219</v>
      </c>
      <c r="H365" s="20">
        <v>1</v>
      </c>
      <c r="I365" s="21">
        <f t="shared" si="21"/>
        <v>359</v>
      </c>
      <c r="J365" s="22" t="str">
        <f t="shared" si="22"/>
        <v>Junior v roce 2026</v>
      </c>
      <c r="K365" s="22" t="str">
        <f t="shared" si="23"/>
        <v>Junior v roce 2027</v>
      </c>
      <c r="L365"/>
      <c r="M365"/>
      <c r="N365" t="str">
        <f>IF(ISERROR(VLOOKUP(B365,'[1]Zebrik W'!$B$7:$M$1000,12,0)),"",IF(VLOOKUP(B365,'[1]Zebrik W'!$B$7:$M$1000,12,0)=0,"--",VLOOKUP(B365,'[1]Zebrik W'!$B$7:$M$1000,12,0)))</f>
        <v/>
      </c>
    </row>
    <row r="366" spans="1:14" x14ac:dyDescent="0.2">
      <c r="A366" s="21">
        <f t="shared" si="20"/>
        <v>360</v>
      </c>
      <c r="B366" s="16" t="s">
        <v>441</v>
      </c>
      <c r="C366" s="16">
        <v>1972</v>
      </c>
      <c r="D366" s="16" t="s">
        <v>18</v>
      </c>
      <c r="E366" s="16" t="s">
        <v>155</v>
      </c>
      <c r="F366" s="16" t="s">
        <v>41</v>
      </c>
      <c r="G366" s="16">
        <v>4217</v>
      </c>
      <c r="H366" s="20">
        <v>1</v>
      </c>
      <c r="I366" s="21">
        <f t="shared" si="21"/>
        <v>360</v>
      </c>
      <c r="J366" s="22" t="str">
        <f t="shared" si="22"/>
        <v/>
      </c>
      <c r="K366" s="22" t="str">
        <f t="shared" si="23"/>
        <v/>
      </c>
      <c r="L366"/>
      <c r="M366"/>
      <c r="N366" t="str">
        <f>IF(ISERROR(VLOOKUP(B366,'[1]Zebrik W'!$B$7:$M$1000,12,0)),"",IF(VLOOKUP(B366,'[1]Zebrik W'!$B$7:$M$1000,12,0)=0,"--",VLOOKUP(B366,'[1]Zebrik W'!$B$7:$M$1000,12,0)))</f>
        <v/>
      </c>
    </row>
    <row r="367" spans="1:14" x14ac:dyDescent="0.2">
      <c r="A367" s="21">
        <f t="shared" si="20"/>
        <v>361</v>
      </c>
      <c r="B367" s="16" t="s">
        <v>442</v>
      </c>
      <c r="C367" s="16">
        <v>1942</v>
      </c>
      <c r="D367" s="16" t="s">
        <v>18</v>
      </c>
      <c r="E367" s="16" t="s">
        <v>71</v>
      </c>
      <c r="F367" s="16" t="s">
        <v>41</v>
      </c>
      <c r="G367" s="16">
        <v>4171</v>
      </c>
      <c r="H367" s="20">
        <v>3</v>
      </c>
      <c r="I367" s="21">
        <f t="shared" si="21"/>
        <v>361</v>
      </c>
      <c r="J367" s="22" t="str">
        <f t="shared" si="22"/>
        <v/>
      </c>
      <c r="K367" s="22" t="str">
        <f t="shared" si="23"/>
        <v/>
      </c>
      <c r="L367"/>
      <c r="M367"/>
      <c r="N367" t="str">
        <f>IF(ISERROR(VLOOKUP(B367,'[1]Zebrik W'!$B$7:$M$1000,12,0)),"",IF(VLOOKUP(B367,'[1]Zebrik W'!$B$7:$M$1000,12,0)=0,"--",VLOOKUP(B367,'[1]Zebrik W'!$B$7:$M$1000,12,0)))</f>
        <v/>
      </c>
    </row>
    <row r="368" spans="1:14" x14ac:dyDescent="0.2">
      <c r="A368" s="21">
        <f t="shared" si="20"/>
        <v>362</v>
      </c>
      <c r="B368" s="16" t="s">
        <v>443</v>
      </c>
      <c r="C368" s="16">
        <v>1971</v>
      </c>
      <c r="D368" s="16" t="s">
        <v>18</v>
      </c>
      <c r="E368" s="16" t="s">
        <v>124</v>
      </c>
      <c r="F368" s="16" t="s">
        <v>41</v>
      </c>
      <c r="G368" s="16">
        <v>4107</v>
      </c>
      <c r="H368" s="20">
        <v>2</v>
      </c>
      <c r="I368" s="21">
        <f t="shared" si="21"/>
        <v>362</v>
      </c>
      <c r="J368" s="22" t="str">
        <f t="shared" si="22"/>
        <v/>
      </c>
      <c r="K368" s="22" t="str">
        <f t="shared" si="23"/>
        <v/>
      </c>
      <c r="L368"/>
      <c r="M368"/>
      <c r="N368" t="str">
        <f>IF(ISERROR(VLOOKUP(B368,'[1]Zebrik W'!$B$7:$M$1000,12,0)),"",IF(VLOOKUP(B368,'[1]Zebrik W'!$B$7:$M$1000,12,0)=0,"--",VLOOKUP(B368,'[1]Zebrik W'!$B$7:$M$1000,12,0)))</f>
        <v/>
      </c>
    </row>
    <row r="369" spans="1:14" x14ac:dyDescent="0.2">
      <c r="A369" s="21">
        <f t="shared" si="20"/>
        <v>363</v>
      </c>
      <c r="B369" s="16" t="s">
        <v>444</v>
      </c>
      <c r="C369" s="16">
        <v>1990</v>
      </c>
      <c r="D369" s="16" t="s">
        <v>18</v>
      </c>
      <c r="E369" s="16" t="s">
        <v>101</v>
      </c>
      <c r="F369" s="16" t="s">
        <v>20</v>
      </c>
      <c r="G369" s="16">
        <v>3997</v>
      </c>
      <c r="H369" s="20">
        <v>2</v>
      </c>
      <c r="I369" s="21">
        <f t="shared" si="21"/>
        <v>363</v>
      </c>
      <c r="J369" s="22" t="str">
        <f t="shared" si="22"/>
        <v/>
      </c>
      <c r="K369" s="22" t="str">
        <f t="shared" si="23"/>
        <v/>
      </c>
      <c r="L369"/>
      <c r="M369"/>
      <c r="N369" t="str">
        <f>IF(ISERROR(VLOOKUP(B369,'[1]Zebrik W'!$B$7:$M$1000,12,0)),"",IF(VLOOKUP(B369,'[1]Zebrik W'!$B$7:$M$1000,12,0)=0,"--",VLOOKUP(B369,'[1]Zebrik W'!$B$7:$M$1000,12,0)))</f>
        <v/>
      </c>
    </row>
    <row r="370" spans="1:14" x14ac:dyDescent="0.2">
      <c r="A370" s="21">
        <f t="shared" si="20"/>
        <v>364</v>
      </c>
      <c r="B370" s="16" t="s">
        <v>445</v>
      </c>
      <c r="C370" s="16">
        <v>1988</v>
      </c>
      <c r="D370" s="16" t="s">
        <v>18</v>
      </c>
      <c r="E370" s="16" t="s">
        <v>122</v>
      </c>
      <c r="F370" s="16" t="s">
        <v>24</v>
      </c>
      <c r="G370" s="16">
        <v>3994</v>
      </c>
      <c r="H370" s="20">
        <v>1</v>
      </c>
      <c r="I370" s="21">
        <f t="shared" si="21"/>
        <v>364</v>
      </c>
      <c r="J370" s="22" t="str">
        <f t="shared" si="22"/>
        <v/>
      </c>
      <c r="K370" s="22" t="str">
        <f t="shared" si="23"/>
        <v/>
      </c>
      <c r="L370"/>
      <c r="M370"/>
      <c r="N370" t="str">
        <f>IF(ISERROR(VLOOKUP(B370,'[1]Zebrik W'!$B$7:$M$1000,12,0)),"",IF(VLOOKUP(B370,'[1]Zebrik W'!$B$7:$M$1000,12,0)=0,"--",VLOOKUP(B370,'[1]Zebrik W'!$B$7:$M$1000,12,0)))</f>
        <v/>
      </c>
    </row>
    <row r="371" spans="1:14" x14ac:dyDescent="0.2">
      <c r="A371" s="21">
        <f t="shared" si="20"/>
        <v>365</v>
      </c>
      <c r="B371" s="16" t="s">
        <v>446</v>
      </c>
      <c r="C371" s="16">
        <v>2004</v>
      </c>
      <c r="D371" s="16" t="s">
        <v>49</v>
      </c>
      <c r="E371" s="16" t="s">
        <v>57</v>
      </c>
      <c r="F371" s="16" t="s">
        <v>24</v>
      </c>
      <c r="G371" s="16">
        <v>3979</v>
      </c>
      <c r="H371" s="20">
        <v>1</v>
      </c>
      <c r="I371" s="21">
        <f t="shared" si="21"/>
        <v>365</v>
      </c>
      <c r="J371" s="22" t="str">
        <f t="shared" si="22"/>
        <v>Junior v roce 2026</v>
      </c>
      <c r="K371" s="22" t="str">
        <f t="shared" si="23"/>
        <v>Junior v roce 2027</v>
      </c>
      <c r="L371"/>
      <c r="M371"/>
      <c r="N371" t="str">
        <f>IF(ISERROR(VLOOKUP(B371,'[1]Zebrik W'!$B$7:$M$1000,12,0)),"",IF(VLOOKUP(B371,'[1]Zebrik W'!$B$7:$M$1000,12,0)=0,"--",VLOOKUP(B371,'[1]Zebrik W'!$B$7:$M$1000,12,0)))</f>
        <v>--</v>
      </c>
    </row>
    <row r="372" spans="1:14" x14ac:dyDescent="0.2">
      <c r="A372" s="21">
        <f t="shared" si="20"/>
        <v>366</v>
      </c>
      <c r="B372" s="16" t="s">
        <v>447</v>
      </c>
      <c r="C372" s="16">
        <v>1968</v>
      </c>
      <c r="D372" s="16" t="s">
        <v>18</v>
      </c>
      <c r="E372" s="16" t="s">
        <v>29</v>
      </c>
      <c r="F372" s="16" t="s">
        <v>24</v>
      </c>
      <c r="G372" s="16">
        <v>3978</v>
      </c>
      <c r="H372" s="20">
        <v>1</v>
      </c>
      <c r="I372" s="21">
        <f t="shared" si="21"/>
        <v>366</v>
      </c>
      <c r="J372" s="22" t="str">
        <f t="shared" si="22"/>
        <v/>
      </c>
      <c r="K372" s="22" t="str">
        <f t="shared" si="23"/>
        <v/>
      </c>
      <c r="L372"/>
      <c r="M372"/>
      <c r="N372" t="str">
        <f>IF(ISERROR(VLOOKUP(B372,'[1]Zebrik W'!$B$7:$M$1000,12,0)),"",IF(VLOOKUP(B372,'[1]Zebrik W'!$B$7:$M$1000,12,0)=0,"--",VLOOKUP(B372,'[1]Zebrik W'!$B$7:$M$1000,12,0)))</f>
        <v/>
      </c>
    </row>
    <row r="373" spans="1:14" x14ac:dyDescent="0.2">
      <c r="A373" s="21">
        <f t="shared" si="20"/>
        <v>367</v>
      </c>
      <c r="B373" s="16" t="s">
        <v>448</v>
      </c>
      <c r="C373" s="16">
        <v>1984</v>
      </c>
      <c r="D373" s="16" t="s">
        <v>18</v>
      </c>
      <c r="E373" s="16" t="s">
        <v>223</v>
      </c>
      <c r="F373" s="16" t="s">
        <v>41</v>
      </c>
      <c r="G373" s="16">
        <v>3970</v>
      </c>
      <c r="H373" s="20">
        <v>1</v>
      </c>
      <c r="I373" s="21">
        <f t="shared" si="21"/>
        <v>367</v>
      </c>
      <c r="J373" s="22" t="str">
        <f t="shared" si="22"/>
        <v/>
      </c>
      <c r="K373" s="22" t="str">
        <f t="shared" si="23"/>
        <v/>
      </c>
      <c r="L373"/>
      <c r="M373"/>
      <c r="N373" t="str">
        <f>IF(ISERROR(VLOOKUP(B373,'[1]Zebrik W'!$B$7:$M$1000,12,0)),"",IF(VLOOKUP(B373,'[1]Zebrik W'!$B$7:$M$1000,12,0)=0,"--",VLOOKUP(B373,'[1]Zebrik W'!$B$7:$M$1000,12,0)))</f>
        <v/>
      </c>
    </row>
    <row r="374" spans="1:14" x14ac:dyDescent="0.2">
      <c r="A374" s="21">
        <f t="shared" si="20"/>
        <v>368</v>
      </c>
      <c r="B374" s="16" t="s">
        <v>449</v>
      </c>
      <c r="C374" s="16">
        <v>2004</v>
      </c>
      <c r="D374" s="16" t="s">
        <v>18</v>
      </c>
      <c r="E374" s="16" t="s">
        <v>73</v>
      </c>
      <c r="F374" s="16" t="s">
        <v>20</v>
      </c>
      <c r="G374" s="16">
        <v>3873</v>
      </c>
      <c r="H374" s="20">
        <v>1</v>
      </c>
      <c r="I374" s="21">
        <f t="shared" si="21"/>
        <v>368</v>
      </c>
      <c r="J374" s="22" t="str">
        <f t="shared" si="22"/>
        <v>Junior v roce 2026</v>
      </c>
      <c r="K374" s="22" t="str">
        <f t="shared" si="23"/>
        <v>Junior v roce 2027</v>
      </c>
      <c r="L374"/>
      <c r="M374"/>
      <c r="N374" t="str">
        <f>IF(ISERROR(VLOOKUP(B374,'[1]Zebrik W'!$B$7:$M$1000,12,0)),"",IF(VLOOKUP(B374,'[1]Zebrik W'!$B$7:$M$1000,12,0)=0,"--",VLOOKUP(B374,'[1]Zebrik W'!$B$7:$M$1000,12,0)))</f>
        <v/>
      </c>
    </row>
    <row r="375" spans="1:14" x14ac:dyDescent="0.2">
      <c r="A375" s="21">
        <f t="shared" si="20"/>
        <v>369</v>
      </c>
      <c r="B375" s="16" t="s">
        <v>450</v>
      </c>
      <c r="C375" s="16">
        <v>1966</v>
      </c>
      <c r="D375" s="16" t="s">
        <v>18</v>
      </c>
      <c r="E375" s="16" t="s">
        <v>33</v>
      </c>
      <c r="F375" s="16" t="s">
        <v>20</v>
      </c>
      <c r="G375" s="16">
        <v>3851</v>
      </c>
      <c r="H375" s="20">
        <v>1</v>
      </c>
      <c r="I375" s="21">
        <f t="shared" si="21"/>
        <v>369</v>
      </c>
      <c r="J375" s="22" t="str">
        <f t="shared" si="22"/>
        <v/>
      </c>
      <c r="K375" s="22" t="str">
        <f t="shared" si="23"/>
        <v/>
      </c>
      <c r="L375"/>
      <c r="M375"/>
      <c r="N375" t="str">
        <f>IF(ISERROR(VLOOKUP(B375,'[1]Zebrik W'!$B$7:$M$1000,12,0)),"",IF(VLOOKUP(B375,'[1]Zebrik W'!$B$7:$M$1000,12,0)=0,"--",VLOOKUP(B375,'[1]Zebrik W'!$B$7:$M$1000,12,0)))</f>
        <v/>
      </c>
    </row>
    <row r="376" spans="1:14" x14ac:dyDescent="0.2">
      <c r="A376" s="21">
        <f t="shared" si="20"/>
        <v>370</v>
      </c>
      <c r="B376" s="16" t="s">
        <v>451</v>
      </c>
      <c r="C376" s="16">
        <v>1966</v>
      </c>
      <c r="D376" s="16" t="s">
        <v>18</v>
      </c>
      <c r="E376" s="16" t="s">
        <v>78</v>
      </c>
      <c r="F376" s="16" t="s">
        <v>41</v>
      </c>
      <c r="G376" s="16">
        <v>3769</v>
      </c>
      <c r="H376" s="20">
        <v>1</v>
      </c>
      <c r="I376" s="21">
        <f t="shared" si="21"/>
        <v>370</v>
      </c>
      <c r="J376" s="22" t="str">
        <f t="shared" si="22"/>
        <v/>
      </c>
      <c r="K376" s="22" t="str">
        <f t="shared" si="23"/>
        <v/>
      </c>
      <c r="L376"/>
      <c r="M376"/>
      <c r="N376" t="str">
        <f>IF(ISERROR(VLOOKUP(B376,'[1]Zebrik W'!$B$7:$M$1000,12,0)),"",IF(VLOOKUP(B376,'[1]Zebrik W'!$B$7:$M$1000,12,0)=0,"--",VLOOKUP(B376,'[1]Zebrik W'!$B$7:$M$1000,12,0)))</f>
        <v/>
      </c>
    </row>
    <row r="377" spans="1:14" x14ac:dyDescent="0.2">
      <c r="A377" s="21">
        <f t="shared" si="20"/>
        <v>371</v>
      </c>
      <c r="B377" s="16" t="s">
        <v>452</v>
      </c>
      <c r="C377" s="16">
        <v>2004</v>
      </c>
      <c r="D377" s="16" t="s">
        <v>18</v>
      </c>
      <c r="E377" s="16" t="s">
        <v>36</v>
      </c>
      <c r="F377" s="16" t="s">
        <v>20</v>
      </c>
      <c r="G377" s="16">
        <v>3700</v>
      </c>
      <c r="H377" s="20">
        <v>1</v>
      </c>
      <c r="I377" s="21">
        <f t="shared" si="21"/>
        <v>371</v>
      </c>
      <c r="J377" s="22" t="str">
        <f t="shared" si="22"/>
        <v>Junior v roce 2026</v>
      </c>
      <c r="K377" s="22" t="str">
        <f t="shared" si="23"/>
        <v>Junior v roce 2027</v>
      </c>
      <c r="L377"/>
      <c r="M377"/>
      <c r="N377" t="str">
        <f>IF(ISERROR(VLOOKUP(B377,'[1]Zebrik W'!$B$7:$M$1000,12,0)),"",IF(VLOOKUP(B377,'[1]Zebrik W'!$B$7:$M$1000,12,0)=0,"--",VLOOKUP(B377,'[1]Zebrik W'!$B$7:$M$1000,12,0)))</f>
        <v/>
      </c>
    </row>
    <row r="378" spans="1:14" x14ac:dyDescent="0.2">
      <c r="A378" s="21">
        <f t="shared" si="20"/>
        <v>372</v>
      </c>
      <c r="B378" s="16" t="s">
        <v>453</v>
      </c>
      <c r="C378" s="16">
        <v>1995</v>
      </c>
      <c r="D378" s="16" t="s">
        <v>18</v>
      </c>
      <c r="E378" s="16" t="s">
        <v>99</v>
      </c>
      <c r="F378" s="16" t="s">
        <v>24</v>
      </c>
      <c r="G378" s="16">
        <v>3671</v>
      </c>
      <c r="H378" s="20">
        <v>1</v>
      </c>
      <c r="I378" s="21">
        <f t="shared" si="21"/>
        <v>372</v>
      </c>
      <c r="J378" s="22" t="str">
        <f t="shared" si="22"/>
        <v/>
      </c>
      <c r="K378" s="22" t="str">
        <f t="shared" si="23"/>
        <v/>
      </c>
      <c r="L378"/>
      <c r="M378"/>
      <c r="N378" t="str">
        <f>IF(ISERROR(VLOOKUP(B378,'[1]Zebrik W'!$B$7:$M$1000,12,0)),"",IF(VLOOKUP(B378,'[1]Zebrik W'!$B$7:$M$1000,12,0)=0,"--",VLOOKUP(B378,'[1]Zebrik W'!$B$7:$M$1000,12,0)))</f>
        <v/>
      </c>
    </row>
    <row r="379" spans="1:14" x14ac:dyDescent="0.2">
      <c r="A379" s="21">
        <f t="shared" si="20"/>
        <v>373</v>
      </c>
      <c r="B379" s="16" t="s">
        <v>454</v>
      </c>
      <c r="C379" s="16">
        <v>1999</v>
      </c>
      <c r="D379" s="16" t="s">
        <v>49</v>
      </c>
      <c r="E379" s="16" t="s">
        <v>172</v>
      </c>
      <c r="F379" s="16" t="s">
        <v>24</v>
      </c>
      <c r="G379" s="16">
        <v>3617</v>
      </c>
      <c r="H379" s="20">
        <v>3</v>
      </c>
      <c r="I379" s="21">
        <f t="shared" si="21"/>
        <v>373</v>
      </c>
      <c r="J379" s="22" t="str">
        <f t="shared" si="22"/>
        <v/>
      </c>
      <c r="K379" s="22" t="str">
        <f t="shared" si="23"/>
        <v/>
      </c>
      <c r="L379"/>
      <c r="M379"/>
      <c r="N379" t="str">
        <f>IF(ISERROR(VLOOKUP(B379,'[1]Zebrik W'!$B$7:$M$1000,12,0)),"",IF(VLOOKUP(B379,'[1]Zebrik W'!$B$7:$M$1000,12,0)=0,"--",VLOOKUP(B379,'[1]Zebrik W'!$B$7:$M$1000,12,0)))</f>
        <v>--</v>
      </c>
    </row>
    <row r="380" spans="1:14" x14ac:dyDescent="0.2">
      <c r="A380" s="21">
        <f t="shared" si="20"/>
        <v>374</v>
      </c>
      <c r="B380" s="16" t="s">
        <v>455</v>
      </c>
      <c r="C380" s="16">
        <v>1994</v>
      </c>
      <c r="D380" s="16" t="s">
        <v>18</v>
      </c>
      <c r="E380" s="16" t="s">
        <v>140</v>
      </c>
      <c r="F380" s="16" t="s">
        <v>20</v>
      </c>
      <c r="G380" s="16">
        <v>3569</v>
      </c>
      <c r="H380" s="20">
        <v>1</v>
      </c>
      <c r="I380" s="21">
        <f t="shared" si="21"/>
        <v>374</v>
      </c>
      <c r="J380" s="22" t="str">
        <f t="shared" si="22"/>
        <v/>
      </c>
      <c r="K380" s="22" t="str">
        <f t="shared" si="23"/>
        <v/>
      </c>
      <c r="L380"/>
      <c r="M380"/>
      <c r="N380" t="str">
        <f>IF(ISERROR(VLOOKUP(B380,'[1]Zebrik W'!$B$7:$M$1000,12,0)),"",IF(VLOOKUP(B380,'[1]Zebrik W'!$B$7:$M$1000,12,0)=0,"--",VLOOKUP(B380,'[1]Zebrik W'!$B$7:$M$1000,12,0)))</f>
        <v/>
      </c>
    </row>
    <row r="381" spans="1:14" x14ac:dyDescent="0.2">
      <c r="A381" s="21">
        <f t="shared" si="20"/>
        <v>375</v>
      </c>
      <c r="B381" s="16" t="s">
        <v>456</v>
      </c>
      <c r="C381" s="16">
        <v>1964</v>
      </c>
      <c r="D381" s="16" t="s">
        <v>18</v>
      </c>
      <c r="E381" s="16" t="s">
        <v>78</v>
      </c>
      <c r="F381" s="16" t="s">
        <v>41</v>
      </c>
      <c r="G381" s="16">
        <v>3564</v>
      </c>
      <c r="H381" s="20">
        <v>1</v>
      </c>
      <c r="I381" s="21">
        <f t="shared" si="21"/>
        <v>375</v>
      </c>
      <c r="J381" s="22" t="str">
        <f t="shared" si="22"/>
        <v/>
      </c>
      <c r="K381" s="22" t="str">
        <f t="shared" si="23"/>
        <v/>
      </c>
      <c r="L381"/>
      <c r="M381"/>
      <c r="N381" t="str">
        <f>IF(ISERROR(VLOOKUP(B381,'[1]Zebrik W'!$B$7:$M$1000,12,0)),"",IF(VLOOKUP(B381,'[1]Zebrik W'!$B$7:$M$1000,12,0)=0,"--",VLOOKUP(B381,'[1]Zebrik W'!$B$7:$M$1000,12,0)))</f>
        <v/>
      </c>
    </row>
    <row r="382" spans="1:14" x14ac:dyDescent="0.2">
      <c r="A382" s="21">
        <f t="shared" si="20"/>
        <v>376</v>
      </c>
      <c r="B382" s="16" t="s">
        <v>457</v>
      </c>
      <c r="C382" s="16">
        <v>1974</v>
      </c>
      <c r="D382" s="16" t="s">
        <v>18</v>
      </c>
      <c r="E382" s="16" t="s">
        <v>127</v>
      </c>
      <c r="F382" s="16" t="s">
        <v>41</v>
      </c>
      <c r="G382" s="16">
        <v>3553</v>
      </c>
      <c r="H382" s="20">
        <v>1</v>
      </c>
      <c r="I382" s="21">
        <f t="shared" si="21"/>
        <v>376</v>
      </c>
      <c r="J382" s="22" t="str">
        <f t="shared" si="22"/>
        <v/>
      </c>
      <c r="K382" s="22" t="str">
        <f t="shared" si="23"/>
        <v/>
      </c>
      <c r="L382"/>
      <c r="M382"/>
      <c r="N382" t="str">
        <f>IF(ISERROR(VLOOKUP(B382,'[1]Zebrik W'!$B$7:$M$1000,12,0)),"",IF(VLOOKUP(B382,'[1]Zebrik W'!$B$7:$M$1000,12,0)=0,"--",VLOOKUP(B382,'[1]Zebrik W'!$B$7:$M$1000,12,0)))</f>
        <v/>
      </c>
    </row>
    <row r="383" spans="1:14" x14ac:dyDescent="0.2">
      <c r="A383" s="21">
        <f t="shared" si="20"/>
        <v>377</v>
      </c>
      <c r="B383" s="16" t="s">
        <v>458</v>
      </c>
      <c r="C383" s="16">
        <v>1952</v>
      </c>
      <c r="D383" s="16" t="s">
        <v>18</v>
      </c>
      <c r="E383" s="16" t="s">
        <v>65</v>
      </c>
      <c r="F383" s="16" t="s">
        <v>41</v>
      </c>
      <c r="G383" s="16">
        <v>3541</v>
      </c>
      <c r="H383" s="20">
        <v>2</v>
      </c>
      <c r="I383" s="21">
        <f t="shared" si="21"/>
        <v>377</v>
      </c>
      <c r="J383" s="22" t="str">
        <f t="shared" si="22"/>
        <v/>
      </c>
      <c r="K383" s="22" t="str">
        <f t="shared" si="23"/>
        <v/>
      </c>
      <c r="L383"/>
      <c r="M383"/>
      <c r="N383" t="str">
        <f>IF(ISERROR(VLOOKUP(B383,'[1]Zebrik W'!$B$7:$M$1000,12,0)),"",IF(VLOOKUP(B383,'[1]Zebrik W'!$B$7:$M$1000,12,0)=0,"--",VLOOKUP(B383,'[1]Zebrik W'!$B$7:$M$1000,12,0)))</f>
        <v/>
      </c>
    </row>
    <row r="384" spans="1:14" x14ac:dyDescent="0.2">
      <c r="A384" s="21">
        <f t="shared" si="20"/>
        <v>378</v>
      </c>
      <c r="B384" s="16" t="s">
        <v>459</v>
      </c>
      <c r="C384" s="16">
        <v>1978</v>
      </c>
      <c r="D384" s="16" t="s">
        <v>18</v>
      </c>
      <c r="E384" s="16" t="s">
        <v>38</v>
      </c>
      <c r="F384" s="16" t="s">
        <v>24</v>
      </c>
      <c r="G384" s="16">
        <v>3484</v>
      </c>
      <c r="H384" s="20">
        <v>1</v>
      </c>
      <c r="I384" s="21">
        <f t="shared" si="21"/>
        <v>378</v>
      </c>
      <c r="J384" s="22" t="str">
        <f t="shared" si="22"/>
        <v/>
      </c>
      <c r="K384" s="22" t="str">
        <f t="shared" si="23"/>
        <v/>
      </c>
      <c r="L384"/>
      <c r="M384"/>
      <c r="N384" t="str">
        <f>IF(ISERROR(VLOOKUP(B384,'[1]Zebrik W'!$B$7:$M$1000,12,0)),"",IF(VLOOKUP(B384,'[1]Zebrik W'!$B$7:$M$1000,12,0)=0,"--",VLOOKUP(B384,'[1]Zebrik W'!$B$7:$M$1000,12,0)))</f>
        <v/>
      </c>
    </row>
    <row r="385" spans="1:14" x14ac:dyDescent="0.2">
      <c r="A385" s="21">
        <f t="shared" si="20"/>
        <v>379</v>
      </c>
      <c r="B385" s="16" t="s">
        <v>460</v>
      </c>
      <c r="C385" s="16">
        <v>1995</v>
      </c>
      <c r="D385" s="16" t="s">
        <v>18</v>
      </c>
      <c r="E385" s="16" t="s">
        <v>27</v>
      </c>
      <c r="F385" s="16" t="s">
        <v>20</v>
      </c>
      <c r="G385" s="16">
        <v>3432</v>
      </c>
      <c r="H385" s="20">
        <v>1</v>
      </c>
      <c r="I385" s="21">
        <f t="shared" si="21"/>
        <v>379</v>
      </c>
      <c r="J385" s="22" t="str">
        <f t="shared" si="22"/>
        <v/>
      </c>
      <c r="K385" s="22" t="str">
        <f t="shared" si="23"/>
        <v/>
      </c>
      <c r="L385"/>
      <c r="M385"/>
      <c r="N385" t="str">
        <f>IF(ISERROR(VLOOKUP(B385,'[1]Zebrik W'!$B$7:$M$1000,12,0)),"",IF(VLOOKUP(B385,'[1]Zebrik W'!$B$7:$M$1000,12,0)=0,"--",VLOOKUP(B385,'[1]Zebrik W'!$B$7:$M$1000,12,0)))</f>
        <v/>
      </c>
    </row>
    <row r="386" spans="1:14" x14ac:dyDescent="0.2">
      <c r="A386" s="21">
        <f t="shared" si="20"/>
        <v>380</v>
      </c>
      <c r="B386" s="16" t="s">
        <v>461</v>
      </c>
      <c r="C386" s="16">
        <v>1980</v>
      </c>
      <c r="D386" s="16" t="s">
        <v>18</v>
      </c>
      <c r="E386" s="16" t="s">
        <v>29</v>
      </c>
      <c r="F386" s="16" t="s">
        <v>24</v>
      </c>
      <c r="G386" s="16">
        <v>3357</v>
      </c>
      <c r="H386" s="20">
        <v>2</v>
      </c>
      <c r="I386" s="21">
        <f t="shared" si="21"/>
        <v>380</v>
      </c>
      <c r="J386" s="22" t="str">
        <f t="shared" si="22"/>
        <v/>
      </c>
      <c r="K386" s="22" t="str">
        <f t="shared" si="23"/>
        <v/>
      </c>
      <c r="L386"/>
      <c r="M386"/>
      <c r="N386" t="str">
        <f>IF(ISERROR(VLOOKUP(B386,'[1]Zebrik W'!$B$7:$M$1000,12,0)),"",IF(VLOOKUP(B386,'[1]Zebrik W'!$B$7:$M$1000,12,0)=0,"--",VLOOKUP(B386,'[1]Zebrik W'!$B$7:$M$1000,12,0)))</f>
        <v/>
      </c>
    </row>
    <row r="387" spans="1:14" x14ac:dyDescent="0.2">
      <c r="A387" s="21">
        <f t="shared" si="20"/>
        <v>381</v>
      </c>
      <c r="B387" s="16" t="s">
        <v>462</v>
      </c>
      <c r="C387" s="16">
        <v>1966</v>
      </c>
      <c r="D387" s="16" t="s">
        <v>18</v>
      </c>
      <c r="E387" s="16" t="s">
        <v>344</v>
      </c>
      <c r="F387" s="16" t="s">
        <v>41</v>
      </c>
      <c r="G387" s="16">
        <v>3327</v>
      </c>
      <c r="H387" s="20">
        <v>1</v>
      </c>
      <c r="I387" s="21">
        <f t="shared" si="21"/>
        <v>381</v>
      </c>
      <c r="J387" s="22" t="str">
        <f t="shared" si="22"/>
        <v/>
      </c>
      <c r="K387" s="22" t="str">
        <f t="shared" si="23"/>
        <v/>
      </c>
      <c r="L387"/>
      <c r="M387"/>
      <c r="N387" t="str">
        <f>IF(ISERROR(VLOOKUP(B387,'[1]Zebrik W'!$B$7:$M$1000,12,0)),"",IF(VLOOKUP(B387,'[1]Zebrik W'!$B$7:$M$1000,12,0)=0,"--",VLOOKUP(B387,'[1]Zebrik W'!$B$7:$M$1000,12,0)))</f>
        <v/>
      </c>
    </row>
    <row r="388" spans="1:14" x14ac:dyDescent="0.2">
      <c r="A388" s="21">
        <f t="shared" si="20"/>
        <v>382</v>
      </c>
      <c r="B388" s="16" t="s">
        <v>463</v>
      </c>
      <c r="C388" s="16">
        <v>1966</v>
      </c>
      <c r="D388" s="16" t="s">
        <v>18</v>
      </c>
      <c r="E388" s="16" t="s">
        <v>31</v>
      </c>
      <c r="F388" s="16" t="s">
        <v>24</v>
      </c>
      <c r="G388" s="16">
        <v>3308</v>
      </c>
      <c r="H388" s="20">
        <v>1</v>
      </c>
      <c r="I388" s="21">
        <f t="shared" si="21"/>
        <v>382</v>
      </c>
      <c r="J388" s="22" t="str">
        <f t="shared" si="22"/>
        <v/>
      </c>
      <c r="K388" s="22" t="str">
        <f t="shared" si="23"/>
        <v/>
      </c>
      <c r="L388"/>
      <c r="M388"/>
      <c r="N388" t="str">
        <f>IF(ISERROR(VLOOKUP(B388,'[1]Zebrik W'!$B$7:$M$1000,12,0)),"",IF(VLOOKUP(B388,'[1]Zebrik W'!$B$7:$M$1000,12,0)=0,"--",VLOOKUP(B388,'[1]Zebrik W'!$B$7:$M$1000,12,0)))</f>
        <v/>
      </c>
    </row>
    <row r="389" spans="1:14" x14ac:dyDescent="0.2">
      <c r="A389" s="21">
        <f t="shared" si="20"/>
        <v>383</v>
      </c>
      <c r="B389" s="16" t="s">
        <v>464</v>
      </c>
      <c r="C389" s="16">
        <v>1976</v>
      </c>
      <c r="D389" s="16" t="s">
        <v>18</v>
      </c>
      <c r="E389" s="16" t="s">
        <v>465</v>
      </c>
      <c r="F389" s="16" t="s">
        <v>24</v>
      </c>
      <c r="G389" s="16">
        <v>3304</v>
      </c>
      <c r="H389" s="20">
        <v>1</v>
      </c>
      <c r="I389" s="21">
        <f t="shared" si="21"/>
        <v>383</v>
      </c>
      <c r="J389" s="22" t="str">
        <f t="shared" si="22"/>
        <v/>
      </c>
      <c r="K389" s="22" t="str">
        <f t="shared" si="23"/>
        <v/>
      </c>
      <c r="L389"/>
      <c r="M389"/>
      <c r="N389" t="str">
        <f>IF(ISERROR(VLOOKUP(B389,'[1]Zebrik W'!$B$7:$M$1000,12,0)),"",IF(VLOOKUP(B389,'[1]Zebrik W'!$B$7:$M$1000,12,0)=0,"--",VLOOKUP(B389,'[1]Zebrik W'!$B$7:$M$1000,12,0)))</f>
        <v/>
      </c>
    </row>
    <row r="390" spans="1:14" x14ac:dyDescent="0.2">
      <c r="A390" s="21">
        <f t="shared" si="20"/>
        <v>384</v>
      </c>
      <c r="B390" s="16" t="s">
        <v>466</v>
      </c>
      <c r="C390" s="16">
        <v>1947</v>
      </c>
      <c r="D390" s="16" t="s">
        <v>18</v>
      </c>
      <c r="E390" s="16" t="s">
        <v>59</v>
      </c>
      <c r="F390" s="16" t="s">
        <v>41</v>
      </c>
      <c r="G390" s="16">
        <v>3263</v>
      </c>
      <c r="H390" s="20">
        <v>1</v>
      </c>
      <c r="I390" s="21">
        <f t="shared" si="21"/>
        <v>384</v>
      </c>
      <c r="J390" s="22" t="str">
        <f t="shared" si="22"/>
        <v/>
      </c>
      <c r="K390" s="22" t="str">
        <f t="shared" si="23"/>
        <v/>
      </c>
      <c r="L390"/>
      <c r="M390"/>
      <c r="N390" t="str">
        <f>IF(ISERROR(VLOOKUP(B390,'[1]Zebrik W'!$B$7:$M$1000,12,0)),"",IF(VLOOKUP(B390,'[1]Zebrik W'!$B$7:$M$1000,12,0)=0,"--",VLOOKUP(B390,'[1]Zebrik W'!$B$7:$M$1000,12,0)))</f>
        <v/>
      </c>
    </row>
    <row r="391" spans="1:14" x14ac:dyDescent="0.2">
      <c r="A391" s="21">
        <f t="shared" ref="A391:A454" si="24">RANK(G391,G:G)</f>
        <v>385</v>
      </c>
      <c r="B391" s="16" t="s">
        <v>467</v>
      </c>
      <c r="C391" s="16">
        <v>1965</v>
      </c>
      <c r="D391" s="16" t="s">
        <v>18</v>
      </c>
      <c r="E391" s="16" t="s">
        <v>45</v>
      </c>
      <c r="F391" s="16" t="s">
        <v>24</v>
      </c>
      <c r="G391" s="16">
        <v>3213</v>
      </c>
      <c r="H391" s="20">
        <v>1</v>
      </c>
      <c r="I391" s="21">
        <f t="shared" si="21"/>
        <v>385</v>
      </c>
      <c r="J391" s="22" t="str">
        <f t="shared" si="22"/>
        <v/>
      </c>
      <c r="K391" s="22" t="str">
        <f t="shared" si="23"/>
        <v/>
      </c>
      <c r="L391"/>
      <c r="M391"/>
      <c r="N391" t="str">
        <f>IF(ISERROR(VLOOKUP(B391,'[1]Zebrik W'!$B$7:$M$1000,12,0)),"",IF(VLOOKUP(B391,'[1]Zebrik W'!$B$7:$M$1000,12,0)=0,"--",VLOOKUP(B391,'[1]Zebrik W'!$B$7:$M$1000,12,0)))</f>
        <v/>
      </c>
    </row>
    <row r="392" spans="1:14" x14ac:dyDescent="0.2">
      <c r="A392" s="21">
        <f t="shared" si="24"/>
        <v>386</v>
      </c>
      <c r="B392" s="16" t="s">
        <v>468</v>
      </c>
      <c r="C392" s="16">
        <v>1975</v>
      </c>
      <c r="D392" s="16" t="s">
        <v>18</v>
      </c>
      <c r="E392" s="16" t="s">
        <v>38</v>
      </c>
      <c r="F392" s="16" t="s">
        <v>24</v>
      </c>
      <c r="G392" s="16">
        <v>3209</v>
      </c>
      <c r="H392" s="20">
        <v>1</v>
      </c>
      <c r="I392" s="21">
        <f t="shared" ref="I392:I456" si="25">RANK(G392,G:G)</f>
        <v>386</v>
      </c>
      <c r="J392" s="22" t="str">
        <f t="shared" ref="J392:J452" si="26">IF(C392="(prázdné)","",IF(($J$4-C392)&gt;25,"","Junior v roce "&amp;$J$4))</f>
        <v/>
      </c>
      <c r="K392" s="22" t="str">
        <f t="shared" ref="K392:K452" si="27">IF(C392="(prázdné)","",IF(($K$4-C392)&gt;25,"","Junior v roce "&amp;$K$4))</f>
        <v/>
      </c>
      <c r="L392"/>
      <c r="M392"/>
      <c r="N392" t="str">
        <f>IF(ISERROR(VLOOKUP(B392,'[1]Zebrik W'!$B$7:$M$1000,12,0)),"",IF(VLOOKUP(B392,'[1]Zebrik W'!$B$7:$M$1000,12,0)=0,"--",VLOOKUP(B392,'[1]Zebrik W'!$B$7:$M$1000,12,0)))</f>
        <v/>
      </c>
    </row>
    <row r="393" spans="1:14" x14ac:dyDescent="0.2">
      <c r="A393" s="21">
        <f t="shared" si="24"/>
        <v>387</v>
      </c>
      <c r="B393" s="16" t="s">
        <v>469</v>
      </c>
      <c r="C393" s="16">
        <v>1971</v>
      </c>
      <c r="D393" s="16" t="s">
        <v>18</v>
      </c>
      <c r="E393" s="16" t="s">
        <v>43</v>
      </c>
      <c r="F393" s="16" t="s">
        <v>41</v>
      </c>
      <c r="G393" s="16">
        <v>3200</v>
      </c>
      <c r="H393" s="20">
        <v>1</v>
      </c>
      <c r="I393" s="21">
        <f t="shared" si="25"/>
        <v>387</v>
      </c>
      <c r="J393" s="22" t="str">
        <f t="shared" si="26"/>
        <v/>
      </c>
      <c r="K393" s="22" t="str">
        <f t="shared" si="27"/>
        <v/>
      </c>
      <c r="L393"/>
      <c r="M393"/>
      <c r="N393" t="str">
        <f>IF(ISERROR(VLOOKUP(B393,'[1]Zebrik W'!$B$7:$M$1000,12,0)),"",IF(VLOOKUP(B393,'[1]Zebrik W'!$B$7:$M$1000,12,0)=0,"--",VLOOKUP(B393,'[1]Zebrik W'!$B$7:$M$1000,12,0)))</f>
        <v/>
      </c>
    </row>
    <row r="394" spans="1:14" x14ac:dyDescent="0.2">
      <c r="A394" s="21">
        <f t="shared" si="24"/>
        <v>388</v>
      </c>
      <c r="B394" s="16" t="s">
        <v>470</v>
      </c>
      <c r="C394" s="16">
        <v>1974</v>
      </c>
      <c r="D394" s="16" t="s">
        <v>18</v>
      </c>
      <c r="E394" s="16" t="s">
        <v>33</v>
      </c>
      <c r="F394" s="16" t="s">
        <v>20</v>
      </c>
      <c r="G394" s="16">
        <v>3188</v>
      </c>
      <c r="H394" s="20">
        <v>1</v>
      </c>
      <c r="I394" s="21">
        <f t="shared" si="25"/>
        <v>388</v>
      </c>
      <c r="J394" s="22" t="str">
        <f t="shared" si="26"/>
        <v/>
      </c>
      <c r="K394" s="22" t="str">
        <f t="shared" si="27"/>
        <v/>
      </c>
      <c r="L394"/>
      <c r="M394"/>
      <c r="N394" t="str">
        <f>IF(ISERROR(VLOOKUP(B394,'[1]Zebrik W'!$B$7:$M$1000,12,0)),"",IF(VLOOKUP(B394,'[1]Zebrik W'!$B$7:$M$1000,12,0)=0,"--",VLOOKUP(B394,'[1]Zebrik W'!$B$7:$M$1000,12,0)))</f>
        <v/>
      </c>
    </row>
    <row r="395" spans="1:14" x14ac:dyDescent="0.2">
      <c r="A395" s="21">
        <f t="shared" si="24"/>
        <v>389</v>
      </c>
      <c r="B395" s="16" t="s">
        <v>471</v>
      </c>
      <c r="C395" s="16">
        <v>1982</v>
      </c>
      <c r="D395" s="16" t="s">
        <v>18</v>
      </c>
      <c r="E395" s="16" t="s">
        <v>160</v>
      </c>
      <c r="F395" s="16" t="s">
        <v>20</v>
      </c>
      <c r="G395" s="16">
        <v>3183</v>
      </c>
      <c r="H395" s="20">
        <v>2</v>
      </c>
      <c r="I395" s="21">
        <f t="shared" si="25"/>
        <v>389</v>
      </c>
      <c r="J395" s="22" t="str">
        <f t="shared" si="26"/>
        <v/>
      </c>
      <c r="K395" s="22" t="str">
        <f t="shared" si="27"/>
        <v/>
      </c>
      <c r="L395"/>
      <c r="M395"/>
      <c r="N395" t="str">
        <f>IF(ISERROR(VLOOKUP(B395,'[1]Zebrik W'!$B$7:$M$1000,12,0)),"",IF(VLOOKUP(B395,'[1]Zebrik W'!$B$7:$M$1000,12,0)=0,"--",VLOOKUP(B395,'[1]Zebrik W'!$B$7:$M$1000,12,0)))</f>
        <v/>
      </c>
    </row>
    <row r="396" spans="1:14" x14ac:dyDescent="0.2">
      <c r="A396" s="21">
        <f t="shared" si="24"/>
        <v>390</v>
      </c>
      <c r="B396" s="16" t="s">
        <v>472</v>
      </c>
      <c r="C396" s="16">
        <v>1972</v>
      </c>
      <c r="D396" s="16" t="s">
        <v>18</v>
      </c>
      <c r="E396" s="16" t="s">
        <v>286</v>
      </c>
      <c r="F396" s="16" t="s">
        <v>41</v>
      </c>
      <c r="G396" s="16">
        <v>3129</v>
      </c>
      <c r="H396" s="20">
        <v>1</v>
      </c>
      <c r="I396" s="21">
        <f t="shared" si="25"/>
        <v>390</v>
      </c>
      <c r="J396" s="22" t="str">
        <f t="shared" si="26"/>
        <v/>
      </c>
      <c r="K396" s="22" t="str">
        <f t="shared" si="27"/>
        <v/>
      </c>
      <c r="L396"/>
      <c r="M396"/>
      <c r="N396" t="str">
        <f>IF(ISERROR(VLOOKUP(B396,'[1]Zebrik W'!$B$7:$M$1000,12,0)),"",IF(VLOOKUP(B396,'[1]Zebrik W'!$B$7:$M$1000,12,0)=0,"--",VLOOKUP(B396,'[1]Zebrik W'!$B$7:$M$1000,12,0)))</f>
        <v/>
      </c>
    </row>
    <row r="397" spans="1:14" x14ac:dyDescent="0.2">
      <c r="A397" s="21">
        <f t="shared" si="24"/>
        <v>391</v>
      </c>
      <c r="B397" s="16" t="s">
        <v>473</v>
      </c>
      <c r="C397" s="16">
        <v>1979</v>
      </c>
      <c r="D397" s="16" t="s">
        <v>18</v>
      </c>
      <c r="E397" s="16" t="s">
        <v>57</v>
      </c>
      <c r="F397" s="16" t="s">
        <v>24</v>
      </c>
      <c r="G397" s="16">
        <v>3062</v>
      </c>
      <c r="H397" s="20">
        <v>2</v>
      </c>
      <c r="I397" s="21">
        <f t="shared" si="25"/>
        <v>391</v>
      </c>
      <c r="J397" s="22" t="str">
        <f t="shared" si="26"/>
        <v/>
      </c>
      <c r="K397" s="22" t="str">
        <f t="shared" si="27"/>
        <v/>
      </c>
      <c r="L397"/>
      <c r="M397"/>
      <c r="N397" t="str">
        <f>IF(ISERROR(VLOOKUP(B397,'[1]Zebrik W'!$B$7:$M$1000,12,0)),"",IF(VLOOKUP(B397,'[1]Zebrik W'!$B$7:$M$1000,12,0)=0,"--",VLOOKUP(B397,'[1]Zebrik W'!$B$7:$M$1000,12,0)))</f>
        <v/>
      </c>
    </row>
    <row r="398" spans="1:14" x14ac:dyDescent="0.2">
      <c r="A398" s="21">
        <f t="shared" si="24"/>
        <v>392</v>
      </c>
      <c r="B398" s="16" t="s">
        <v>474</v>
      </c>
      <c r="C398" s="16">
        <v>1973</v>
      </c>
      <c r="D398" s="16" t="s">
        <v>18</v>
      </c>
      <c r="E398" s="16" t="s">
        <v>27</v>
      </c>
      <c r="F398" s="16" t="s">
        <v>20</v>
      </c>
      <c r="G398" s="16">
        <v>3058</v>
      </c>
      <c r="H398" s="20">
        <v>1</v>
      </c>
      <c r="I398" s="21">
        <f t="shared" si="25"/>
        <v>392</v>
      </c>
      <c r="J398" s="22" t="str">
        <f t="shared" si="26"/>
        <v/>
      </c>
      <c r="K398" s="22" t="str">
        <f t="shared" si="27"/>
        <v/>
      </c>
      <c r="L398"/>
      <c r="M398"/>
      <c r="N398" t="str">
        <f>IF(ISERROR(VLOOKUP(B398,'[1]Zebrik W'!$B$7:$M$1000,12,0)),"",IF(VLOOKUP(B398,'[1]Zebrik W'!$B$7:$M$1000,12,0)=0,"--",VLOOKUP(B398,'[1]Zebrik W'!$B$7:$M$1000,12,0)))</f>
        <v/>
      </c>
    </row>
    <row r="399" spans="1:14" x14ac:dyDescent="0.2">
      <c r="A399" s="21">
        <f t="shared" si="24"/>
        <v>393</v>
      </c>
      <c r="B399" s="16" t="s">
        <v>475</v>
      </c>
      <c r="C399" s="16">
        <v>1973</v>
      </c>
      <c r="D399" s="16" t="s">
        <v>18</v>
      </c>
      <c r="E399" s="16" t="s">
        <v>33</v>
      </c>
      <c r="F399" s="16" t="s">
        <v>20</v>
      </c>
      <c r="G399" s="16">
        <v>3055</v>
      </c>
      <c r="H399" s="20">
        <v>1</v>
      </c>
      <c r="I399" s="21">
        <f t="shared" si="25"/>
        <v>393</v>
      </c>
      <c r="J399" s="22" t="str">
        <f t="shared" si="26"/>
        <v/>
      </c>
      <c r="K399" s="22" t="str">
        <f t="shared" si="27"/>
        <v/>
      </c>
      <c r="L399"/>
      <c r="M399"/>
      <c r="N399" t="str">
        <f>IF(ISERROR(VLOOKUP(B399,'[1]Zebrik W'!$B$7:$M$1000,12,0)),"",IF(VLOOKUP(B399,'[1]Zebrik W'!$B$7:$M$1000,12,0)=0,"--",VLOOKUP(B399,'[1]Zebrik W'!$B$7:$M$1000,12,0)))</f>
        <v/>
      </c>
    </row>
    <row r="400" spans="1:14" x14ac:dyDescent="0.2">
      <c r="A400" s="21">
        <f t="shared" si="24"/>
        <v>394</v>
      </c>
      <c r="B400" s="16" t="s">
        <v>476</v>
      </c>
      <c r="C400" s="16">
        <v>1986</v>
      </c>
      <c r="D400" s="16" t="s">
        <v>18</v>
      </c>
      <c r="E400" s="16" t="s">
        <v>38</v>
      </c>
      <c r="F400" s="16" t="s">
        <v>24</v>
      </c>
      <c r="G400" s="16">
        <v>2904</v>
      </c>
      <c r="H400" s="20">
        <v>1</v>
      </c>
      <c r="I400" s="21">
        <f t="shared" si="25"/>
        <v>394</v>
      </c>
      <c r="J400" s="22" t="str">
        <f t="shared" si="26"/>
        <v/>
      </c>
      <c r="K400" s="22" t="str">
        <f t="shared" si="27"/>
        <v/>
      </c>
      <c r="L400"/>
      <c r="M400"/>
      <c r="N400" t="str">
        <f>IF(ISERROR(VLOOKUP(B400,'[1]Zebrik W'!$B$7:$M$1000,12,0)),"",IF(VLOOKUP(B400,'[1]Zebrik W'!$B$7:$M$1000,12,0)=0,"--",VLOOKUP(B400,'[1]Zebrik W'!$B$7:$M$1000,12,0)))</f>
        <v/>
      </c>
    </row>
    <row r="401" spans="1:14" x14ac:dyDescent="0.2">
      <c r="A401" s="21">
        <f t="shared" si="24"/>
        <v>395</v>
      </c>
      <c r="B401" s="16" t="s">
        <v>477</v>
      </c>
      <c r="C401" s="16">
        <v>1972</v>
      </c>
      <c r="D401" s="16" t="s">
        <v>18</v>
      </c>
      <c r="E401" s="16" t="s">
        <v>140</v>
      </c>
      <c r="F401" s="16" t="s">
        <v>20</v>
      </c>
      <c r="G401" s="16">
        <v>2880</v>
      </c>
      <c r="H401" s="20">
        <v>3</v>
      </c>
      <c r="I401" s="21">
        <f t="shared" si="25"/>
        <v>395</v>
      </c>
      <c r="J401" s="22" t="str">
        <f t="shared" si="26"/>
        <v/>
      </c>
      <c r="K401" s="22" t="str">
        <f t="shared" si="27"/>
        <v/>
      </c>
      <c r="L401"/>
      <c r="M401"/>
      <c r="N401" t="str">
        <f>IF(ISERROR(VLOOKUP(B401,'[1]Zebrik W'!$B$7:$M$1000,12,0)),"",IF(VLOOKUP(B401,'[1]Zebrik W'!$B$7:$M$1000,12,0)=0,"--",VLOOKUP(B401,'[1]Zebrik W'!$B$7:$M$1000,12,0)))</f>
        <v/>
      </c>
    </row>
    <row r="402" spans="1:14" x14ac:dyDescent="0.2">
      <c r="A402" s="21">
        <f t="shared" si="24"/>
        <v>396</v>
      </c>
      <c r="B402" s="16" t="s">
        <v>478</v>
      </c>
      <c r="C402" s="16">
        <v>1968</v>
      </c>
      <c r="D402" s="16" t="s">
        <v>18</v>
      </c>
      <c r="E402" s="16" t="s">
        <v>122</v>
      </c>
      <c r="F402" s="16" t="s">
        <v>24</v>
      </c>
      <c r="G402" s="16">
        <v>2779</v>
      </c>
      <c r="H402" s="20">
        <v>1</v>
      </c>
      <c r="I402" s="21">
        <f t="shared" si="25"/>
        <v>396</v>
      </c>
      <c r="J402" s="22" t="str">
        <f t="shared" si="26"/>
        <v/>
      </c>
      <c r="K402" s="22" t="str">
        <f t="shared" si="27"/>
        <v/>
      </c>
      <c r="L402"/>
      <c r="M402"/>
      <c r="N402" t="str">
        <f>IF(ISERROR(VLOOKUP(B402,'[1]Zebrik W'!$B$7:$M$1000,12,0)),"",IF(VLOOKUP(B402,'[1]Zebrik W'!$B$7:$M$1000,12,0)=0,"--",VLOOKUP(B402,'[1]Zebrik W'!$B$7:$M$1000,12,0)))</f>
        <v/>
      </c>
    </row>
    <row r="403" spans="1:14" x14ac:dyDescent="0.2">
      <c r="A403" s="21">
        <f t="shared" si="24"/>
        <v>397</v>
      </c>
      <c r="B403" s="16" t="s">
        <v>479</v>
      </c>
      <c r="C403" s="16">
        <v>1985</v>
      </c>
      <c r="D403" s="16" t="s">
        <v>18</v>
      </c>
      <c r="E403" s="16" t="s">
        <v>233</v>
      </c>
      <c r="F403" s="16" t="s">
        <v>20</v>
      </c>
      <c r="G403" s="16">
        <v>2772</v>
      </c>
      <c r="H403" s="20">
        <v>1</v>
      </c>
      <c r="I403" s="21">
        <f t="shared" si="25"/>
        <v>397</v>
      </c>
      <c r="J403" s="22" t="str">
        <f t="shared" si="26"/>
        <v/>
      </c>
      <c r="K403" s="22" t="str">
        <f t="shared" si="27"/>
        <v/>
      </c>
      <c r="L403"/>
      <c r="M403"/>
      <c r="N403" t="str">
        <f>IF(ISERROR(VLOOKUP(B403,'[1]Zebrik W'!$B$7:$M$1000,12,0)),"",IF(VLOOKUP(B403,'[1]Zebrik W'!$B$7:$M$1000,12,0)=0,"--",VLOOKUP(B403,'[1]Zebrik W'!$B$7:$M$1000,12,0)))</f>
        <v/>
      </c>
    </row>
    <row r="404" spans="1:14" x14ac:dyDescent="0.2">
      <c r="A404" s="21">
        <f t="shared" si="24"/>
        <v>398</v>
      </c>
      <c r="B404" s="16" t="s">
        <v>480</v>
      </c>
      <c r="C404" s="16">
        <v>1977</v>
      </c>
      <c r="D404" s="16" t="s">
        <v>18</v>
      </c>
      <c r="E404" s="16" t="s">
        <v>95</v>
      </c>
      <c r="F404" s="16" t="s">
        <v>24</v>
      </c>
      <c r="G404" s="16">
        <v>2715</v>
      </c>
      <c r="H404" s="20">
        <v>1</v>
      </c>
      <c r="I404" s="21">
        <f t="shared" si="25"/>
        <v>398</v>
      </c>
      <c r="J404" s="22" t="str">
        <f t="shared" si="26"/>
        <v/>
      </c>
      <c r="K404" s="22" t="str">
        <f t="shared" si="27"/>
        <v/>
      </c>
      <c r="L404"/>
      <c r="M404"/>
      <c r="N404" t="str">
        <f>IF(ISERROR(VLOOKUP(B404,'[1]Zebrik W'!$B$7:$M$1000,12,0)),"",IF(VLOOKUP(B404,'[1]Zebrik W'!$B$7:$M$1000,12,0)=0,"--",VLOOKUP(B404,'[1]Zebrik W'!$B$7:$M$1000,12,0)))</f>
        <v/>
      </c>
    </row>
    <row r="405" spans="1:14" x14ac:dyDescent="0.2">
      <c r="A405" s="21">
        <f t="shared" si="24"/>
        <v>399</v>
      </c>
      <c r="B405" s="16" t="s">
        <v>481</v>
      </c>
      <c r="C405" s="16">
        <v>1956</v>
      </c>
      <c r="D405" s="16" t="s">
        <v>18</v>
      </c>
      <c r="E405" s="16" t="s">
        <v>482</v>
      </c>
      <c r="F405" s="16" t="s">
        <v>24</v>
      </c>
      <c r="G405" s="16">
        <v>2671</v>
      </c>
      <c r="H405" s="20">
        <v>1</v>
      </c>
      <c r="I405" s="21">
        <f t="shared" si="25"/>
        <v>399</v>
      </c>
      <c r="J405" s="22" t="str">
        <f t="shared" si="26"/>
        <v/>
      </c>
      <c r="K405" s="22" t="str">
        <f t="shared" si="27"/>
        <v/>
      </c>
      <c r="L405"/>
      <c r="M405"/>
      <c r="N405" t="str">
        <f>IF(ISERROR(VLOOKUP(B405,'[1]Zebrik W'!$B$7:$M$1000,12,0)),"",IF(VLOOKUP(B405,'[1]Zebrik W'!$B$7:$M$1000,12,0)=0,"--",VLOOKUP(B405,'[1]Zebrik W'!$B$7:$M$1000,12,0)))</f>
        <v/>
      </c>
    </row>
    <row r="406" spans="1:14" x14ac:dyDescent="0.2">
      <c r="A406" s="21">
        <f t="shared" si="24"/>
        <v>400</v>
      </c>
      <c r="B406" s="16" t="s">
        <v>483</v>
      </c>
      <c r="C406" s="16">
        <v>1979</v>
      </c>
      <c r="D406" s="16" t="s">
        <v>18</v>
      </c>
      <c r="E406" s="16" t="s">
        <v>27</v>
      </c>
      <c r="F406" s="16" t="s">
        <v>20</v>
      </c>
      <c r="G406" s="16">
        <v>2614</v>
      </c>
      <c r="H406" s="20">
        <v>1</v>
      </c>
      <c r="I406" s="21">
        <f t="shared" si="25"/>
        <v>400</v>
      </c>
      <c r="J406" s="22" t="str">
        <f t="shared" si="26"/>
        <v/>
      </c>
      <c r="K406" s="22" t="str">
        <f t="shared" si="27"/>
        <v/>
      </c>
      <c r="L406"/>
      <c r="M406"/>
      <c r="N406" t="str">
        <f>IF(ISERROR(VLOOKUP(B406,'[1]Zebrik W'!$B$7:$M$1000,12,0)),"",IF(VLOOKUP(B406,'[1]Zebrik W'!$B$7:$M$1000,12,0)=0,"--",VLOOKUP(B406,'[1]Zebrik W'!$B$7:$M$1000,12,0)))</f>
        <v/>
      </c>
    </row>
    <row r="407" spans="1:14" x14ac:dyDescent="0.2">
      <c r="A407" s="21">
        <f t="shared" si="24"/>
        <v>401</v>
      </c>
      <c r="B407" s="16" t="s">
        <v>484</v>
      </c>
      <c r="C407" s="16">
        <v>2005</v>
      </c>
      <c r="D407" s="16" t="s">
        <v>18</v>
      </c>
      <c r="E407" s="16" t="s">
        <v>233</v>
      </c>
      <c r="F407" s="16" t="s">
        <v>20</v>
      </c>
      <c r="G407" s="16">
        <v>2577</v>
      </c>
      <c r="H407" s="20">
        <v>1</v>
      </c>
      <c r="I407" s="21">
        <f t="shared" si="25"/>
        <v>401</v>
      </c>
      <c r="J407" s="22" t="str">
        <f t="shared" si="26"/>
        <v>Junior v roce 2026</v>
      </c>
      <c r="K407" s="22" t="str">
        <f t="shared" si="27"/>
        <v>Junior v roce 2027</v>
      </c>
      <c r="L407"/>
      <c r="M407"/>
      <c r="N407" t="str">
        <f>IF(ISERROR(VLOOKUP(B407,'[1]Zebrik W'!$B$7:$M$1000,12,0)),"",IF(VLOOKUP(B407,'[1]Zebrik W'!$B$7:$M$1000,12,0)=0,"--",VLOOKUP(B407,'[1]Zebrik W'!$B$7:$M$1000,12,0)))</f>
        <v/>
      </c>
    </row>
    <row r="408" spans="1:14" x14ac:dyDescent="0.2">
      <c r="A408" s="21">
        <f t="shared" si="24"/>
        <v>402</v>
      </c>
      <c r="B408" s="16" t="s">
        <v>485</v>
      </c>
      <c r="C408" s="16">
        <v>1993</v>
      </c>
      <c r="D408" s="16" t="s">
        <v>49</v>
      </c>
      <c r="E408" s="16" t="s">
        <v>286</v>
      </c>
      <c r="F408" s="16" t="s">
        <v>41</v>
      </c>
      <c r="G408" s="16">
        <v>2570</v>
      </c>
      <c r="H408" s="20">
        <v>1</v>
      </c>
      <c r="I408" s="21">
        <f t="shared" si="25"/>
        <v>402</v>
      </c>
      <c r="J408" s="22" t="str">
        <f t="shared" si="26"/>
        <v/>
      </c>
      <c r="K408" s="22" t="str">
        <f t="shared" si="27"/>
        <v/>
      </c>
      <c r="L408"/>
      <c r="M408"/>
      <c r="N408" t="str">
        <f>IF(ISERROR(VLOOKUP(B408,'[1]Zebrik W'!$B$7:$M$1000,12,0)),"",IF(VLOOKUP(B408,'[1]Zebrik W'!$B$7:$M$1000,12,0)=0,"--",VLOOKUP(B408,'[1]Zebrik W'!$B$7:$M$1000,12,0)))</f>
        <v>--</v>
      </c>
    </row>
    <row r="409" spans="1:14" x14ac:dyDescent="0.2">
      <c r="A409" s="21">
        <f t="shared" si="24"/>
        <v>403</v>
      </c>
      <c r="B409" s="16" t="s">
        <v>486</v>
      </c>
      <c r="C409" s="16">
        <v>1991</v>
      </c>
      <c r="D409" s="16" t="s">
        <v>49</v>
      </c>
      <c r="E409" s="16" t="s">
        <v>33</v>
      </c>
      <c r="F409" s="16" t="s">
        <v>20</v>
      </c>
      <c r="G409" s="16">
        <v>2402</v>
      </c>
      <c r="H409" s="20">
        <v>1</v>
      </c>
      <c r="I409" s="21">
        <f t="shared" si="25"/>
        <v>403</v>
      </c>
      <c r="J409" s="22" t="str">
        <f t="shared" si="26"/>
        <v/>
      </c>
      <c r="K409" s="22" t="str">
        <f t="shared" si="27"/>
        <v/>
      </c>
      <c r="L409"/>
      <c r="M409"/>
      <c r="N409" t="str">
        <f>IF(ISERROR(VLOOKUP(B409,'[1]Zebrik W'!$B$7:$M$1000,12,0)),"",IF(VLOOKUP(B409,'[1]Zebrik W'!$B$7:$M$1000,12,0)=0,"--",VLOOKUP(B409,'[1]Zebrik W'!$B$7:$M$1000,12,0)))</f>
        <v>--</v>
      </c>
    </row>
    <row r="410" spans="1:14" x14ac:dyDescent="0.2">
      <c r="A410" s="21">
        <f t="shared" si="24"/>
        <v>404</v>
      </c>
      <c r="B410" s="16" t="s">
        <v>487</v>
      </c>
      <c r="C410" s="16">
        <v>1973</v>
      </c>
      <c r="D410" s="16" t="s">
        <v>18</v>
      </c>
      <c r="E410" s="16" t="s">
        <v>80</v>
      </c>
      <c r="F410" s="16" t="s">
        <v>20</v>
      </c>
      <c r="G410" s="16">
        <v>2346</v>
      </c>
      <c r="H410" s="20">
        <v>1</v>
      </c>
      <c r="I410" s="21">
        <f t="shared" si="25"/>
        <v>404</v>
      </c>
      <c r="J410" s="22" t="str">
        <f t="shared" si="26"/>
        <v/>
      </c>
      <c r="K410" s="22" t="str">
        <f t="shared" si="27"/>
        <v/>
      </c>
      <c r="L410"/>
      <c r="M410"/>
      <c r="N410" t="str">
        <f>IF(ISERROR(VLOOKUP(B410,'[1]Zebrik W'!$B$7:$M$1000,12,0)),"",IF(VLOOKUP(B410,'[1]Zebrik W'!$B$7:$M$1000,12,0)=0,"--",VLOOKUP(B410,'[1]Zebrik W'!$B$7:$M$1000,12,0)))</f>
        <v/>
      </c>
    </row>
    <row r="411" spans="1:14" x14ac:dyDescent="0.2">
      <c r="A411" s="21">
        <f t="shared" si="24"/>
        <v>405</v>
      </c>
      <c r="B411" s="16" t="s">
        <v>488</v>
      </c>
      <c r="C411" s="16">
        <v>1981</v>
      </c>
      <c r="D411" s="16" t="s">
        <v>18</v>
      </c>
      <c r="E411" s="16" t="s">
        <v>76</v>
      </c>
      <c r="F411" s="16" t="s">
        <v>20</v>
      </c>
      <c r="G411" s="16">
        <v>2265</v>
      </c>
      <c r="H411" s="20">
        <v>1</v>
      </c>
      <c r="I411" s="21">
        <f t="shared" si="25"/>
        <v>405</v>
      </c>
      <c r="J411" s="22" t="str">
        <f t="shared" si="26"/>
        <v/>
      </c>
      <c r="K411" s="22" t="str">
        <f t="shared" si="27"/>
        <v/>
      </c>
      <c r="L411"/>
      <c r="M411"/>
      <c r="N411" t="str">
        <f>IF(ISERROR(VLOOKUP(B411,'[1]Zebrik W'!$B$7:$M$1000,12,0)),"",IF(VLOOKUP(B411,'[1]Zebrik W'!$B$7:$M$1000,12,0)=0,"--",VLOOKUP(B411,'[1]Zebrik W'!$B$7:$M$1000,12,0)))</f>
        <v/>
      </c>
    </row>
    <row r="412" spans="1:14" x14ac:dyDescent="0.2">
      <c r="A412" s="21">
        <f t="shared" si="24"/>
        <v>406</v>
      </c>
      <c r="B412" s="16" t="s">
        <v>489</v>
      </c>
      <c r="C412" s="16">
        <v>1987</v>
      </c>
      <c r="D412" s="16" t="s">
        <v>18</v>
      </c>
      <c r="E412" s="16" t="s">
        <v>160</v>
      </c>
      <c r="F412" s="16" t="s">
        <v>20</v>
      </c>
      <c r="G412" s="16">
        <v>2242</v>
      </c>
      <c r="H412" s="20">
        <v>2</v>
      </c>
      <c r="I412" s="21">
        <f t="shared" si="25"/>
        <v>406</v>
      </c>
      <c r="J412" s="22" t="str">
        <f t="shared" si="26"/>
        <v/>
      </c>
      <c r="K412" s="22" t="str">
        <f t="shared" si="27"/>
        <v/>
      </c>
      <c r="L412"/>
      <c r="M412"/>
      <c r="N412" t="str">
        <f>IF(ISERROR(VLOOKUP(B412,'[1]Zebrik W'!$B$7:$M$1000,12,0)),"",IF(VLOOKUP(B412,'[1]Zebrik W'!$B$7:$M$1000,12,0)=0,"--",VLOOKUP(B412,'[1]Zebrik W'!$B$7:$M$1000,12,0)))</f>
        <v/>
      </c>
    </row>
    <row r="413" spans="1:14" x14ac:dyDescent="0.2">
      <c r="A413" s="21">
        <f t="shared" si="24"/>
        <v>407</v>
      </c>
      <c r="B413" s="16" t="s">
        <v>490</v>
      </c>
      <c r="C413" s="16">
        <v>1980</v>
      </c>
      <c r="D413" s="16" t="s">
        <v>18</v>
      </c>
      <c r="E413" s="16" t="s">
        <v>29</v>
      </c>
      <c r="F413" s="16" t="s">
        <v>24</v>
      </c>
      <c r="G413" s="16">
        <v>2222</v>
      </c>
      <c r="H413" s="20">
        <v>1</v>
      </c>
      <c r="I413" s="21">
        <f t="shared" si="25"/>
        <v>407</v>
      </c>
      <c r="J413" s="22" t="str">
        <f t="shared" si="26"/>
        <v/>
      </c>
      <c r="K413" s="22" t="str">
        <f t="shared" si="27"/>
        <v/>
      </c>
      <c r="N413" t="str">
        <f>IF(ISERROR(VLOOKUP(B413,'[1]Zebrik W'!$B$7:$M$1000,12,0)),"",IF(VLOOKUP(B413,'[1]Zebrik W'!$B$7:$M$1000,12,0)=0,"--",VLOOKUP(B413,'[1]Zebrik W'!$B$7:$M$1000,12,0)))</f>
        <v/>
      </c>
    </row>
    <row r="414" spans="1:14" x14ac:dyDescent="0.2">
      <c r="A414" s="21">
        <f t="shared" si="24"/>
        <v>408</v>
      </c>
      <c r="B414" s="16" t="s">
        <v>491</v>
      </c>
      <c r="C414" s="16">
        <v>1977</v>
      </c>
      <c r="D414" s="16" t="s">
        <v>18</v>
      </c>
      <c r="E414" s="16" t="s">
        <v>31</v>
      </c>
      <c r="F414" s="16" t="s">
        <v>24</v>
      </c>
      <c r="G414" s="16">
        <v>2126</v>
      </c>
      <c r="H414" s="20">
        <v>1</v>
      </c>
      <c r="I414" s="21">
        <f t="shared" si="25"/>
        <v>408</v>
      </c>
      <c r="J414" s="22" t="str">
        <f t="shared" si="26"/>
        <v/>
      </c>
      <c r="K414" s="22" t="str">
        <f t="shared" si="27"/>
        <v/>
      </c>
      <c r="N414" t="str">
        <f>IF(ISERROR(VLOOKUP(B414,'[1]Zebrik W'!$B$7:$M$1000,12,0)),"",IF(VLOOKUP(B414,'[1]Zebrik W'!$B$7:$M$1000,12,0)=0,"--",VLOOKUP(B414,'[1]Zebrik W'!$B$7:$M$1000,12,0)))</f>
        <v/>
      </c>
    </row>
    <row r="415" spans="1:14" x14ac:dyDescent="0.2">
      <c r="A415" s="21">
        <f t="shared" si="24"/>
        <v>409</v>
      </c>
      <c r="B415" s="16" t="s">
        <v>492</v>
      </c>
      <c r="C415" s="16">
        <v>1965</v>
      </c>
      <c r="D415" s="16" t="s">
        <v>18</v>
      </c>
      <c r="E415" s="16" t="s">
        <v>57</v>
      </c>
      <c r="F415" s="16" t="s">
        <v>24</v>
      </c>
      <c r="G415" s="16">
        <v>2124</v>
      </c>
      <c r="H415" s="20">
        <v>1</v>
      </c>
      <c r="I415" s="21">
        <f t="shared" si="25"/>
        <v>409</v>
      </c>
      <c r="J415" s="22" t="str">
        <f t="shared" si="26"/>
        <v/>
      </c>
      <c r="K415" s="22" t="str">
        <f t="shared" si="27"/>
        <v/>
      </c>
      <c r="N415" t="str">
        <f>IF(ISERROR(VLOOKUP(B415,'[1]Zebrik W'!$B$7:$M$1000,12,0)),"",IF(VLOOKUP(B415,'[1]Zebrik W'!$B$7:$M$1000,12,0)=0,"--",VLOOKUP(B415,'[1]Zebrik W'!$B$7:$M$1000,12,0)))</f>
        <v/>
      </c>
    </row>
    <row r="416" spans="1:14" x14ac:dyDescent="0.2">
      <c r="A416" s="21">
        <f t="shared" si="24"/>
        <v>410</v>
      </c>
      <c r="B416" s="16" t="s">
        <v>493</v>
      </c>
      <c r="C416" s="16">
        <v>1967</v>
      </c>
      <c r="D416" s="16" t="s">
        <v>18</v>
      </c>
      <c r="E416" s="16" t="s">
        <v>170</v>
      </c>
      <c r="F416" s="16" t="s">
        <v>41</v>
      </c>
      <c r="G416" s="16">
        <v>2119</v>
      </c>
      <c r="H416" s="20">
        <v>1</v>
      </c>
      <c r="I416" s="21">
        <f t="shared" si="25"/>
        <v>410</v>
      </c>
      <c r="J416" s="22" t="str">
        <f t="shared" si="26"/>
        <v/>
      </c>
      <c r="K416" s="22" t="str">
        <f t="shared" si="27"/>
        <v/>
      </c>
      <c r="N416" t="str">
        <f>IF(ISERROR(VLOOKUP(B416,'[1]Zebrik W'!$B$7:$M$1000,12,0)),"",IF(VLOOKUP(B416,'[1]Zebrik W'!$B$7:$M$1000,12,0)=0,"--",VLOOKUP(B416,'[1]Zebrik W'!$B$7:$M$1000,12,0)))</f>
        <v/>
      </c>
    </row>
    <row r="417" spans="1:14" x14ac:dyDescent="0.2">
      <c r="A417" s="21">
        <f t="shared" si="24"/>
        <v>411</v>
      </c>
      <c r="B417" s="16" t="s">
        <v>494</v>
      </c>
      <c r="C417" s="16">
        <v>1980</v>
      </c>
      <c r="D417" s="16" t="s">
        <v>18</v>
      </c>
      <c r="E417" s="16" t="s">
        <v>33</v>
      </c>
      <c r="F417" s="16" t="s">
        <v>20</v>
      </c>
      <c r="G417" s="16">
        <v>2039</v>
      </c>
      <c r="H417" s="20">
        <v>1</v>
      </c>
      <c r="I417" s="21">
        <f t="shared" si="25"/>
        <v>411</v>
      </c>
      <c r="J417" s="22" t="str">
        <f t="shared" si="26"/>
        <v/>
      </c>
      <c r="K417" s="22" t="str">
        <f t="shared" si="27"/>
        <v/>
      </c>
      <c r="N417" t="str">
        <f>IF(ISERROR(VLOOKUP(B417,'[1]Zebrik W'!$B$7:$M$1000,12,0)),"",IF(VLOOKUP(B417,'[1]Zebrik W'!$B$7:$M$1000,12,0)=0,"--",VLOOKUP(B417,'[1]Zebrik W'!$B$7:$M$1000,12,0)))</f>
        <v/>
      </c>
    </row>
    <row r="418" spans="1:14" x14ac:dyDescent="0.2">
      <c r="A418" s="21">
        <f t="shared" si="24"/>
        <v>412</v>
      </c>
      <c r="B418" s="16" t="s">
        <v>495</v>
      </c>
      <c r="C418" s="16">
        <v>1992</v>
      </c>
      <c r="D418" s="16" t="s">
        <v>18</v>
      </c>
      <c r="E418" s="16" t="s">
        <v>166</v>
      </c>
      <c r="F418" s="16" t="s">
        <v>41</v>
      </c>
      <c r="G418" s="16">
        <v>1994</v>
      </c>
      <c r="H418" s="20">
        <v>1</v>
      </c>
      <c r="I418" s="21">
        <f t="shared" si="25"/>
        <v>412</v>
      </c>
      <c r="J418" s="22" t="str">
        <f t="shared" si="26"/>
        <v/>
      </c>
      <c r="K418" s="22" t="str">
        <f t="shared" si="27"/>
        <v/>
      </c>
      <c r="N418" t="str">
        <f>IF(ISERROR(VLOOKUP(B418,'[1]Zebrik W'!$B$7:$M$1000,12,0)),"",IF(VLOOKUP(B418,'[1]Zebrik W'!$B$7:$M$1000,12,0)=0,"--",VLOOKUP(B418,'[1]Zebrik W'!$B$7:$M$1000,12,0)))</f>
        <v/>
      </c>
    </row>
    <row r="419" spans="1:14" x14ac:dyDescent="0.2">
      <c r="A419" s="21">
        <f t="shared" si="24"/>
        <v>413</v>
      </c>
      <c r="B419" s="16" t="s">
        <v>496</v>
      </c>
      <c r="C419" s="16">
        <v>1970</v>
      </c>
      <c r="D419" s="16" t="s">
        <v>18</v>
      </c>
      <c r="E419" s="16" t="s">
        <v>138</v>
      </c>
      <c r="F419" s="16" t="s">
        <v>24</v>
      </c>
      <c r="G419" s="16">
        <v>1885</v>
      </c>
      <c r="H419" s="20">
        <v>1</v>
      </c>
      <c r="I419" s="21">
        <f t="shared" si="25"/>
        <v>413</v>
      </c>
      <c r="J419" s="22" t="str">
        <f t="shared" si="26"/>
        <v/>
      </c>
      <c r="K419" s="22" t="str">
        <f t="shared" si="27"/>
        <v/>
      </c>
      <c r="N419" t="str">
        <f>IF(ISERROR(VLOOKUP(B419,'[1]Zebrik W'!$B$7:$M$1000,12,0)),"",IF(VLOOKUP(B419,'[1]Zebrik W'!$B$7:$M$1000,12,0)=0,"--",VLOOKUP(B419,'[1]Zebrik W'!$B$7:$M$1000,12,0)))</f>
        <v/>
      </c>
    </row>
    <row r="420" spans="1:14" x14ac:dyDescent="0.2">
      <c r="A420" s="21">
        <f t="shared" si="24"/>
        <v>414</v>
      </c>
      <c r="B420" s="16" t="s">
        <v>497</v>
      </c>
      <c r="C420" s="16">
        <v>1991</v>
      </c>
      <c r="D420" s="16" t="s">
        <v>18</v>
      </c>
      <c r="E420" s="16" t="s">
        <v>19</v>
      </c>
      <c r="F420" s="16" t="s">
        <v>20</v>
      </c>
      <c r="G420" s="16">
        <v>1857</v>
      </c>
      <c r="H420" s="20">
        <v>1</v>
      </c>
      <c r="I420" s="21">
        <f t="shared" si="25"/>
        <v>414</v>
      </c>
      <c r="J420" s="22" t="str">
        <f t="shared" si="26"/>
        <v/>
      </c>
      <c r="K420" s="22" t="str">
        <f t="shared" si="27"/>
        <v/>
      </c>
      <c r="N420" t="str">
        <f>IF(ISERROR(VLOOKUP(B420,'[1]Zebrik W'!$B$7:$M$1000,12,0)),"",IF(VLOOKUP(B420,'[1]Zebrik W'!$B$7:$M$1000,12,0)=0,"--",VLOOKUP(B420,'[1]Zebrik W'!$B$7:$M$1000,12,0)))</f>
        <v/>
      </c>
    </row>
    <row r="421" spans="1:14" x14ac:dyDescent="0.2">
      <c r="A421" s="21">
        <f t="shared" si="24"/>
        <v>415</v>
      </c>
      <c r="B421" s="16" t="s">
        <v>498</v>
      </c>
      <c r="C421" s="16">
        <v>2001</v>
      </c>
      <c r="D421" s="16" t="s">
        <v>49</v>
      </c>
      <c r="E421" s="16" t="s">
        <v>27</v>
      </c>
      <c r="F421" s="16" t="s">
        <v>20</v>
      </c>
      <c r="G421" s="16">
        <v>1852</v>
      </c>
      <c r="H421" s="20">
        <v>1</v>
      </c>
      <c r="I421" s="21">
        <f t="shared" si="25"/>
        <v>415</v>
      </c>
      <c r="J421" s="22" t="str">
        <f t="shared" si="26"/>
        <v>Junior v roce 2026</v>
      </c>
      <c r="K421" s="22" t="str">
        <f t="shared" si="27"/>
        <v/>
      </c>
      <c r="N421" t="str">
        <f>IF(ISERROR(VLOOKUP(B421,'[1]Zebrik W'!$B$7:$M$1000,12,0)),"",IF(VLOOKUP(B421,'[1]Zebrik W'!$B$7:$M$1000,12,0)=0,"--",VLOOKUP(B421,'[1]Zebrik W'!$B$7:$M$1000,12,0)))</f>
        <v>--</v>
      </c>
    </row>
    <row r="422" spans="1:14" x14ac:dyDescent="0.2">
      <c r="A422" s="21">
        <f t="shared" si="24"/>
        <v>416</v>
      </c>
      <c r="B422" s="16" t="s">
        <v>499</v>
      </c>
      <c r="C422" s="16">
        <v>1979</v>
      </c>
      <c r="D422" s="16" t="s">
        <v>18</v>
      </c>
      <c r="E422" s="16" t="s">
        <v>103</v>
      </c>
      <c r="F422" s="16" t="s">
        <v>41</v>
      </c>
      <c r="G422" s="16">
        <v>1743</v>
      </c>
      <c r="H422" s="20">
        <v>1</v>
      </c>
      <c r="I422" s="21">
        <f t="shared" si="25"/>
        <v>416</v>
      </c>
      <c r="J422" s="22" t="str">
        <f t="shared" si="26"/>
        <v/>
      </c>
      <c r="K422" s="22" t="str">
        <f t="shared" si="27"/>
        <v/>
      </c>
      <c r="N422" t="str">
        <f>IF(ISERROR(VLOOKUP(B422,'[1]Zebrik W'!$B$7:$M$1000,12,0)),"",IF(VLOOKUP(B422,'[1]Zebrik W'!$B$7:$M$1000,12,0)=0,"--",VLOOKUP(B422,'[1]Zebrik W'!$B$7:$M$1000,12,0)))</f>
        <v/>
      </c>
    </row>
    <row r="423" spans="1:14" x14ac:dyDescent="0.2">
      <c r="A423" s="21">
        <f t="shared" si="24"/>
        <v>416</v>
      </c>
      <c r="B423" s="16" t="s">
        <v>500</v>
      </c>
      <c r="C423" s="16">
        <v>1982</v>
      </c>
      <c r="D423" s="16" t="s">
        <v>18</v>
      </c>
      <c r="E423" s="16" t="s">
        <v>38</v>
      </c>
      <c r="F423" s="16" t="s">
        <v>24</v>
      </c>
      <c r="G423" s="16">
        <v>1743</v>
      </c>
      <c r="H423" s="20">
        <v>1</v>
      </c>
      <c r="I423" s="21">
        <f t="shared" si="25"/>
        <v>416</v>
      </c>
      <c r="J423" s="22" t="str">
        <f t="shared" si="26"/>
        <v/>
      </c>
      <c r="K423" s="22" t="str">
        <f t="shared" si="27"/>
        <v/>
      </c>
      <c r="N423" t="str">
        <f>IF(ISERROR(VLOOKUP(B423,'[1]Zebrik W'!$B$7:$M$1000,12,0)),"",IF(VLOOKUP(B423,'[1]Zebrik W'!$B$7:$M$1000,12,0)=0,"--",VLOOKUP(B423,'[1]Zebrik W'!$B$7:$M$1000,12,0)))</f>
        <v/>
      </c>
    </row>
    <row r="424" spans="1:14" x14ac:dyDescent="0.2">
      <c r="A424" s="21">
        <f t="shared" si="24"/>
        <v>418</v>
      </c>
      <c r="B424" s="16" t="s">
        <v>501</v>
      </c>
      <c r="C424" s="16">
        <v>1972</v>
      </c>
      <c r="D424" s="16" t="s">
        <v>18</v>
      </c>
      <c r="E424" s="16" t="s">
        <v>73</v>
      </c>
      <c r="F424" s="16" t="s">
        <v>20</v>
      </c>
      <c r="G424" s="16">
        <v>1724</v>
      </c>
      <c r="H424" s="20">
        <v>1</v>
      </c>
      <c r="I424" s="21">
        <f t="shared" si="25"/>
        <v>418</v>
      </c>
      <c r="J424" s="22" t="str">
        <f t="shared" si="26"/>
        <v/>
      </c>
      <c r="K424" s="22" t="str">
        <f t="shared" si="27"/>
        <v/>
      </c>
      <c r="N424" t="str">
        <f>IF(ISERROR(VLOOKUP(B424,'[1]Zebrik W'!$B$7:$M$1000,12,0)),"",IF(VLOOKUP(B424,'[1]Zebrik W'!$B$7:$M$1000,12,0)=0,"--",VLOOKUP(B424,'[1]Zebrik W'!$B$7:$M$1000,12,0)))</f>
        <v/>
      </c>
    </row>
    <row r="425" spans="1:14" x14ac:dyDescent="0.2">
      <c r="A425" s="21">
        <f t="shared" si="24"/>
        <v>419</v>
      </c>
      <c r="B425" s="16" t="s">
        <v>502</v>
      </c>
      <c r="C425" s="16">
        <v>1967</v>
      </c>
      <c r="D425" s="16" t="s">
        <v>18</v>
      </c>
      <c r="E425" s="16" t="s">
        <v>27</v>
      </c>
      <c r="F425" s="16" t="s">
        <v>20</v>
      </c>
      <c r="G425" s="16">
        <v>1533</v>
      </c>
      <c r="H425" s="20">
        <v>1</v>
      </c>
      <c r="I425" s="21">
        <f t="shared" si="25"/>
        <v>419</v>
      </c>
      <c r="J425" s="22" t="str">
        <f t="shared" si="26"/>
        <v/>
      </c>
      <c r="K425" s="22" t="str">
        <f t="shared" si="27"/>
        <v/>
      </c>
      <c r="N425" t="str">
        <f>IF(ISERROR(VLOOKUP(B425,'[1]Zebrik W'!$B$7:$M$1000,12,0)),"",IF(VLOOKUP(B425,'[1]Zebrik W'!$B$7:$M$1000,12,0)=0,"--",VLOOKUP(B425,'[1]Zebrik W'!$B$7:$M$1000,12,0)))</f>
        <v/>
      </c>
    </row>
    <row r="426" spans="1:14" x14ac:dyDescent="0.2">
      <c r="A426" s="21">
        <f t="shared" si="24"/>
        <v>420</v>
      </c>
      <c r="B426" s="16" t="s">
        <v>503</v>
      </c>
      <c r="C426" s="16">
        <v>1939</v>
      </c>
      <c r="D426" s="16" t="s">
        <v>18</v>
      </c>
      <c r="E426" s="16" t="s">
        <v>504</v>
      </c>
      <c r="F426" s="16" t="s">
        <v>20</v>
      </c>
      <c r="G426" s="16">
        <v>1532</v>
      </c>
      <c r="H426" s="20">
        <v>3</v>
      </c>
      <c r="I426" s="21">
        <f t="shared" si="25"/>
        <v>420</v>
      </c>
      <c r="J426" s="22" t="str">
        <f t="shared" si="26"/>
        <v/>
      </c>
      <c r="K426" s="22" t="str">
        <f t="shared" si="27"/>
        <v/>
      </c>
      <c r="N426" t="str">
        <f>IF(ISERROR(VLOOKUP(B426,'[1]Zebrik W'!$B$7:$M$1000,12,0)),"",IF(VLOOKUP(B426,'[1]Zebrik W'!$B$7:$M$1000,12,0)=0,"--",VLOOKUP(B426,'[1]Zebrik W'!$B$7:$M$1000,12,0)))</f>
        <v/>
      </c>
    </row>
    <row r="427" spans="1:14" x14ac:dyDescent="0.2">
      <c r="A427" s="21">
        <f t="shared" si="24"/>
        <v>421</v>
      </c>
      <c r="B427" s="16" t="s">
        <v>505</v>
      </c>
      <c r="C427" s="16">
        <v>1970</v>
      </c>
      <c r="D427" s="16" t="s">
        <v>18</v>
      </c>
      <c r="E427" s="16" t="s">
        <v>157</v>
      </c>
      <c r="F427" s="16" t="s">
        <v>24</v>
      </c>
      <c r="G427" s="16">
        <v>1487</v>
      </c>
      <c r="H427" s="20">
        <v>1</v>
      </c>
      <c r="I427" s="21">
        <f t="shared" si="25"/>
        <v>421</v>
      </c>
      <c r="J427" s="22" t="str">
        <f t="shared" si="26"/>
        <v/>
      </c>
      <c r="K427" s="22" t="str">
        <f t="shared" si="27"/>
        <v/>
      </c>
      <c r="N427" t="str">
        <f>IF(ISERROR(VLOOKUP(B427,'[1]Zebrik W'!$B$7:$M$1000,12,0)),"",IF(VLOOKUP(B427,'[1]Zebrik W'!$B$7:$M$1000,12,0)=0,"--",VLOOKUP(B427,'[1]Zebrik W'!$B$7:$M$1000,12,0)))</f>
        <v/>
      </c>
    </row>
    <row r="428" spans="1:14" x14ac:dyDescent="0.2">
      <c r="A428" s="21">
        <f t="shared" si="24"/>
        <v>422</v>
      </c>
      <c r="B428" s="16" t="s">
        <v>506</v>
      </c>
      <c r="C428" s="16">
        <v>1959</v>
      </c>
      <c r="D428" s="16" t="s">
        <v>18</v>
      </c>
      <c r="E428" s="16" t="s">
        <v>65</v>
      </c>
      <c r="F428" s="16" t="s">
        <v>41</v>
      </c>
      <c r="G428" s="16">
        <v>1483</v>
      </c>
      <c r="H428" s="20">
        <v>2</v>
      </c>
      <c r="I428" s="21">
        <f t="shared" si="25"/>
        <v>422</v>
      </c>
      <c r="J428" s="22" t="str">
        <f t="shared" si="26"/>
        <v/>
      </c>
      <c r="K428" s="22" t="str">
        <f t="shared" si="27"/>
        <v/>
      </c>
      <c r="N428" t="str">
        <f>IF(ISERROR(VLOOKUP(B428,'[1]Zebrik W'!$B$7:$M$1000,12,0)),"",IF(VLOOKUP(B428,'[1]Zebrik W'!$B$7:$M$1000,12,0)=0,"--",VLOOKUP(B428,'[1]Zebrik W'!$B$7:$M$1000,12,0)))</f>
        <v/>
      </c>
    </row>
    <row r="429" spans="1:14" x14ac:dyDescent="0.2">
      <c r="A429" s="21">
        <f t="shared" si="24"/>
        <v>423</v>
      </c>
      <c r="B429" s="16" t="s">
        <v>507</v>
      </c>
      <c r="C429" s="16">
        <v>1940</v>
      </c>
      <c r="D429" s="16" t="s">
        <v>18</v>
      </c>
      <c r="E429" s="16" t="s">
        <v>27</v>
      </c>
      <c r="F429" s="16" t="s">
        <v>20</v>
      </c>
      <c r="G429" s="16">
        <v>1426</v>
      </c>
      <c r="H429" s="20">
        <v>1</v>
      </c>
      <c r="I429" s="21">
        <f t="shared" si="25"/>
        <v>423</v>
      </c>
      <c r="J429" s="22" t="str">
        <f t="shared" si="26"/>
        <v/>
      </c>
      <c r="K429" s="22" t="str">
        <f t="shared" si="27"/>
        <v/>
      </c>
      <c r="N429" t="str">
        <f>IF(ISERROR(VLOOKUP(B429,'[1]Zebrik W'!$B$7:$M$1000,12,0)),"",IF(VLOOKUP(B429,'[1]Zebrik W'!$B$7:$M$1000,12,0)=0,"--",VLOOKUP(B429,'[1]Zebrik W'!$B$7:$M$1000,12,0)))</f>
        <v/>
      </c>
    </row>
    <row r="430" spans="1:14" x14ac:dyDescent="0.2">
      <c r="A430" s="21">
        <f t="shared" si="24"/>
        <v>424</v>
      </c>
      <c r="B430" s="16" t="s">
        <v>508</v>
      </c>
      <c r="C430" s="16">
        <v>1973</v>
      </c>
      <c r="D430" s="16" t="s">
        <v>18</v>
      </c>
      <c r="E430" s="16" t="s">
        <v>31</v>
      </c>
      <c r="F430" s="16" t="s">
        <v>24</v>
      </c>
      <c r="G430" s="16">
        <v>1370</v>
      </c>
      <c r="H430" s="20">
        <v>1</v>
      </c>
      <c r="I430" s="21">
        <f t="shared" si="25"/>
        <v>424</v>
      </c>
      <c r="J430" s="22" t="str">
        <f t="shared" si="26"/>
        <v/>
      </c>
      <c r="K430" s="22" t="str">
        <f t="shared" si="27"/>
        <v/>
      </c>
      <c r="N430" t="str">
        <f>IF(ISERROR(VLOOKUP(B430,'[1]Zebrik W'!$B$7:$M$1000,12,0)),"",IF(VLOOKUP(B430,'[1]Zebrik W'!$B$7:$M$1000,12,0)=0,"--",VLOOKUP(B430,'[1]Zebrik W'!$B$7:$M$1000,12,0)))</f>
        <v/>
      </c>
    </row>
    <row r="431" spans="1:14" x14ac:dyDescent="0.2">
      <c r="A431" s="21">
        <f t="shared" si="24"/>
        <v>425</v>
      </c>
      <c r="B431" s="16" t="s">
        <v>509</v>
      </c>
      <c r="C431" s="16">
        <v>1975</v>
      </c>
      <c r="D431" s="16" t="s">
        <v>18</v>
      </c>
      <c r="E431" s="16" t="s">
        <v>138</v>
      </c>
      <c r="F431" s="16" t="s">
        <v>24</v>
      </c>
      <c r="G431" s="16">
        <v>1343</v>
      </c>
      <c r="H431" s="20">
        <v>1</v>
      </c>
      <c r="I431" s="21">
        <f t="shared" si="25"/>
        <v>425</v>
      </c>
      <c r="J431" s="22" t="str">
        <f t="shared" si="26"/>
        <v/>
      </c>
      <c r="K431" s="22" t="str">
        <f t="shared" si="27"/>
        <v/>
      </c>
      <c r="N431" t="str">
        <f>IF(ISERROR(VLOOKUP(B431,'[1]Zebrik W'!$B$7:$M$1000,12,0)),"",IF(VLOOKUP(B431,'[1]Zebrik W'!$B$7:$M$1000,12,0)=0,"--",VLOOKUP(B431,'[1]Zebrik W'!$B$7:$M$1000,12,0)))</f>
        <v/>
      </c>
    </row>
    <row r="432" spans="1:14" x14ac:dyDescent="0.2">
      <c r="A432" s="21">
        <f t="shared" si="24"/>
        <v>426</v>
      </c>
      <c r="B432" s="16" t="s">
        <v>510</v>
      </c>
      <c r="C432" s="16">
        <v>1967</v>
      </c>
      <c r="D432" s="16" t="s">
        <v>18</v>
      </c>
      <c r="E432" s="16" t="s">
        <v>33</v>
      </c>
      <c r="F432" s="16" t="s">
        <v>20</v>
      </c>
      <c r="G432" s="16">
        <v>1265</v>
      </c>
      <c r="H432" s="20">
        <v>1</v>
      </c>
      <c r="I432" s="21">
        <f t="shared" si="25"/>
        <v>426</v>
      </c>
      <c r="J432" s="22" t="str">
        <f t="shared" si="26"/>
        <v/>
      </c>
      <c r="K432" s="22" t="str">
        <f t="shared" si="27"/>
        <v/>
      </c>
      <c r="N432" t="str">
        <f>IF(ISERROR(VLOOKUP(B432,'[1]Zebrik W'!$B$7:$M$1000,12,0)),"",IF(VLOOKUP(B432,'[1]Zebrik W'!$B$7:$M$1000,12,0)=0,"--",VLOOKUP(B432,'[1]Zebrik W'!$B$7:$M$1000,12,0)))</f>
        <v/>
      </c>
    </row>
    <row r="433" spans="1:14" x14ac:dyDescent="0.2">
      <c r="A433" s="21">
        <f t="shared" si="24"/>
        <v>427</v>
      </c>
      <c r="B433" s="16" t="s">
        <v>511</v>
      </c>
      <c r="C433" s="16">
        <v>1961</v>
      </c>
      <c r="D433" s="16" t="s">
        <v>18</v>
      </c>
      <c r="E433" s="16" t="s">
        <v>45</v>
      </c>
      <c r="F433" s="16" t="s">
        <v>24</v>
      </c>
      <c r="G433" s="16">
        <v>1221</v>
      </c>
      <c r="H433" s="20">
        <v>1</v>
      </c>
      <c r="I433" s="21">
        <f t="shared" si="25"/>
        <v>427</v>
      </c>
      <c r="J433" s="22" t="str">
        <f t="shared" si="26"/>
        <v/>
      </c>
      <c r="K433" s="22" t="str">
        <f t="shared" si="27"/>
        <v/>
      </c>
      <c r="N433" t="str">
        <f>IF(ISERROR(VLOOKUP(B433,'[1]Zebrik W'!$B$7:$M$1000,12,0)),"",IF(VLOOKUP(B433,'[1]Zebrik W'!$B$7:$M$1000,12,0)=0,"--",VLOOKUP(B433,'[1]Zebrik W'!$B$7:$M$1000,12,0)))</f>
        <v/>
      </c>
    </row>
    <row r="434" spans="1:14" x14ac:dyDescent="0.2">
      <c r="A434" s="21">
        <f t="shared" si="24"/>
        <v>428</v>
      </c>
      <c r="B434" s="16" t="s">
        <v>512</v>
      </c>
      <c r="C434" s="16">
        <v>1974</v>
      </c>
      <c r="D434" s="16" t="s">
        <v>18</v>
      </c>
      <c r="E434" s="16" t="s">
        <v>45</v>
      </c>
      <c r="F434" s="16" t="s">
        <v>24</v>
      </c>
      <c r="G434" s="16">
        <v>1179</v>
      </c>
      <c r="H434" s="20">
        <v>1</v>
      </c>
      <c r="I434" s="21">
        <f t="shared" si="25"/>
        <v>428</v>
      </c>
      <c r="J434" s="22" t="str">
        <f t="shared" si="26"/>
        <v/>
      </c>
      <c r="K434" s="22" t="str">
        <f t="shared" si="27"/>
        <v/>
      </c>
      <c r="N434" t="str">
        <f>IF(ISERROR(VLOOKUP(B434,'[1]Zebrik W'!$B$7:$M$1000,12,0)),"",IF(VLOOKUP(B434,'[1]Zebrik W'!$B$7:$M$1000,12,0)=0,"--",VLOOKUP(B434,'[1]Zebrik W'!$B$7:$M$1000,12,0)))</f>
        <v/>
      </c>
    </row>
    <row r="435" spans="1:14" x14ac:dyDescent="0.2">
      <c r="A435" s="21">
        <f t="shared" si="24"/>
        <v>429</v>
      </c>
      <c r="B435" s="16" t="s">
        <v>513</v>
      </c>
      <c r="C435" s="16">
        <v>2004</v>
      </c>
      <c r="D435" s="16" t="s">
        <v>18</v>
      </c>
      <c r="E435" s="16" t="s">
        <v>99</v>
      </c>
      <c r="F435" s="16" t="s">
        <v>24</v>
      </c>
      <c r="G435" s="16">
        <v>1156</v>
      </c>
      <c r="H435" s="20">
        <v>1</v>
      </c>
      <c r="I435" s="21">
        <f t="shared" si="25"/>
        <v>429</v>
      </c>
      <c r="J435" s="22" t="str">
        <f t="shared" si="26"/>
        <v>Junior v roce 2026</v>
      </c>
      <c r="K435" s="22" t="str">
        <f t="shared" si="27"/>
        <v>Junior v roce 2027</v>
      </c>
      <c r="N435" t="str">
        <f>IF(ISERROR(VLOOKUP(B435,'[1]Zebrik W'!$B$7:$M$1000,12,0)),"",IF(VLOOKUP(B435,'[1]Zebrik W'!$B$7:$M$1000,12,0)=0,"--",VLOOKUP(B435,'[1]Zebrik W'!$B$7:$M$1000,12,0)))</f>
        <v/>
      </c>
    </row>
    <row r="436" spans="1:14" x14ac:dyDescent="0.2">
      <c r="A436" s="21">
        <f t="shared" si="24"/>
        <v>430</v>
      </c>
      <c r="B436" s="16" t="s">
        <v>514</v>
      </c>
      <c r="C436" s="16">
        <v>1982</v>
      </c>
      <c r="D436" s="16" t="s">
        <v>18</v>
      </c>
      <c r="E436" s="16" t="s">
        <v>140</v>
      </c>
      <c r="F436" s="16" t="s">
        <v>20</v>
      </c>
      <c r="G436" s="16">
        <v>1029</v>
      </c>
      <c r="H436" s="20">
        <v>1</v>
      </c>
      <c r="I436" s="21">
        <f t="shared" si="25"/>
        <v>430</v>
      </c>
      <c r="J436" s="22" t="str">
        <f t="shared" si="26"/>
        <v/>
      </c>
      <c r="K436" s="22" t="str">
        <f t="shared" si="27"/>
        <v/>
      </c>
      <c r="N436" t="str">
        <f>IF(ISERROR(VLOOKUP(B436,'[1]Zebrik W'!$B$7:$M$1000,12,0)),"",IF(VLOOKUP(B436,'[1]Zebrik W'!$B$7:$M$1000,12,0)=0,"--",VLOOKUP(B436,'[1]Zebrik W'!$B$7:$M$1000,12,0)))</f>
        <v/>
      </c>
    </row>
    <row r="437" spans="1:14" x14ac:dyDescent="0.2">
      <c r="A437" s="21">
        <f t="shared" si="24"/>
        <v>431</v>
      </c>
      <c r="B437" s="16" t="s">
        <v>515</v>
      </c>
      <c r="C437" s="16">
        <v>1979</v>
      </c>
      <c r="D437" s="16" t="s">
        <v>18</v>
      </c>
      <c r="E437" s="16" t="s">
        <v>206</v>
      </c>
      <c r="F437" s="16" t="s">
        <v>20</v>
      </c>
      <c r="G437" s="16">
        <v>1006</v>
      </c>
      <c r="H437" s="20">
        <v>1</v>
      </c>
      <c r="I437" s="21">
        <f t="shared" si="25"/>
        <v>431</v>
      </c>
      <c r="J437" s="22" t="str">
        <f t="shared" si="26"/>
        <v/>
      </c>
      <c r="K437" s="22" t="str">
        <f t="shared" si="27"/>
        <v/>
      </c>
      <c r="N437" t="str">
        <f>IF(ISERROR(VLOOKUP(B437,'[1]Zebrik W'!$B$7:$M$1000,12,0)),"",IF(VLOOKUP(B437,'[1]Zebrik W'!$B$7:$M$1000,12,0)=0,"--",VLOOKUP(B437,'[1]Zebrik W'!$B$7:$M$1000,12,0)))</f>
        <v/>
      </c>
    </row>
    <row r="438" spans="1:14" x14ac:dyDescent="0.2">
      <c r="A438" s="21">
        <f t="shared" si="24"/>
        <v>432</v>
      </c>
      <c r="B438" s="16" t="s">
        <v>516</v>
      </c>
      <c r="C438" s="16">
        <v>1961</v>
      </c>
      <c r="D438" s="16" t="s">
        <v>18</v>
      </c>
      <c r="E438" s="16" t="s">
        <v>59</v>
      </c>
      <c r="F438" s="16" t="s">
        <v>41</v>
      </c>
      <c r="G438" s="16">
        <v>983</v>
      </c>
      <c r="H438" s="20">
        <v>1</v>
      </c>
      <c r="I438" s="21">
        <f t="shared" si="25"/>
        <v>432</v>
      </c>
      <c r="J438" s="22" t="str">
        <f t="shared" si="26"/>
        <v/>
      </c>
      <c r="K438" s="22" t="str">
        <f t="shared" si="27"/>
        <v/>
      </c>
      <c r="N438" t="str">
        <f>IF(ISERROR(VLOOKUP(B438,'[1]Zebrik W'!$B$7:$M$1000,12,0)),"",IF(VLOOKUP(B438,'[1]Zebrik W'!$B$7:$M$1000,12,0)=0,"--",VLOOKUP(B438,'[1]Zebrik W'!$B$7:$M$1000,12,0)))</f>
        <v/>
      </c>
    </row>
    <row r="439" spans="1:14" x14ac:dyDescent="0.2">
      <c r="A439" s="21">
        <f t="shared" si="24"/>
        <v>433</v>
      </c>
      <c r="B439" s="16" t="s">
        <v>517</v>
      </c>
      <c r="C439" s="16">
        <v>1974</v>
      </c>
      <c r="D439" s="16" t="s">
        <v>18</v>
      </c>
      <c r="E439" s="16" t="s">
        <v>188</v>
      </c>
      <c r="F439" s="16" t="s">
        <v>41</v>
      </c>
      <c r="G439" s="16">
        <v>958</v>
      </c>
      <c r="H439" s="20">
        <v>1</v>
      </c>
      <c r="I439" s="21">
        <f t="shared" si="25"/>
        <v>433</v>
      </c>
      <c r="J439" s="22" t="str">
        <f t="shared" si="26"/>
        <v/>
      </c>
      <c r="K439" s="22" t="str">
        <f t="shared" si="27"/>
        <v/>
      </c>
      <c r="N439" t="str">
        <f>IF(ISERROR(VLOOKUP(B439,'[1]Zebrik W'!$B$7:$M$1000,12,0)),"",IF(VLOOKUP(B439,'[1]Zebrik W'!$B$7:$M$1000,12,0)=0,"--",VLOOKUP(B439,'[1]Zebrik W'!$B$7:$M$1000,12,0)))</f>
        <v/>
      </c>
    </row>
    <row r="440" spans="1:14" x14ac:dyDescent="0.2">
      <c r="A440" s="21">
        <f t="shared" si="24"/>
        <v>434</v>
      </c>
      <c r="B440" s="16" t="s">
        <v>518</v>
      </c>
      <c r="C440" s="16">
        <v>1974</v>
      </c>
      <c r="D440" s="16" t="s">
        <v>18</v>
      </c>
      <c r="E440" s="16" t="s">
        <v>99</v>
      </c>
      <c r="F440" s="16" t="s">
        <v>24</v>
      </c>
      <c r="G440" s="16">
        <v>874</v>
      </c>
      <c r="H440" s="20">
        <v>1</v>
      </c>
      <c r="I440" s="21">
        <f t="shared" si="25"/>
        <v>434</v>
      </c>
      <c r="J440" s="22" t="str">
        <f t="shared" si="26"/>
        <v/>
      </c>
      <c r="K440" s="22" t="str">
        <f t="shared" si="27"/>
        <v/>
      </c>
      <c r="N440" t="str">
        <f>IF(ISERROR(VLOOKUP(B440,'[1]Zebrik W'!$B$7:$M$1000,12,0)),"",IF(VLOOKUP(B440,'[1]Zebrik W'!$B$7:$M$1000,12,0)=0,"--",VLOOKUP(B440,'[1]Zebrik W'!$B$7:$M$1000,12,0)))</f>
        <v/>
      </c>
    </row>
    <row r="441" spans="1:14" x14ac:dyDescent="0.2">
      <c r="A441" s="21">
        <f t="shared" si="24"/>
        <v>435</v>
      </c>
      <c r="B441" s="16" t="s">
        <v>519</v>
      </c>
      <c r="C441" s="16">
        <v>1974</v>
      </c>
      <c r="D441" s="16" t="s">
        <v>18</v>
      </c>
      <c r="E441" s="16" t="s">
        <v>157</v>
      </c>
      <c r="F441" s="16" t="s">
        <v>24</v>
      </c>
      <c r="G441" s="16">
        <v>800</v>
      </c>
      <c r="H441" s="20">
        <v>1</v>
      </c>
      <c r="I441" s="21">
        <f t="shared" si="25"/>
        <v>435</v>
      </c>
      <c r="J441" s="22" t="str">
        <f t="shared" si="26"/>
        <v/>
      </c>
      <c r="K441" s="22" t="str">
        <f t="shared" si="27"/>
        <v/>
      </c>
      <c r="N441" t="str">
        <f>IF(ISERROR(VLOOKUP(B441,'[1]Zebrik W'!$B$7:$M$1000,12,0)),"",IF(VLOOKUP(B441,'[1]Zebrik W'!$B$7:$M$1000,12,0)=0,"--",VLOOKUP(B441,'[1]Zebrik W'!$B$7:$M$1000,12,0)))</f>
        <v/>
      </c>
    </row>
    <row r="442" spans="1:14" x14ac:dyDescent="0.2">
      <c r="A442" s="21">
        <f t="shared" si="24"/>
        <v>436</v>
      </c>
      <c r="B442" s="16" t="s">
        <v>520</v>
      </c>
      <c r="C442" s="16">
        <v>1975</v>
      </c>
      <c r="D442" s="16" t="s">
        <v>18</v>
      </c>
      <c r="E442" s="16" t="s">
        <v>127</v>
      </c>
      <c r="F442" s="16" t="s">
        <v>41</v>
      </c>
      <c r="G442" s="16">
        <v>722</v>
      </c>
      <c r="H442" s="20">
        <v>1</v>
      </c>
      <c r="I442" s="21">
        <f t="shared" si="25"/>
        <v>436</v>
      </c>
      <c r="J442" s="22" t="str">
        <f t="shared" si="26"/>
        <v/>
      </c>
      <c r="K442" s="22" t="str">
        <f t="shared" si="27"/>
        <v/>
      </c>
      <c r="N442" t="str">
        <f>IF(ISERROR(VLOOKUP(B442,'[1]Zebrik W'!$B$7:$M$1000,12,0)),"",IF(VLOOKUP(B442,'[1]Zebrik W'!$B$7:$M$1000,12,0)=0,"--",VLOOKUP(B442,'[1]Zebrik W'!$B$7:$M$1000,12,0)))</f>
        <v/>
      </c>
    </row>
    <row r="443" spans="1:14" x14ac:dyDescent="0.2">
      <c r="A443" s="21">
        <f t="shared" si="24"/>
        <v>437</v>
      </c>
      <c r="B443" s="16" t="s">
        <v>521</v>
      </c>
      <c r="C443" s="16">
        <v>1974</v>
      </c>
      <c r="D443" s="16" t="s">
        <v>18</v>
      </c>
      <c r="E443" s="16" t="s">
        <v>278</v>
      </c>
      <c r="F443" s="16" t="s">
        <v>41</v>
      </c>
      <c r="G443" s="16">
        <v>720</v>
      </c>
      <c r="H443" s="20">
        <v>1</v>
      </c>
      <c r="I443" s="21">
        <f t="shared" si="25"/>
        <v>437</v>
      </c>
      <c r="J443" s="22" t="str">
        <f t="shared" si="26"/>
        <v/>
      </c>
      <c r="K443" s="22" t="str">
        <f t="shared" si="27"/>
        <v/>
      </c>
      <c r="N443" t="str">
        <f>IF(ISERROR(VLOOKUP(B443,'[1]Zebrik W'!$B$7:$M$1000,12,0)),"",IF(VLOOKUP(B443,'[1]Zebrik W'!$B$7:$M$1000,12,0)=0,"--",VLOOKUP(B443,'[1]Zebrik W'!$B$7:$M$1000,12,0)))</f>
        <v/>
      </c>
    </row>
    <row r="444" spans="1:14" x14ac:dyDescent="0.2">
      <c r="A444" s="21">
        <f t="shared" si="24"/>
        <v>438</v>
      </c>
      <c r="B444" s="16" t="s">
        <v>522</v>
      </c>
      <c r="C444" s="16">
        <v>1960</v>
      </c>
      <c r="D444" s="16" t="s">
        <v>18</v>
      </c>
      <c r="E444" s="16" t="s">
        <v>523</v>
      </c>
      <c r="F444" s="16" t="s">
        <v>24</v>
      </c>
      <c r="G444" s="16">
        <v>606</v>
      </c>
      <c r="H444" s="20">
        <v>1</v>
      </c>
      <c r="I444" s="21">
        <f t="shared" si="25"/>
        <v>438</v>
      </c>
      <c r="J444" s="22" t="str">
        <f t="shared" si="26"/>
        <v/>
      </c>
      <c r="K444" s="22" t="str">
        <f t="shared" si="27"/>
        <v/>
      </c>
      <c r="N444" t="str">
        <f>IF(ISERROR(VLOOKUP(B444,'[1]Zebrik W'!$B$7:$M$1000,12,0)),"",IF(VLOOKUP(B444,'[1]Zebrik W'!$B$7:$M$1000,12,0)=0,"--",VLOOKUP(B444,'[1]Zebrik W'!$B$7:$M$1000,12,0)))</f>
        <v/>
      </c>
    </row>
    <row r="445" spans="1:14" x14ac:dyDescent="0.2">
      <c r="A445" s="21">
        <f t="shared" si="24"/>
        <v>439</v>
      </c>
      <c r="B445" s="16" t="s">
        <v>524</v>
      </c>
      <c r="C445" s="16">
        <v>1983</v>
      </c>
      <c r="D445" s="16" t="s">
        <v>18</v>
      </c>
      <c r="E445" s="16" t="s">
        <v>193</v>
      </c>
      <c r="F445" s="16" t="s">
        <v>24</v>
      </c>
      <c r="G445" s="16">
        <v>584</v>
      </c>
      <c r="H445" s="20">
        <v>1</v>
      </c>
      <c r="I445" s="21">
        <f t="shared" si="25"/>
        <v>439</v>
      </c>
      <c r="J445" s="22" t="str">
        <f t="shared" si="26"/>
        <v/>
      </c>
      <c r="K445" s="22" t="str">
        <f t="shared" si="27"/>
        <v/>
      </c>
      <c r="N445" t="str">
        <f>IF(ISERROR(VLOOKUP(B445,'[1]Zebrik W'!$B$7:$M$1000,12,0)),"",IF(VLOOKUP(B445,'[1]Zebrik W'!$B$7:$M$1000,12,0)=0,"--",VLOOKUP(B445,'[1]Zebrik W'!$B$7:$M$1000,12,0)))</f>
        <v/>
      </c>
    </row>
    <row r="446" spans="1:14" x14ac:dyDescent="0.2">
      <c r="A446" s="21">
        <f t="shared" si="24"/>
        <v>440</v>
      </c>
      <c r="B446" s="16" t="s">
        <v>525</v>
      </c>
      <c r="C446" s="16">
        <v>1954</v>
      </c>
      <c r="D446" s="16" t="s">
        <v>18</v>
      </c>
      <c r="E446" s="16" t="s">
        <v>29</v>
      </c>
      <c r="F446" s="16" t="s">
        <v>24</v>
      </c>
      <c r="G446" s="16">
        <v>507</v>
      </c>
      <c r="H446" s="20">
        <v>1</v>
      </c>
      <c r="I446" s="21">
        <f t="shared" si="25"/>
        <v>440</v>
      </c>
      <c r="J446" s="22" t="str">
        <f t="shared" si="26"/>
        <v/>
      </c>
      <c r="K446" s="22" t="str">
        <f t="shared" si="27"/>
        <v/>
      </c>
      <c r="N446" t="str">
        <f>IF(ISERROR(VLOOKUP(B446,'[1]Zebrik W'!$B$7:$M$1000,12,0)),"",IF(VLOOKUP(B446,'[1]Zebrik W'!$B$7:$M$1000,12,0)=0,"--",VLOOKUP(B446,'[1]Zebrik W'!$B$7:$M$1000,12,0)))</f>
        <v/>
      </c>
    </row>
    <row r="447" spans="1:14" x14ac:dyDescent="0.2">
      <c r="A447" s="21">
        <f t="shared" si="24"/>
        <v>441</v>
      </c>
      <c r="B447" s="16" t="s">
        <v>526</v>
      </c>
      <c r="C447" s="16">
        <v>1971</v>
      </c>
      <c r="D447" s="16" t="s">
        <v>18</v>
      </c>
      <c r="E447" s="16" t="s">
        <v>105</v>
      </c>
      <c r="F447" s="16" t="s">
        <v>20</v>
      </c>
      <c r="G447" s="16">
        <v>504</v>
      </c>
      <c r="H447" s="20">
        <v>1</v>
      </c>
      <c r="I447" s="21">
        <f t="shared" si="25"/>
        <v>441</v>
      </c>
      <c r="J447" s="22" t="str">
        <f t="shared" si="26"/>
        <v/>
      </c>
      <c r="K447" s="22" t="str">
        <f t="shared" si="27"/>
        <v/>
      </c>
      <c r="N447" t="str">
        <f>IF(ISERROR(VLOOKUP(B447,'[1]Zebrik W'!$B$7:$M$1000,12,0)),"",IF(VLOOKUP(B447,'[1]Zebrik W'!$B$7:$M$1000,12,0)=0,"--",VLOOKUP(B447,'[1]Zebrik W'!$B$7:$M$1000,12,0)))</f>
        <v/>
      </c>
    </row>
    <row r="448" spans="1:14" x14ac:dyDescent="0.2">
      <c r="A448" s="21">
        <f t="shared" si="24"/>
        <v>442</v>
      </c>
      <c r="B448" s="16" t="s">
        <v>527</v>
      </c>
      <c r="C448" s="16">
        <v>1954</v>
      </c>
      <c r="D448" s="16" t="s">
        <v>18</v>
      </c>
      <c r="E448" s="16" t="s">
        <v>115</v>
      </c>
      <c r="F448" s="16" t="s">
        <v>24</v>
      </c>
      <c r="G448" s="16">
        <v>463</v>
      </c>
      <c r="H448" s="20">
        <v>1</v>
      </c>
      <c r="I448" s="21">
        <f t="shared" si="25"/>
        <v>442</v>
      </c>
      <c r="J448" s="22" t="str">
        <f t="shared" si="26"/>
        <v/>
      </c>
      <c r="K448" s="22" t="str">
        <f t="shared" si="27"/>
        <v/>
      </c>
      <c r="N448" t="str">
        <f>IF(ISERROR(VLOOKUP(B448,'[1]Zebrik W'!$B$7:$M$1000,12,0)),"",IF(VLOOKUP(B448,'[1]Zebrik W'!$B$7:$M$1000,12,0)=0,"--",VLOOKUP(B448,'[1]Zebrik W'!$B$7:$M$1000,12,0)))</f>
        <v/>
      </c>
    </row>
    <row r="449" spans="1:14" x14ac:dyDescent="0.2">
      <c r="A449" s="21">
        <f t="shared" si="24"/>
        <v>443</v>
      </c>
      <c r="B449" s="16" t="s">
        <v>528</v>
      </c>
      <c r="C449" s="16">
        <v>1968</v>
      </c>
      <c r="D449" s="16" t="s">
        <v>18</v>
      </c>
      <c r="E449" s="16" t="s">
        <v>115</v>
      </c>
      <c r="F449" s="16" t="s">
        <v>24</v>
      </c>
      <c r="G449" s="16">
        <v>456</v>
      </c>
      <c r="H449" s="20">
        <v>1</v>
      </c>
      <c r="I449" s="21">
        <f t="shared" si="25"/>
        <v>443</v>
      </c>
      <c r="J449" s="22" t="str">
        <f t="shared" si="26"/>
        <v/>
      </c>
      <c r="K449" s="22" t="str">
        <f t="shared" si="27"/>
        <v/>
      </c>
      <c r="N449" t="str">
        <f>IF(ISERROR(VLOOKUP(B449,'[1]Zebrik W'!$B$7:$M$1000,12,0)),"",IF(VLOOKUP(B449,'[1]Zebrik W'!$B$7:$M$1000,12,0)=0,"--",VLOOKUP(B449,'[1]Zebrik W'!$B$7:$M$1000,12,0)))</f>
        <v/>
      </c>
    </row>
    <row r="450" spans="1:14" x14ac:dyDescent="0.2">
      <c r="A450" s="21">
        <f t="shared" si="24"/>
        <v>444</v>
      </c>
      <c r="B450" s="16" t="s">
        <v>529</v>
      </c>
      <c r="C450" s="16">
        <v>1973</v>
      </c>
      <c r="D450" s="16" t="s">
        <v>18</v>
      </c>
      <c r="E450" s="16" t="s">
        <v>40</v>
      </c>
      <c r="F450" s="16" t="s">
        <v>41</v>
      </c>
      <c r="G450" s="16">
        <v>376</v>
      </c>
      <c r="H450" s="20">
        <v>1</v>
      </c>
      <c r="I450" s="21">
        <f t="shared" si="25"/>
        <v>444</v>
      </c>
      <c r="J450" s="22" t="str">
        <f t="shared" si="26"/>
        <v/>
      </c>
      <c r="K450" s="22" t="str">
        <f t="shared" si="27"/>
        <v/>
      </c>
      <c r="N450" t="str">
        <f>IF(ISERROR(VLOOKUP(B450,'[1]Zebrik W'!$B$7:$M$1000,12,0)),"",IF(VLOOKUP(B450,'[1]Zebrik W'!$B$7:$M$1000,12,0)=0,"--",VLOOKUP(B450,'[1]Zebrik W'!$B$7:$M$1000,12,0)))</f>
        <v/>
      </c>
    </row>
    <row r="451" spans="1:14" x14ac:dyDescent="0.2">
      <c r="A451" s="21">
        <f t="shared" si="24"/>
        <v>445</v>
      </c>
      <c r="B451" s="16" t="s">
        <v>530</v>
      </c>
      <c r="C451" s="16">
        <v>1973</v>
      </c>
      <c r="D451" s="16" t="s">
        <v>18</v>
      </c>
      <c r="E451" s="16" t="s">
        <v>138</v>
      </c>
      <c r="F451" s="16" t="s">
        <v>24</v>
      </c>
      <c r="G451" s="16">
        <v>309</v>
      </c>
      <c r="H451" s="20">
        <v>1</v>
      </c>
      <c r="I451" s="21">
        <f t="shared" si="25"/>
        <v>445</v>
      </c>
      <c r="J451" s="22" t="str">
        <f t="shared" si="26"/>
        <v/>
      </c>
      <c r="K451" s="22" t="str">
        <f t="shared" si="27"/>
        <v/>
      </c>
      <c r="N451" t="str">
        <f>IF(ISERROR(VLOOKUP(B451,'[1]Zebrik W'!$B$7:$M$1000,12,0)),"",IF(VLOOKUP(B451,'[1]Zebrik W'!$B$7:$M$1000,12,0)=0,"--",VLOOKUP(B451,'[1]Zebrik W'!$B$7:$M$1000,12,0)))</f>
        <v/>
      </c>
    </row>
    <row r="452" spans="1:14" x14ac:dyDescent="0.2">
      <c r="A452" s="21">
        <f t="shared" si="24"/>
        <v>446</v>
      </c>
      <c r="B452" s="16" t="s">
        <v>531</v>
      </c>
      <c r="C452" s="16">
        <v>0</v>
      </c>
      <c r="D452" s="16" t="s">
        <v>18</v>
      </c>
      <c r="E452" s="16">
        <v>0</v>
      </c>
      <c r="F452" s="16" t="s">
        <v>532</v>
      </c>
      <c r="G452" s="16">
        <v>294</v>
      </c>
      <c r="H452" s="20">
        <v>1</v>
      </c>
      <c r="I452" s="21">
        <f t="shared" si="25"/>
        <v>446</v>
      </c>
      <c r="J452" s="22" t="str">
        <f t="shared" si="26"/>
        <v/>
      </c>
      <c r="K452" s="22" t="str">
        <f t="shared" si="27"/>
        <v/>
      </c>
      <c r="N452" t="str">
        <f>IF(ISERROR(VLOOKUP(B452,'[1]Zebrik W'!$B$7:$M$1000,12,0)),"",IF(VLOOKUP(B452,'[1]Zebrik W'!$B$7:$M$1000,12,0)=0,"--",VLOOKUP(B452,'[1]Zebrik W'!$B$7:$M$1000,12,0)))</f>
        <v/>
      </c>
    </row>
    <row r="453" spans="1:14" x14ac:dyDescent="0.2">
      <c r="A453" s="21">
        <f t="shared" si="24"/>
        <v>447</v>
      </c>
      <c r="B453" s="16" t="s">
        <v>533</v>
      </c>
      <c r="C453" s="16">
        <v>1989</v>
      </c>
      <c r="D453" s="16" t="s">
        <v>18</v>
      </c>
      <c r="E453" s="16" t="s">
        <v>131</v>
      </c>
      <c r="F453" s="16" t="s">
        <v>41</v>
      </c>
      <c r="G453" s="16">
        <v>142</v>
      </c>
      <c r="H453" s="20">
        <v>1</v>
      </c>
      <c r="I453" s="21">
        <f t="shared" si="25"/>
        <v>447</v>
      </c>
      <c r="J453"/>
      <c r="N453" t="str">
        <f>IF(ISERROR(VLOOKUP(B453,'[1]Zebrik W'!$B$7:$M$1000,12,0)),"",IF(VLOOKUP(B453,'[1]Zebrik W'!$B$7:$M$1000,12,0)=0,"--",VLOOKUP(B453,'[1]Zebrik W'!$B$7:$M$1000,12,0)))</f>
        <v/>
      </c>
    </row>
    <row r="454" spans="1:14" x14ac:dyDescent="0.2">
      <c r="A454" s="21">
        <f t="shared" si="24"/>
        <v>448</v>
      </c>
      <c r="B454" s="16" t="s">
        <v>534</v>
      </c>
      <c r="C454" s="16">
        <v>1963</v>
      </c>
      <c r="D454" s="16" t="s">
        <v>18</v>
      </c>
      <c r="E454" s="16" t="s">
        <v>80</v>
      </c>
      <c r="F454" s="16" t="s">
        <v>20</v>
      </c>
      <c r="G454" s="16">
        <v>132</v>
      </c>
      <c r="H454" s="20">
        <v>1</v>
      </c>
      <c r="I454" s="21">
        <f t="shared" si="25"/>
        <v>448</v>
      </c>
      <c r="J454"/>
      <c r="N454" t="str">
        <f>IF(ISERROR(VLOOKUP(B454,'[1]Zebrik W'!$B$7:$M$1000,12,0)),"",IF(VLOOKUP(B454,'[1]Zebrik W'!$B$7:$M$1000,12,0)=0,"--",VLOOKUP(B454,'[1]Zebrik W'!$B$7:$M$1000,12,0)))</f>
        <v/>
      </c>
    </row>
    <row r="455" spans="1:14" x14ac:dyDescent="0.2">
      <c r="A455" s="21">
        <f t="shared" ref="A455:A456" si="28">RANK(G455,G:G)</f>
        <v>449</v>
      </c>
      <c r="B455" s="16" t="s">
        <v>535</v>
      </c>
      <c r="C455" s="16">
        <v>1947</v>
      </c>
      <c r="D455" s="16" t="s">
        <v>18</v>
      </c>
      <c r="E455" s="16" t="s">
        <v>65</v>
      </c>
      <c r="F455" s="16" t="s">
        <v>41</v>
      </c>
      <c r="G455" s="16">
        <v>109</v>
      </c>
      <c r="H455" s="20">
        <v>1</v>
      </c>
      <c r="I455" s="21">
        <f t="shared" si="25"/>
        <v>449</v>
      </c>
      <c r="J455"/>
      <c r="N455" t="str">
        <f>IF(ISERROR(VLOOKUP(B455,'[1]Zebrik W'!$B$7:$M$1000,12,0)),"",IF(VLOOKUP(B455,'[1]Zebrik W'!$B$7:$M$1000,12,0)=0,"--",VLOOKUP(B455,'[1]Zebrik W'!$B$7:$M$1000,12,0)))</f>
        <v/>
      </c>
    </row>
    <row r="456" spans="1:14" x14ac:dyDescent="0.2">
      <c r="A456" s="21">
        <f t="shared" si="28"/>
        <v>450</v>
      </c>
      <c r="B456" s="24" t="s">
        <v>536</v>
      </c>
      <c r="C456" s="24">
        <v>1947</v>
      </c>
      <c r="D456" s="24" t="s">
        <v>18</v>
      </c>
      <c r="E456" s="24" t="s">
        <v>537</v>
      </c>
      <c r="F456" s="24" t="s">
        <v>24</v>
      </c>
      <c r="G456" s="24">
        <v>0</v>
      </c>
      <c r="H456" s="25">
        <v>1</v>
      </c>
      <c r="I456" s="21">
        <f t="shared" si="25"/>
        <v>450</v>
      </c>
      <c r="J456"/>
      <c r="N456" t="str">
        <f>IF(ISERROR(VLOOKUP(B456,'[1]Zebrik W'!$B$7:$M$1000,12,0)),"",IF(VLOOKUP(B456,'[1]Zebrik W'!$B$7:$M$1000,12,0)=0,"--",VLOOKUP(B456,'[1]Zebrik W'!$B$7:$M$1000,12,0)))</f>
        <v/>
      </c>
    </row>
    <row r="457" spans="1:14" x14ac:dyDescent="0.2">
      <c r="B457"/>
      <c r="C457"/>
      <c r="D457"/>
      <c r="E457"/>
      <c r="F457"/>
      <c r="G457"/>
      <c r="H457"/>
      <c r="J457"/>
      <c r="N457" t="str">
        <f>IF(ISERROR(VLOOKUP(B457,'[1]Zebrik W'!$B$7:$M$1000,11,0)),"",IF(VLOOKUP(B457,'[1]Zebrik W'!$B$7:$M$1000,11,0)=0,"--",VLOOKUP(B457,'[1]Zebrik W'!$B$7:$M$1000,11,0)))</f>
        <v/>
      </c>
    </row>
    <row r="458" spans="1:14" x14ac:dyDescent="0.2">
      <c r="B458"/>
      <c r="C458"/>
      <c r="D458"/>
      <c r="E458"/>
      <c r="F458"/>
      <c r="G458"/>
      <c r="H458"/>
      <c r="J458"/>
      <c r="N458" t="str">
        <f>IF(ISERROR(VLOOKUP(B458,'[1]Zebrik W'!$B$7:$M$1000,11,0)),"",IF(VLOOKUP(B458,'[1]Zebrik W'!$B$7:$M$1000,11,0)=0,"--",VLOOKUP(B458,'[1]Zebrik W'!$B$7:$M$1000,11,0)))</f>
        <v/>
      </c>
    </row>
    <row r="459" spans="1:14" x14ac:dyDescent="0.2">
      <c r="B459"/>
      <c r="C459"/>
      <c r="D459"/>
      <c r="E459"/>
      <c r="F459"/>
      <c r="G459"/>
      <c r="H459"/>
      <c r="J459"/>
      <c r="N459" t="str">
        <f>IF(ISERROR(VLOOKUP(B459,'[1]Zebrik W'!$B$7:$M$1000,11,0)),"",IF(VLOOKUP(B459,'[1]Zebrik W'!$B$7:$M$1000,11,0)=0,"--",VLOOKUP(B459,'[1]Zebrik W'!$B$7:$M$1000,11,0)))</f>
        <v/>
      </c>
    </row>
    <row r="460" spans="1:14" x14ac:dyDescent="0.2">
      <c r="B460"/>
      <c r="C460"/>
      <c r="D460"/>
      <c r="E460"/>
      <c r="F460"/>
      <c r="G460"/>
      <c r="H460"/>
      <c r="J460"/>
      <c r="N460" t="str">
        <f>IF(ISERROR(VLOOKUP(B460,'[1]Zebrik W'!$B$7:$M$1000,11,0)),"",IF(VLOOKUP(B460,'[1]Zebrik W'!$B$7:$M$1000,11,0)=0,"--",VLOOKUP(B460,'[1]Zebrik W'!$B$7:$M$1000,11,0)))</f>
        <v/>
      </c>
    </row>
    <row r="461" spans="1:14" x14ac:dyDescent="0.2">
      <c r="B461"/>
      <c r="C461"/>
      <c r="D461"/>
      <c r="E461"/>
      <c r="F461"/>
      <c r="G461"/>
      <c r="H461"/>
      <c r="J461"/>
      <c r="N461" t="str">
        <f>IF(ISERROR(VLOOKUP(B461,'[1]Zebrik W'!$B$7:$M$1000,11,0)),"",IF(VLOOKUP(B461,'[1]Zebrik W'!$B$7:$M$1000,11,0)=0,"--",VLOOKUP(B461,'[1]Zebrik W'!$B$7:$M$1000,11,0)))</f>
        <v/>
      </c>
    </row>
    <row r="462" spans="1:14" x14ac:dyDescent="0.2">
      <c r="B462"/>
      <c r="C462"/>
      <c r="D462"/>
      <c r="E462"/>
      <c r="F462"/>
      <c r="G462"/>
      <c r="H462"/>
      <c r="J462"/>
      <c r="N462" t="str">
        <f>IF(ISERROR(VLOOKUP(B462,'[1]Zebrik W'!$B$7:$M$1000,11,0)),"",IF(VLOOKUP(B462,'[1]Zebrik W'!$B$7:$M$1000,11,0)=0,"--",VLOOKUP(B462,'[1]Zebrik W'!$B$7:$M$1000,11,0)))</f>
        <v/>
      </c>
    </row>
    <row r="463" spans="1:14" x14ac:dyDescent="0.2">
      <c r="B463"/>
      <c r="C463"/>
      <c r="D463"/>
      <c r="E463"/>
      <c r="F463"/>
      <c r="G463"/>
      <c r="H463"/>
      <c r="J463"/>
      <c r="N463" t="str">
        <f>IF(ISERROR(VLOOKUP(B463,'[1]Zebrik W'!$B$7:$M$1000,11,0)),"",IF(VLOOKUP(B463,'[1]Zebrik W'!$B$7:$M$1000,11,0)=0,"--",VLOOKUP(B463,'[1]Zebrik W'!$B$7:$M$1000,11,0)))</f>
        <v/>
      </c>
    </row>
    <row r="464" spans="1:14" x14ac:dyDescent="0.2">
      <c r="B464"/>
      <c r="C464"/>
      <c r="D464"/>
      <c r="E464"/>
      <c r="F464"/>
      <c r="G464"/>
      <c r="H464"/>
      <c r="J464"/>
      <c r="N464" t="str">
        <f>IF(ISERROR(VLOOKUP(B464,'[1]Zebrik W'!$B$7:$M$1000,11,0)),"",IF(VLOOKUP(B464,'[1]Zebrik W'!$B$7:$M$1000,11,0)=0,"--",VLOOKUP(B464,'[1]Zebrik W'!$B$7:$M$1000,11,0)))</f>
        <v/>
      </c>
    </row>
    <row r="465" spans="2:14" x14ac:dyDescent="0.2">
      <c r="B465"/>
      <c r="C465"/>
      <c r="D465"/>
      <c r="E465"/>
      <c r="F465"/>
      <c r="G465"/>
      <c r="H465"/>
      <c r="J465"/>
      <c r="N465" t="str">
        <f>IF(ISERROR(VLOOKUP(B465,'[1]Zebrik W'!$B$7:$M$1000,11,0)),"",IF(VLOOKUP(B465,'[1]Zebrik W'!$B$7:$M$1000,11,0)=0,"--",VLOOKUP(B465,'[1]Zebrik W'!$B$7:$M$1000,11,0)))</f>
        <v/>
      </c>
    </row>
    <row r="466" spans="2:14" x14ac:dyDescent="0.2">
      <c r="B466"/>
      <c r="C466"/>
      <c r="D466"/>
      <c r="E466"/>
      <c r="F466"/>
      <c r="G466"/>
      <c r="H466"/>
      <c r="J466"/>
      <c r="N466" t="str">
        <f>IF(ISERROR(VLOOKUP(B466,'[1]Zebrik W'!$B$7:$M$1000,11,0)),"",IF(VLOOKUP(B466,'[1]Zebrik W'!$B$7:$M$1000,11,0)=0,"--",VLOOKUP(B466,'[1]Zebrik W'!$B$7:$M$1000,11,0)))</f>
        <v/>
      </c>
    </row>
    <row r="467" spans="2:14" x14ac:dyDescent="0.2">
      <c r="B467"/>
      <c r="C467"/>
      <c r="D467"/>
      <c r="E467"/>
      <c r="F467"/>
      <c r="G467"/>
      <c r="H467"/>
      <c r="J467"/>
      <c r="N467" t="str">
        <f>IF(ISERROR(VLOOKUP(B467,'[1]Zebrik W'!$B$7:$M$1000,11,0)),"",IF(VLOOKUP(B467,'[1]Zebrik W'!$B$7:$M$1000,11,0)=0,"--",VLOOKUP(B467,'[1]Zebrik W'!$B$7:$M$1000,11,0)))</f>
        <v/>
      </c>
    </row>
    <row r="468" spans="2:14" x14ac:dyDescent="0.2">
      <c r="B468"/>
      <c r="C468"/>
      <c r="D468"/>
      <c r="E468"/>
      <c r="F468"/>
      <c r="G468"/>
      <c r="H468"/>
      <c r="J468"/>
      <c r="N468" t="str">
        <f>IF(ISERROR(VLOOKUP(B468,'[1]Zebrik W'!$B$7:$M$1000,11,0)),"",IF(VLOOKUP(B468,'[1]Zebrik W'!$B$7:$M$1000,11,0)=0,"--",VLOOKUP(B468,'[1]Zebrik W'!$B$7:$M$1000,11,0)))</f>
        <v/>
      </c>
    </row>
    <row r="469" spans="2:14" x14ac:dyDescent="0.2">
      <c r="B469"/>
      <c r="C469"/>
      <c r="D469"/>
      <c r="E469"/>
      <c r="F469"/>
      <c r="G469"/>
      <c r="H469"/>
      <c r="J469"/>
      <c r="N469" t="str">
        <f>IF(ISERROR(VLOOKUP(B469,'[1]Zebrik W'!$B$7:$M$1000,11,0)),"",IF(VLOOKUP(B469,'[1]Zebrik W'!$B$7:$M$1000,11,0)=0,"--",VLOOKUP(B469,'[1]Zebrik W'!$B$7:$M$1000,11,0)))</f>
        <v/>
      </c>
    </row>
    <row r="470" spans="2:14" x14ac:dyDescent="0.2">
      <c r="B470"/>
      <c r="C470"/>
      <c r="D470"/>
      <c r="E470"/>
      <c r="F470"/>
      <c r="G470"/>
      <c r="H470"/>
      <c r="J470"/>
      <c r="N470" t="str">
        <f>IF(ISERROR(VLOOKUP(B470,'[1]Zebrik W'!$B$7:$M$1000,11,0)),"",IF(VLOOKUP(B470,'[1]Zebrik W'!$B$7:$M$1000,11,0)=0,"--",VLOOKUP(B470,'[1]Zebrik W'!$B$7:$M$1000,11,0)))</f>
        <v/>
      </c>
    </row>
    <row r="471" spans="2:14" x14ac:dyDescent="0.2">
      <c r="B471"/>
      <c r="C471"/>
      <c r="D471"/>
      <c r="E471"/>
      <c r="F471"/>
      <c r="G471"/>
      <c r="H471"/>
      <c r="J471"/>
      <c r="N471" t="str">
        <f>IF(ISERROR(VLOOKUP(B471,'[1]Zebrik W'!$B$7:$M$1000,11,0)),"",IF(VLOOKUP(B471,'[1]Zebrik W'!$B$7:$M$1000,11,0)=0,"--",VLOOKUP(B471,'[1]Zebrik W'!$B$7:$M$1000,11,0)))</f>
        <v/>
      </c>
    </row>
    <row r="472" spans="2:14" x14ac:dyDescent="0.2">
      <c r="B472"/>
      <c r="C472"/>
      <c r="D472"/>
      <c r="E472"/>
      <c r="F472"/>
      <c r="G472"/>
      <c r="H472"/>
      <c r="J472"/>
      <c r="N472" t="str">
        <f>IF(ISERROR(VLOOKUP(B472,'[1]Zebrik W'!$B$7:$M$1000,11,0)),"",IF(VLOOKUP(B472,'[1]Zebrik W'!$B$7:$M$1000,11,0)=0,"--",VLOOKUP(B472,'[1]Zebrik W'!$B$7:$M$1000,11,0)))</f>
        <v/>
      </c>
    </row>
    <row r="473" spans="2:14" x14ac:dyDescent="0.2">
      <c r="B473"/>
      <c r="C473"/>
      <c r="D473"/>
      <c r="E473"/>
      <c r="F473"/>
      <c r="G473"/>
      <c r="H473"/>
      <c r="J473"/>
      <c r="N473" t="str">
        <f>IF(ISERROR(VLOOKUP(B473,'[1]Zebrik W'!$B$7:$M$1000,11,0)),"",IF(VLOOKUP(B473,'[1]Zebrik W'!$B$7:$M$1000,11,0)=0,"--",VLOOKUP(B473,'[1]Zebrik W'!$B$7:$M$1000,11,0)))</f>
        <v/>
      </c>
    </row>
    <row r="474" spans="2:14" x14ac:dyDescent="0.2">
      <c r="B474"/>
      <c r="C474"/>
      <c r="D474"/>
      <c r="E474"/>
      <c r="F474"/>
      <c r="G474"/>
      <c r="H474"/>
      <c r="J474"/>
      <c r="N474" t="str">
        <f>IF(ISERROR(VLOOKUP(B474,'[1]Zebrik W'!$B$7:$M$1000,11,0)),"",IF(VLOOKUP(B474,'[1]Zebrik W'!$B$7:$M$1000,11,0)=0,"--",VLOOKUP(B474,'[1]Zebrik W'!$B$7:$M$1000,11,0)))</f>
        <v/>
      </c>
    </row>
    <row r="475" spans="2:14" x14ac:dyDescent="0.2">
      <c r="B475"/>
      <c r="C475"/>
      <c r="D475"/>
      <c r="E475"/>
      <c r="F475"/>
      <c r="G475"/>
      <c r="H475"/>
      <c r="J475"/>
      <c r="N475" t="str">
        <f>IF(ISERROR(VLOOKUP(B475,'[1]Zebrik W'!$B$7:$M$1000,11,0)),"",IF(VLOOKUP(B475,'[1]Zebrik W'!$B$7:$M$1000,11,0)=0,"--",VLOOKUP(B475,'[1]Zebrik W'!$B$7:$M$1000,11,0)))</f>
        <v/>
      </c>
    </row>
    <row r="476" spans="2:14" x14ac:dyDescent="0.2">
      <c r="B476"/>
      <c r="C476"/>
      <c r="D476"/>
      <c r="E476"/>
      <c r="F476"/>
      <c r="G476"/>
      <c r="H476"/>
      <c r="J476"/>
      <c r="N476" t="str">
        <f>IF(ISERROR(VLOOKUP(B476,'[1]Zebrik W'!$B$7:$M$1000,11,0)),"",IF(VLOOKUP(B476,'[1]Zebrik W'!$B$7:$M$1000,11,0)=0,"--",VLOOKUP(B476,'[1]Zebrik W'!$B$7:$M$1000,11,0)))</f>
        <v/>
      </c>
    </row>
    <row r="477" spans="2:14" x14ac:dyDescent="0.2">
      <c r="B477"/>
      <c r="C477"/>
      <c r="D477"/>
      <c r="E477"/>
      <c r="F477"/>
      <c r="G477"/>
      <c r="H477"/>
      <c r="J477"/>
      <c r="N477" t="str">
        <f>IF(ISERROR(VLOOKUP(B477,'[1]Zebrik W'!$B$7:$M$1000,11,0)),"",IF(VLOOKUP(B477,'[1]Zebrik W'!$B$7:$M$1000,11,0)=0,"--",VLOOKUP(B477,'[1]Zebrik W'!$B$7:$M$1000,11,0)))</f>
        <v/>
      </c>
    </row>
    <row r="478" spans="2:14" x14ac:dyDescent="0.2">
      <c r="B478"/>
      <c r="C478"/>
      <c r="D478"/>
      <c r="E478"/>
      <c r="F478"/>
      <c r="G478"/>
      <c r="H478"/>
      <c r="J478"/>
      <c r="N478" t="str">
        <f>IF(ISERROR(VLOOKUP(B478,'[1]Zebrik W'!$B$7:$M$1000,11,0)),"",IF(VLOOKUP(B478,'[1]Zebrik W'!$B$7:$M$1000,11,0)=0,"--",VLOOKUP(B478,'[1]Zebrik W'!$B$7:$M$1000,11,0)))</f>
        <v/>
      </c>
    </row>
    <row r="479" spans="2:14" x14ac:dyDescent="0.2">
      <c r="B479"/>
      <c r="C479"/>
      <c r="D479"/>
      <c r="E479"/>
      <c r="F479"/>
      <c r="G479"/>
      <c r="H479"/>
      <c r="J479"/>
      <c r="N479" t="str">
        <f>IF(ISERROR(VLOOKUP(B479,'[1]Zebrik W'!$B$7:$M$1000,11,0)),"",IF(VLOOKUP(B479,'[1]Zebrik W'!$B$7:$M$1000,11,0)=0,"--",VLOOKUP(B479,'[1]Zebrik W'!$B$7:$M$1000,11,0)))</f>
        <v/>
      </c>
    </row>
    <row r="480" spans="2:14" x14ac:dyDescent="0.2">
      <c r="B480"/>
      <c r="C480"/>
      <c r="D480"/>
      <c r="E480"/>
      <c r="F480"/>
      <c r="G480"/>
      <c r="H480"/>
      <c r="J480"/>
      <c r="N480" t="str">
        <f>IF(ISERROR(VLOOKUP(B480,'[1]Zebrik W'!$B$7:$M$1000,11,0)),"",IF(VLOOKUP(B480,'[1]Zebrik W'!$B$7:$M$1000,11,0)=0,"--",VLOOKUP(B480,'[1]Zebrik W'!$B$7:$M$1000,11,0)))</f>
        <v/>
      </c>
    </row>
    <row r="481" spans="2:14" x14ac:dyDescent="0.2">
      <c r="B481"/>
      <c r="C481"/>
      <c r="D481"/>
      <c r="E481"/>
      <c r="F481"/>
      <c r="G481"/>
      <c r="H481"/>
      <c r="J481"/>
      <c r="N481" t="str">
        <f>IF(ISERROR(VLOOKUP(B481,'[1]Zebrik W'!$B$7:$M$1000,11,0)),"",IF(VLOOKUP(B481,'[1]Zebrik W'!$B$7:$M$1000,11,0)=0,"--",VLOOKUP(B481,'[1]Zebrik W'!$B$7:$M$1000,11,0)))</f>
        <v/>
      </c>
    </row>
    <row r="482" spans="2:14" x14ac:dyDescent="0.2">
      <c r="B482"/>
      <c r="C482"/>
      <c r="D482"/>
      <c r="E482"/>
      <c r="F482"/>
      <c r="G482"/>
      <c r="H482"/>
      <c r="J482"/>
      <c r="N482" t="str">
        <f>IF(ISERROR(VLOOKUP(B482,'[1]Zebrik W'!$B$7:$M$1000,11,0)),"",IF(VLOOKUP(B482,'[1]Zebrik W'!$B$7:$M$1000,11,0)=0,"--",VLOOKUP(B482,'[1]Zebrik W'!$B$7:$M$1000,11,0)))</f>
        <v/>
      </c>
    </row>
    <row r="483" spans="2:14" x14ac:dyDescent="0.2">
      <c r="B483"/>
      <c r="C483"/>
      <c r="D483"/>
      <c r="E483"/>
      <c r="F483"/>
      <c r="G483"/>
      <c r="H483"/>
      <c r="J483"/>
      <c r="N483" t="str">
        <f>IF(ISERROR(VLOOKUP(B483,'[1]Zebrik W'!$B$7:$M$1000,11,0)),"",IF(VLOOKUP(B483,'[1]Zebrik W'!$B$7:$M$1000,11,0)=0,"--",VLOOKUP(B483,'[1]Zebrik W'!$B$7:$M$1000,11,0)))</f>
        <v/>
      </c>
    </row>
    <row r="484" spans="2:14" x14ac:dyDescent="0.2">
      <c r="B484"/>
      <c r="C484"/>
      <c r="D484"/>
      <c r="E484"/>
      <c r="F484"/>
      <c r="G484"/>
      <c r="H484"/>
      <c r="J484"/>
      <c r="N484" t="str">
        <f>IF(ISERROR(VLOOKUP(B484,'[1]Zebrik W'!$B$7:$M$1000,11,0)),"",IF(VLOOKUP(B484,'[1]Zebrik W'!$B$7:$M$1000,11,0)=0,"--",VLOOKUP(B484,'[1]Zebrik W'!$B$7:$M$1000,11,0)))</f>
        <v/>
      </c>
    </row>
    <row r="485" spans="2:14" x14ac:dyDescent="0.2">
      <c r="B485"/>
      <c r="C485"/>
      <c r="D485"/>
      <c r="E485"/>
      <c r="F485"/>
      <c r="G485"/>
      <c r="H485"/>
      <c r="J485"/>
      <c r="N485" t="str">
        <f>IF(ISERROR(VLOOKUP(B485,'[1]Zebrik W'!$B$7:$M$1000,11,0)),"",IF(VLOOKUP(B485,'[1]Zebrik W'!$B$7:$M$1000,11,0)=0,"--",VLOOKUP(B485,'[1]Zebrik W'!$B$7:$M$1000,11,0)))</f>
        <v/>
      </c>
    </row>
    <row r="486" spans="2:14" x14ac:dyDescent="0.2">
      <c r="B486"/>
      <c r="C486"/>
      <c r="D486"/>
      <c r="E486"/>
      <c r="F486"/>
      <c r="G486"/>
      <c r="H486"/>
      <c r="J486"/>
      <c r="N486" t="str">
        <f>IF(ISERROR(VLOOKUP(B486,'[1]Zebrik W'!$B$7:$M$1000,11,0)),"",IF(VLOOKUP(B486,'[1]Zebrik W'!$B$7:$M$1000,11,0)=0,"--",VLOOKUP(B486,'[1]Zebrik W'!$B$7:$M$1000,11,0)))</f>
        <v/>
      </c>
    </row>
    <row r="487" spans="2:14" x14ac:dyDescent="0.2">
      <c r="B487"/>
      <c r="C487"/>
      <c r="D487"/>
      <c r="E487"/>
      <c r="F487"/>
      <c r="G487"/>
      <c r="H487"/>
      <c r="J487"/>
      <c r="N487" t="str">
        <f>IF(ISERROR(VLOOKUP(B487,'[1]Zebrik W'!$B$7:$M$1000,11,0)),"",IF(VLOOKUP(B487,'[1]Zebrik W'!$B$7:$M$1000,11,0)=0,"--",VLOOKUP(B487,'[1]Zebrik W'!$B$7:$M$1000,11,0)))</f>
        <v/>
      </c>
    </row>
    <row r="488" spans="2:14" x14ac:dyDescent="0.2">
      <c r="B488"/>
      <c r="C488"/>
      <c r="D488"/>
      <c r="E488"/>
      <c r="F488"/>
      <c r="G488"/>
      <c r="H488"/>
      <c r="J488"/>
      <c r="N488" t="str">
        <f>IF(ISERROR(VLOOKUP(B488,'[1]Zebrik W'!$B$7:$M$1000,11,0)),"",IF(VLOOKUP(B488,'[1]Zebrik W'!$B$7:$M$1000,11,0)=0,"--",VLOOKUP(B488,'[1]Zebrik W'!$B$7:$M$1000,11,0)))</f>
        <v/>
      </c>
    </row>
    <row r="489" spans="2:14" x14ac:dyDescent="0.2">
      <c r="B489"/>
      <c r="C489"/>
      <c r="D489"/>
      <c r="E489"/>
      <c r="F489"/>
      <c r="G489"/>
      <c r="H489"/>
      <c r="J489"/>
      <c r="N489" t="str">
        <f>IF(ISERROR(VLOOKUP(B489,'[1]Zebrik W'!$B$7:$M$1000,11,0)),"",IF(VLOOKUP(B489,'[1]Zebrik W'!$B$7:$M$1000,11,0)=0,"--",VLOOKUP(B489,'[1]Zebrik W'!$B$7:$M$1000,11,0)))</f>
        <v/>
      </c>
    </row>
    <row r="490" spans="2:14" x14ac:dyDescent="0.2">
      <c r="B490"/>
      <c r="C490"/>
      <c r="D490"/>
      <c r="E490"/>
      <c r="F490"/>
      <c r="G490"/>
      <c r="H490"/>
      <c r="J490"/>
      <c r="N490" t="str">
        <f>IF(ISERROR(VLOOKUP(B490,'[1]Zebrik W'!$B$7:$M$1000,11,0)),"",IF(VLOOKUP(B490,'[1]Zebrik W'!$B$7:$M$1000,11,0)=0,"--",VLOOKUP(B490,'[1]Zebrik W'!$B$7:$M$1000,11,0)))</f>
        <v/>
      </c>
    </row>
    <row r="491" spans="2:14" x14ac:dyDescent="0.2">
      <c r="B491"/>
      <c r="C491"/>
      <c r="D491"/>
      <c r="E491"/>
      <c r="F491"/>
      <c r="G491"/>
      <c r="H491"/>
      <c r="J491"/>
      <c r="N491" t="str">
        <f>IF(ISERROR(VLOOKUP(B491,'[1]Zebrik W'!$B$7:$M$1000,11,0)),"",IF(VLOOKUP(B491,'[1]Zebrik W'!$B$7:$M$1000,11,0)=0,"--",VLOOKUP(B491,'[1]Zebrik W'!$B$7:$M$1000,11,0)))</f>
        <v/>
      </c>
    </row>
    <row r="492" spans="2:14" x14ac:dyDescent="0.2">
      <c r="B492"/>
      <c r="C492"/>
      <c r="D492"/>
      <c r="E492"/>
      <c r="F492"/>
      <c r="G492"/>
      <c r="H492"/>
      <c r="J492"/>
      <c r="N492" t="str">
        <f>IF(ISERROR(VLOOKUP(B492,'[1]Zebrik W'!$B$7:$M$1000,11,0)),"",IF(VLOOKUP(B492,'[1]Zebrik W'!$B$7:$M$1000,11,0)=0,"--",VLOOKUP(B492,'[1]Zebrik W'!$B$7:$M$1000,11,0)))</f>
        <v/>
      </c>
    </row>
    <row r="493" spans="2:14" x14ac:dyDescent="0.2">
      <c r="B493"/>
      <c r="C493"/>
      <c r="D493"/>
      <c r="E493"/>
      <c r="F493"/>
      <c r="G493"/>
      <c r="H493"/>
      <c r="J493"/>
      <c r="N493" t="str">
        <f>IF(ISERROR(VLOOKUP(B493,'[1]Zebrik W'!$B$7:$M$1000,11,0)),"",IF(VLOOKUP(B493,'[1]Zebrik W'!$B$7:$M$1000,11,0)=0,"--",VLOOKUP(B493,'[1]Zebrik W'!$B$7:$M$1000,11,0)))</f>
        <v/>
      </c>
    </row>
    <row r="494" spans="2:14" x14ac:dyDescent="0.2">
      <c r="B494"/>
      <c r="C494"/>
      <c r="D494"/>
      <c r="E494"/>
      <c r="F494"/>
      <c r="G494"/>
      <c r="H494"/>
      <c r="J494"/>
      <c r="N494" t="str">
        <f>IF(ISERROR(VLOOKUP(B494,'[1]Zebrik W'!$B$7:$M$1000,11,0)),"",IF(VLOOKUP(B494,'[1]Zebrik W'!$B$7:$M$1000,11,0)=0,"--",VLOOKUP(B494,'[1]Zebrik W'!$B$7:$M$1000,11,0)))</f>
        <v/>
      </c>
    </row>
    <row r="495" spans="2:14" x14ac:dyDescent="0.2">
      <c r="B495"/>
      <c r="C495"/>
      <c r="D495"/>
      <c r="E495"/>
      <c r="F495"/>
      <c r="G495"/>
      <c r="H495"/>
      <c r="J495"/>
      <c r="N495" t="str">
        <f>IF(ISERROR(VLOOKUP(B495,'[1]Zebrik W'!$B$7:$M$1000,11,0)),"",IF(VLOOKUP(B495,'[1]Zebrik W'!$B$7:$M$1000,11,0)=0,"--",VLOOKUP(B495,'[1]Zebrik W'!$B$7:$M$1000,11,0)))</f>
        <v/>
      </c>
    </row>
    <row r="496" spans="2:14" x14ac:dyDescent="0.2">
      <c r="B496"/>
      <c r="C496"/>
      <c r="D496"/>
      <c r="E496"/>
      <c r="F496"/>
      <c r="G496"/>
      <c r="H496"/>
      <c r="J496"/>
      <c r="N496" t="str">
        <f>IF(ISERROR(VLOOKUP(B496,'[1]Zebrik W'!$B$7:$M$1000,11,0)),"",IF(VLOOKUP(B496,'[1]Zebrik W'!$B$7:$M$1000,11,0)=0,"--",VLOOKUP(B496,'[1]Zebrik W'!$B$7:$M$1000,11,0)))</f>
        <v/>
      </c>
    </row>
    <row r="497" spans="2:14" x14ac:dyDescent="0.2">
      <c r="B497"/>
      <c r="C497"/>
      <c r="D497"/>
      <c r="E497"/>
      <c r="F497"/>
      <c r="G497"/>
      <c r="H497"/>
      <c r="J497"/>
      <c r="N497" t="str">
        <f>IF(ISERROR(VLOOKUP(B497,'[1]Zebrik W'!$B$7:$M$1000,11,0)),"",IF(VLOOKUP(B497,'[1]Zebrik W'!$B$7:$M$1000,11,0)=0,"--",VLOOKUP(B497,'[1]Zebrik W'!$B$7:$M$1000,11,0)))</f>
        <v/>
      </c>
    </row>
    <row r="498" spans="2:14" x14ac:dyDescent="0.2">
      <c r="B498"/>
      <c r="C498"/>
      <c r="D498"/>
      <c r="E498"/>
      <c r="F498"/>
      <c r="G498"/>
      <c r="H498"/>
      <c r="J498"/>
      <c r="N498" t="str">
        <f>IF(ISERROR(VLOOKUP(B498,'[1]Zebrik W'!$B$7:$M$1000,11,0)),"",IF(VLOOKUP(B498,'[1]Zebrik W'!$B$7:$M$1000,11,0)=0,"--",VLOOKUP(B498,'[1]Zebrik W'!$B$7:$M$1000,11,0)))</f>
        <v/>
      </c>
    </row>
    <row r="499" spans="2:14" x14ac:dyDescent="0.2">
      <c r="B499"/>
      <c r="C499"/>
      <c r="D499"/>
      <c r="E499"/>
      <c r="F499"/>
      <c r="G499"/>
      <c r="H499"/>
      <c r="J499"/>
      <c r="N499" t="str">
        <f>IF(ISERROR(VLOOKUP(B499,'[1]Zebrik W'!$B$7:$M$1000,11,0)),"",IF(VLOOKUP(B499,'[1]Zebrik W'!$B$7:$M$1000,11,0)=0,"--",VLOOKUP(B499,'[1]Zebrik W'!$B$7:$M$1000,11,0)))</f>
        <v/>
      </c>
    </row>
    <row r="500" spans="2:14" x14ac:dyDescent="0.2">
      <c r="B500"/>
      <c r="C500"/>
      <c r="D500"/>
      <c r="E500"/>
      <c r="F500"/>
      <c r="G500"/>
      <c r="H500"/>
      <c r="J500"/>
      <c r="N500" t="str">
        <f>IF(ISERROR(VLOOKUP(B500,'[1]Zebrik W'!$B$7:$M$1000,11,0)),"",IF(VLOOKUP(B500,'[1]Zebrik W'!$B$7:$M$1000,11,0)=0,"--",VLOOKUP(B500,'[1]Zebrik W'!$B$7:$M$1000,11,0)))</f>
        <v/>
      </c>
    </row>
    <row r="501" spans="2:14" x14ac:dyDescent="0.2">
      <c r="B501"/>
      <c r="C501"/>
      <c r="D501"/>
      <c r="E501"/>
      <c r="F501"/>
      <c r="G501"/>
      <c r="H501"/>
      <c r="J501"/>
      <c r="N501" t="str">
        <f>IF(ISERROR(VLOOKUP(B501,'[1]Zebrik W'!$B$7:$M$1000,11,0)),"",IF(VLOOKUP(B501,'[1]Zebrik W'!$B$7:$M$1000,11,0)=0,"--",VLOOKUP(B501,'[1]Zebrik W'!$B$7:$M$1000,11,0)))</f>
        <v/>
      </c>
    </row>
    <row r="502" spans="2:14" x14ac:dyDescent="0.2">
      <c r="B502"/>
      <c r="C502"/>
      <c r="D502"/>
      <c r="E502"/>
      <c r="F502"/>
      <c r="G502"/>
      <c r="H502"/>
      <c r="J502"/>
      <c r="N502" t="str">
        <f>IF(ISERROR(VLOOKUP(B502,'[1]Zebrik W'!$B$7:$M$1000,11,0)),"",IF(VLOOKUP(B502,'[1]Zebrik W'!$B$7:$M$1000,11,0)=0,"--",VLOOKUP(B502,'[1]Zebrik W'!$B$7:$M$1000,11,0)))</f>
        <v/>
      </c>
    </row>
    <row r="503" spans="2:14" x14ac:dyDescent="0.2">
      <c r="B503"/>
      <c r="C503"/>
      <c r="D503"/>
      <c r="E503"/>
      <c r="F503"/>
      <c r="G503"/>
      <c r="H503"/>
      <c r="J503"/>
      <c r="N503" t="str">
        <f>IF(ISERROR(VLOOKUP(B503,'[1]Zebrik W'!$B$7:$M$1000,11,0)),"",IF(VLOOKUP(B503,'[1]Zebrik W'!$B$7:$M$1000,11,0)=0,"--",VLOOKUP(B503,'[1]Zebrik W'!$B$7:$M$1000,11,0)))</f>
        <v/>
      </c>
    </row>
    <row r="504" spans="2:14" x14ac:dyDescent="0.2">
      <c r="B504"/>
      <c r="C504"/>
      <c r="D504"/>
      <c r="E504"/>
      <c r="F504"/>
      <c r="G504"/>
      <c r="H504"/>
      <c r="J504"/>
      <c r="N504" t="str">
        <f>IF(ISERROR(VLOOKUP(B504,'[1]Zebrik W'!$B$7:$M$1000,11,0)),"",IF(VLOOKUP(B504,'[1]Zebrik W'!$B$7:$M$1000,11,0)=0,"--",VLOOKUP(B504,'[1]Zebrik W'!$B$7:$M$1000,11,0)))</f>
        <v/>
      </c>
    </row>
    <row r="505" spans="2:14" x14ac:dyDescent="0.2">
      <c r="B505"/>
      <c r="C505"/>
      <c r="D505"/>
      <c r="E505"/>
      <c r="F505"/>
      <c r="G505"/>
      <c r="H505"/>
      <c r="J505"/>
      <c r="N505" t="str">
        <f>IF(ISERROR(VLOOKUP(B505,'[1]Zebrik W'!$B$7:$M$1000,11,0)),"",IF(VLOOKUP(B505,'[1]Zebrik W'!$B$7:$M$1000,11,0)=0,"--",VLOOKUP(B505,'[1]Zebrik W'!$B$7:$M$1000,11,0)))</f>
        <v/>
      </c>
    </row>
    <row r="506" spans="2:14" x14ac:dyDescent="0.2">
      <c r="B506"/>
      <c r="C506"/>
      <c r="D506"/>
      <c r="E506"/>
      <c r="F506"/>
      <c r="G506"/>
      <c r="H506"/>
      <c r="J506"/>
      <c r="N506" t="str">
        <f>IF(ISERROR(VLOOKUP(B506,'[1]Zebrik W'!$B$7:$M$1000,11,0)),"",IF(VLOOKUP(B506,'[1]Zebrik W'!$B$7:$M$1000,11,0)=0,"--",VLOOKUP(B506,'[1]Zebrik W'!$B$7:$M$1000,11,0)))</f>
        <v/>
      </c>
    </row>
    <row r="507" spans="2:14" x14ac:dyDescent="0.2">
      <c r="B507"/>
      <c r="C507"/>
      <c r="D507"/>
      <c r="E507"/>
      <c r="F507"/>
      <c r="G507"/>
      <c r="H507"/>
      <c r="J507"/>
      <c r="N507" t="str">
        <f>IF(ISERROR(VLOOKUP(B507,'[1]Zebrik W'!$B$7:$M$1000,11,0)),"",IF(VLOOKUP(B507,'[1]Zebrik W'!$B$7:$M$1000,11,0)=0,"--",VLOOKUP(B507,'[1]Zebrik W'!$B$7:$M$1000,11,0)))</f>
        <v/>
      </c>
    </row>
    <row r="508" spans="2:14" x14ac:dyDescent="0.2">
      <c r="B508"/>
      <c r="C508"/>
      <c r="D508"/>
      <c r="E508"/>
      <c r="F508"/>
      <c r="G508"/>
      <c r="H508"/>
      <c r="J508"/>
      <c r="N508" t="str">
        <f>IF(ISERROR(VLOOKUP(B508,'[1]Zebrik W'!$B$7:$M$1000,11,0)),"",IF(VLOOKUP(B508,'[1]Zebrik W'!$B$7:$M$1000,11,0)=0,"--",VLOOKUP(B508,'[1]Zebrik W'!$B$7:$M$1000,11,0)))</f>
        <v/>
      </c>
    </row>
    <row r="509" spans="2:14" x14ac:dyDescent="0.2">
      <c r="B509"/>
      <c r="C509"/>
      <c r="D509"/>
      <c r="E509"/>
      <c r="F509"/>
      <c r="G509"/>
      <c r="H509"/>
      <c r="J509"/>
      <c r="N509" t="str">
        <f>IF(ISERROR(VLOOKUP(B509,'[1]Zebrik W'!$B$7:$M$1000,11,0)),"",IF(VLOOKUP(B509,'[1]Zebrik W'!$B$7:$M$1000,11,0)=0,"--",VLOOKUP(B509,'[1]Zebrik W'!$B$7:$M$1000,11,0)))</f>
        <v/>
      </c>
    </row>
    <row r="510" spans="2:14" x14ac:dyDescent="0.2">
      <c r="B510"/>
      <c r="C510"/>
      <c r="D510"/>
      <c r="E510"/>
      <c r="F510"/>
      <c r="G510"/>
      <c r="H510"/>
      <c r="J510"/>
      <c r="N510" t="str">
        <f>IF(ISERROR(VLOOKUP(B510,'[1]Zebrik W'!$B$7:$M$1000,11,0)),"",IF(VLOOKUP(B510,'[1]Zebrik W'!$B$7:$M$1000,11,0)=0,"--",VLOOKUP(B510,'[1]Zebrik W'!$B$7:$M$1000,11,0)))</f>
        <v/>
      </c>
    </row>
    <row r="511" spans="2:14" x14ac:dyDescent="0.2">
      <c r="B511"/>
      <c r="C511"/>
      <c r="D511"/>
      <c r="E511"/>
      <c r="F511"/>
      <c r="G511"/>
      <c r="H511"/>
      <c r="J511"/>
      <c r="N511" t="str">
        <f>IF(ISERROR(VLOOKUP(B511,'[1]Zebrik W'!$B$7:$M$1000,11,0)),"",IF(VLOOKUP(B511,'[1]Zebrik W'!$B$7:$M$1000,11,0)=0,"--",VLOOKUP(B511,'[1]Zebrik W'!$B$7:$M$1000,11,0)))</f>
        <v/>
      </c>
    </row>
    <row r="512" spans="2:14" x14ac:dyDescent="0.2">
      <c r="B512"/>
      <c r="C512"/>
      <c r="D512"/>
      <c r="E512"/>
      <c r="F512"/>
      <c r="G512"/>
      <c r="H512"/>
      <c r="J512"/>
      <c r="N512" t="str">
        <f>IF(ISERROR(VLOOKUP(B512,'[1]Zebrik W'!$B$7:$M$1000,11,0)),"",IF(VLOOKUP(B512,'[1]Zebrik W'!$B$7:$M$1000,11,0)=0,"--",VLOOKUP(B512,'[1]Zebrik W'!$B$7:$M$1000,11,0)))</f>
        <v/>
      </c>
    </row>
    <row r="513" spans="2:14" x14ac:dyDescent="0.2">
      <c r="B513"/>
      <c r="C513"/>
      <c r="D513"/>
      <c r="E513"/>
      <c r="F513"/>
      <c r="G513"/>
      <c r="H513"/>
      <c r="J513"/>
      <c r="N513" t="str">
        <f>IF(ISERROR(VLOOKUP(B513,'[1]Zebrik W'!$B$7:$M$1000,11,0)),"",IF(VLOOKUP(B513,'[1]Zebrik W'!$B$7:$M$1000,11,0)=0,"--",VLOOKUP(B513,'[1]Zebrik W'!$B$7:$M$1000,11,0)))</f>
        <v/>
      </c>
    </row>
    <row r="514" spans="2:14" x14ac:dyDescent="0.2">
      <c r="B514"/>
      <c r="C514"/>
      <c r="D514"/>
      <c r="E514"/>
      <c r="F514"/>
      <c r="G514"/>
      <c r="H514"/>
      <c r="J514"/>
      <c r="N514" t="str">
        <f>IF(ISERROR(VLOOKUP(B514,'[1]Zebrik W'!$B$7:$M$1000,11,0)),"",IF(VLOOKUP(B514,'[1]Zebrik W'!$B$7:$M$1000,11,0)=0,"--",VLOOKUP(B514,'[1]Zebrik W'!$B$7:$M$1000,11,0)))</f>
        <v/>
      </c>
    </row>
    <row r="515" spans="2:14" x14ac:dyDescent="0.2">
      <c r="B515"/>
      <c r="C515"/>
      <c r="D515"/>
      <c r="E515"/>
      <c r="F515"/>
      <c r="G515"/>
      <c r="H515"/>
      <c r="J515"/>
      <c r="N515" t="str">
        <f>IF(ISERROR(VLOOKUP(B515,'[1]Zebrik W'!$B$7:$M$1000,11,0)),"",IF(VLOOKUP(B515,'[1]Zebrik W'!$B$7:$M$1000,11,0)=0,"--",VLOOKUP(B515,'[1]Zebrik W'!$B$7:$M$1000,11,0)))</f>
        <v/>
      </c>
    </row>
    <row r="516" spans="2:14" x14ac:dyDescent="0.2">
      <c r="B516"/>
      <c r="C516"/>
      <c r="D516"/>
      <c r="E516"/>
      <c r="F516"/>
      <c r="G516"/>
      <c r="H516"/>
      <c r="J516"/>
      <c r="N516" t="str">
        <f>IF(ISERROR(VLOOKUP(B516,'[1]Zebrik W'!$B$7:$M$1000,11,0)),"",IF(VLOOKUP(B516,'[1]Zebrik W'!$B$7:$M$1000,11,0)=0,"--",VLOOKUP(B516,'[1]Zebrik W'!$B$7:$M$1000,11,0)))</f>
        <v/>
      </c>
    </row>
    <row r="517" spans="2:14" x14ac:dyDescent="0.2">
      <c r="B517"/>
      <c r="C517"/>
      <c r="D517"/>
      <c r="E517"/>
      <c r="F517"/>
      <c r="G517"/>
      <c r="H517"/>
      <c r="J517"/>
      <c r="N517" t="str">
        <f>IF(ISERROR(VLOOKUP(B517,'[1]Zebrik W'!$B$7:$M$1000,11,0)),"",IF(VLOOKUP(B517,'[1]Zebrik W'!$B$7:$M$1000,11,0)=0,"--",VLOOKUP(B517,'[1]Zebrik W'!$B$7:$M$1000,11,0)))</f>
        <v/>
      </c>
    </row>
    <row r="518" spans="2:14" x14ac:dyDescent="0.2">
      <c r="B518"/>
      <c r="C518"/>
      <c r="D518"/>
      <c r="E518"/>
      <c r="F518"/>
      <c r="G518"/>
      <c r="H518"/>
      <c r="J518"/>
      <c r="N518" t="str">
        <f>IF(ISERROR(VLOOKUP(B518,'[1]Zebrik W'!$B$7:$M$1000,11,0)),"",IF(VLOOKUP(B518,'[1]Zebrik W'!$B$7:$M$1000,11,0)=0,"--",VLOOKUP(B518,'[1]Zebrik W'!$B$7:$M$1000,11,0)))</f>
        <v/>
      </c>
    </row>
    <row r="519" spans="2:14" x14ac:dyDescent="0.2">
      <c r="B519"/>
      <c r="C519"/>
      <c r="D519"/>
      <c r="E519"/>
      <c r="F519"/>
      <c r="G519"/>
      <c r="H519"/>
      <c r="J519"/>
      <c r="N519" t="str">
        <f>IF(ISERROR(VLOOKUP(B519,'[1]Zebrik W'!$B$7:$M$1000,11,0)),"",IF(VLOOKUP(B519,'[1]Zebrik W'!$B$7:$M$1000,11,0)=0,"--",VLOOKUP(B519,'[1]Zebrik W'!$B$7:$M$1000,11,0)))</f>
        <v/>
      </c>
    </row>
    <row r="520" spans="2:14" x14ac:dyDescent="0.2">
      <c r="B520"/>
      <c r="C520"/>
      <c r="D520"/>
      <c r="E520"/>
      <c r="F520"/>
      <c r="G520"/>
      <c r="H520"/>
      <c r="J520"/>
      <c r="N520" t="str">
        <f>IF(ISERROR(VLOOKUP(B520,'[1]Zebrik W'!$B$7:$M$1000,11,0)),"",IF(VLOOKUP(B520,'[1]Zebrik W'!$B$7:$M$1000,11,0)=0,"--",VLOOKUP(B520,'[1]Zebrik W'!$B$7:$M$1000,11,0)))</f>
        <v/>
      </c>
    </row>
    <row r="521" spans="2:14" x14ac:dyDescent="0.2">
      <c r="B521"/>
      <c r="C521"/>
      <c r="D521"/>
      <c r="E521"/>
      <c r="F521"/>
      <c r="G521"/>
      <c r="H521"/>
      <c r="J521"/>
      <c r="N521" t="str">
        <f>IF(ISERROR(VLOOKUP(B521,'[1]Zebrik W'!$B$7:$M$1000,11,0)),"",IF(VLOOKUP(B521,'[1]Zebrik W'!$B$7:$M$1000,11,0)=0,"--",VLOOKUP(B521,'[1]Zebrik W'!$B$7:$M$1000,11,0)))</f>
        <v/>
      </c>
    </row>
    <row r="522" spans="2:14" x14ac:dyDescent="0.2">
      <c r="B522"/>
      <c r="C522"/>
      <c r="D522"/>
      <c r="E522"/>
      <c r="F522"/>
      <c r="G522"/>
      <c r="H522"/>
      <c r="J522"/>
      <c r="N522" t="str">
        <f>IF(ISERROR(VLOOKUP(B522,'[1]Zebrik W'!$B$7:$M$1000,11,0)),"",IF(VLOOKUP(B522,'[1]Zebrik W'!$B$7:$M$1000,11,0)=0,"--",VLOOKUP(B522,'[1]Zebrik W'!$B$7:$M$1000,11,0)))</f>
        <v/>
      </c>
    </row>
    <row r="523" spans="2:14" x14ac:dyDescent="0.2">
      <c r="B523"/>
      <c r="C523"/>
      <c r="D523"/>
      <c r="E523"/>
      <c r="F523"/>
      <c r="G523"/>
      <c r="H523"/>
      <c r="J523"/>
      <c r="N523" t="str">
        <f>IF(ISERROR(VLOOKUP(B523,'[1]Zebrik W'!$B$7:$M$1000,11,0)),"",IF(VLOOKUP(B523,'[1]Zebrik W'!$B$7:$M$1000,11,0)=0,"--",VLOOKUP(B523,'[1]Zebrik W'!$B$7:$M$1000,11,0)))</f>
        <v/>
      </c>
    </row>
    <row r="524" spans="2:14" x14ac:dyDescent="0.2">
      <c r="B524"/>
      <c r="C524"/>
      <c r="D524"/>
      <c r="E524"/>
      <c r="F524"/>
      <c r="G524"/>
      <c r="H524"/>
      <c r="J524"/>
      <c r="N524" t="str">
        <f>IF(ISERROR(VLOOKUP(B524,'[1]Zebrik W'!$B$7:$M$1000,11,0)),"",IF(VLOOKUP(B524,'[1]Zebrik W'!$B$7:$M$1000,11,0)=0,"--",VLOOKUP(B524,'[1]Zebrik W'!$B$7:$M$1000,11,0)))</f>
        <v/>
      </c>
    </row>
    <row r="525" spans="2:14" x14ac:dyDescent="0.2">
      <c r="B525"/>
      <c r="C525"/>
      <c r="D525"/>
      <c r="E525"/>
      <c r="F525"/>
      <c r="G525"/>
      <c r="H525"/>
      <c r="J525"/>
      <c r="N525" t="str">
        <f>IF(ISERROR(VLOOKUP(B525,'[1]Zebrik W'!$B$7:$M$1000,11,0)),"",IF(VLOOKUP(B525,'[1]Zebrik W'!$B$7:$M$1000,11,0)=0,"--",VLOOKUP(B525,'[1]Zebrik W'!$B$7:$M$1000,11,0)))</f>
        <v/>
      </c>
    </row>
    <row r="526" spans="2:14" x14ac:dyDescent="0.2">
      <c r="B526"/>
      <c r="C526"/>
      <c r="D526"/>
      <c r="E526"/>
      <c r="F526"/>
      <c r="G526"/>
      <c r="H526"/>
      <c r="J526"/>
      <c r="N526" t="str">
        <f>IF(ISERROR(VLOOKUP(B526,'[1]Zebrik W'!$B$7:$M$1000,11,0)),"",IF(VLOOKUP(B526,'[1]Zebrik W'!$B$7:$M$1000,11,0)=0,"--",VLOOKUP(B526,'[1]Zebrik W'!$B$7:$M$1000,11,0)))</f>
        <v/>
      </c>
    </row>
    <row r="527" spans="2:14" x14ac:dyDescent="0.2">
      <c r="B527"/>
      <c r="C527"/>
      <c r="D527"/>
      <c r="E527"/>
      <c r="F527"/>
      <c r="G527"/>
      <c r="H527"/>
      <c r="J527"/>
      <c r="N527" t="str">
        <f>IF(ISERROR(VLOOKUP(B527,'[1]Zebrik W'!$B$7:$M$1000,11,0)),"",IF(VLOOKUP(B527,'[1]Zebrik W'!$B$7:$M$1000,11,0)=0,"--",VLOOKUP(B527,'[1]Zebrik W'!$B$7:$M$1000,11,0)))</f>
        <v/>
      </c>
    </row>
    <row r="528" spans="2:14" x14ac:dyDescent="0.2">
      <c r="B528"/>
      <c r="C528"/>
      <c r="D528"/>
      <c r="E528"/>
      <c r="F528"/>
      <c r="G528"/>
      <c r="H528"/>
      <c r="J528"/>
      <c r="N528" t="str">
        <f>IF(ISERROR(VLOOKUP(B528,'[1]Zebrik W'!$B$7:$M$1000,11,0)),"",IF(VLOOKUP(B528,'[1]Zebrik W'!$B$7:$M$1000,11,0)=0,"--",VLOOKUP(B528,'[1]Zebrik W'!$B$7:$M$1000,11,0)))</f>
        <v/>
      </c>
    </row>
    <row r="529" spans="2:14" x14ac:dyDescent="0.2">
      <c r="B529"/>
      <c r="C529"/>
      <c r="D529"/>
      <c r="E529"/>
      <c r="F529"/>
      <c r="G529"/>
      <c r="H529"/>
      <c r="J529"/>
      <c r="N529" t="str">
        <f>IF(ISERROR(VLOOKUP(B529,'[1]Zebrik W'!$B$7:$M$1000,11,0)),"",IF(VLOOKUP(B529,'[1]Zebrik W'!$B$7:$M$1000,11,0)=0,"--",VLOOKUP(B529,'[1]Zebrik W'!$B$7:$M$1000,11,0)))</f>
        <v/>
      </c>
    </row>
    <row r="530" spans="2:14" x14ac:dyDescent="0.2">
      <c r="B530"/>
      <c r="C530"/>
      <c r="D530"/>
      <c r="E530"/>
      <c r="F530"/>
      <c r="G530"/>
      <c r="H530"/>
      <c r="J530"/>
      <c r="N530" t="str">
        <f>IF(ISERROR(VLOOKUP(B530,'[1]Zebrik W'!$B$7:$M$1000,11,0)),"",IF(VLOOKUP(B530,'[1]Zebrik W'!$B$7:$M$1000,11,0)=0,"--",VLOOKUP(B530,'[1]Zebrik W'!$B$7:$M$1000,11,0)))</f>
        <v/>
      </c>
    </row>
    <row r="531" spans="2:14" x14ac:dyDescent="0.2">
      <c r="B531"/>
      <c r="C531"/>
      <c r="D531"/>
      <c r="E531"/>
      <c r="F531"/>
      <c r="G531"/>
      <c r="H531"/>
      <c r="J531"/>
      <c r="N531" t="str">
        <f>IF(ISERROR(VLOOKUP(B531,'[1]Zebrik W'!$B$7:$M$1000,11,0)),"",IF(VLOOKUP(B531,'[1]Zebrik W'!$B$7:$M$1000,11,0)=0,"--",VLOOKUP(B531,'[1]Zebrik W'!$B$7:$M$1000,11,0)))</f>
        <v/>
      </c>
    </row>
    <row r="532" spans="2:14" x14ac:dyDescent="0.2">
      <c r="B532"/>
      <c r="C532"/>
      <c r="D532"/>
      <c r="E532"/>
      <c r="F532"/>
      <c r="G532"/>
      <c r="H532"/>
      <c r="J532"/>
      <c r="N532" t="str">
        <f>IF(ISERROR(VLOOKUP(B532,'[1]Zebrik W'!$B$7:$M$1000,11,0)),"",IF(VLOOKUP(B532,'[1]Zebrik W'!$B$7:$M$1000,11,0)=0,"--",VLOOKUP(B532,'[1]Zebrik W'!$B$7:$M$1000,11,0)))</f>
        <v/>
      </c>
    </row>
    <row r="533" spans="2:14" x14ac:dyDescent="0.2">
      <c r="B533"/>
      <c r="C533"/>
      <c r="D533"/>
      <c r="E533"/>
      <c r="F533"/>
      <c r="G533"/>
      <c r="H533"/>
      <c r="J533"/>
      <c r="N533" t="str">
        <f>IF(ISERROR(VLOOKUP(B533,'[1]Zebrik W'!$B$7:$M$1000,11,0)),"",IF(VLOOKUP(B533,'[1]Zebrik W'!$B$7:$M$1000,11,0)=0,"--",VLOOKUP(B533,'[1]Zebrik W'!$B$7:$M$1000,11,0)))</f>
        <v/>
      </c>
    </row>
    <row r="534" spans="2:14" x14ac:dyDescent="0.2">
      <c r="B534"/>
      <c r="C534"/>
      <c r="D534"/>
      <c r="E534"/>
      <c r="F534"/>
      <c r="G534"/>
      <c r="H534"/>
      <c r="J534"/>
      <c r="N534" t="str">
        <f>IF(ISERROR(VLOOKUP(B534,'[1]Zebrik W'!$B$7:$M$1000,11,0)),"",IF(VLOOKUP(B534,'[1]Zebrik W'!$B$7:$M$1000,11,0)=0,"--",VLOOKUP(B534,'[1]Zebrik W'!$B$7:$M$1000,11,0)))</f>
        <v/>
      </c>
    </row>
    <row r="535" spans="2:14" x14ac:dyDescent="0.2">
      <c r="B535"/>
      <c r="C535"/>
      <c r="D535"/>
      <c r="E535"/>
      <c r="F535"/>
      <c r="G535"/>
      <c r="H535"/>
      <c r="J535"/>
      <c r="N535" t="str">
        <f>IF(ISERROR(VLOOKUP(B535,'[1]Zebrik W'!$B$7:$M$1000,11,0)),"",IF(VLOOKUP(B535,'[1]Zebrik W'!$B$7:$M$1000,11,0)=0,"--",VLOOKUP(B535,'[1]Zebrik W'!$B$7:$M$1000,11,0)))</f>
        <v/>
      </c>
    </row>
    <row r="536" spans="2:14" x14ac:dyDescent="0.2">
      <c r="B536"/>
      <c r="C536"/>
      <c r="D536"/>
      <c r="E536"/>
      <c r="F536"/>
      <c r="G536"/>
      <c r="H536"/>
      <c r="J536"/>
      <c r="N536" t="str">
        <f>IF(ISERROR(VLOOKUP(B536,'[1]Zebrik W'!$B$7:$M$1000,11,0)),"",IF(VLOOKUP(B536,'[1]Zebrik W'!$B$7:$M$1000,11,0)=0,"--",VLOOKUP(B536,'[1]Zebrik W'!$B$7:$M$1000,11,0)))</f>
        <v/>
      </c>
    </row>
    <row r="537" spans="2:14" x14ac:dyDescent="0.2">
      <c r="B537"/>
      <c r="C537"/>
      <c r="D537"/>
      <c r="E537"/>
      <c r="F537"/>
      <c r="G537"/>
      <c r="H537"/>
      <c r="J537"/>
      <c r="N537" t="str">
        <f>IF(ISERROR(VLOOKUP(B537,'[1]Zebrik W'!$B$7:$M$1000,11,0)),"",IF(VLOOKUP(B537,'[1]Zebrik W'!$B$7:$M$1000,11,0)=0,"--",VLOOKUP(B537,'[1]Zebrik W'!$B$7:$M$1000,11,0)))</f>
        <v/>
      </c>
    </row>
    <row r="538" spans="2:14" x14ac:dyDescent="0.2">
      <c r="B538"/>
      <c r="C538"/>
      <c r="D538"/>
      <c r="E538"/>
      <c r="F538"/>
      <c r="G538"/>
      <c r="H538"/>
      <c r="J538"/>
      <c r="N538" t="str">
        <f>IF(ISERROR(VLOOKUP(B538,'[1]Zebrik W'!$B$7:$M$1000,11,0)),"",IF(VLOOKUP(B538,'[1]Zebrik W'!$B$7:$M$1000,11,0)=0,"--",VLOOKUP(B538,'[1]Zebrik W'!$B$7:$M$1000,11,0)))</f>
        <v/>
      </c>
    </row>
    <row r="539" spans="2:14" x14ac:dyDescent="0.2">
      <c r="B539"/>
      <c r="C539"/>
      <c r="D539"/>
      <c r="E539"/>
      <c r="F539"/>
      <c r="G539"/>
      <c r="H539"/>
      <c r="J539"/>
      <c r="N539" t="str">
        <f>IF(ISERROR(VLOOKUP(B539,'[1]Zebrik W'!$B$7:$M$1000,11,0)),"",IF(VLOOKUP(B539,'[1]Zebrik W'!$B$7:$M$1000,11,0)=0,"--",VLOOKUP(B539,'[1]Zebrik W'!$B$7:$M$1000,11,0)))</f>
        <v/>
      </c>
    </row>
    <row r="540" spans="2:14" x14ac:dyDescent="0.2">
      <c r="B540"/>
      <c r="C540"/>
      <c r="D540"/>
      <c r="E540"/>
      <c r="F540"/>
      <c r="G540"/>
      <c r="H540"/>
      <c r="J540"/>
      <c r="N540" t="str">
        <f>IF(ISERROR(VLOOKUP(B540,'[1]Zebrik W'!$B$7:$M$1000,11,0)),"",IF(VLOOKUP(B540,'[1]Zebrik W'!$B$7:$M$1000,11,0)=0,"--",VLOOKUP(B540,'[1]Zebrik W'!$B$7:$M$1000,11,0)))</f>
        <v/>
      </c>
    </row>
    <row r="541" spans="2:14" x14ac:dyDescent="0.2">
      <c r="B541"/>
      <c r="C541"/>
      <c r="D541"/>
      <c r="E541"/>
      <c r="F541"/>
      <c r="G541"/>
      <c r="H541"/>
      <c r="J541"/>
      <c r="N541" t="str">
        <f>IF(ISERROR(VLOOKUP(B541,'[1]Zebrik W'!$B$7:$M$1000,11,0)),"",IF(VLOOKUP(B541,'[1]Zebrik W'!$B$7:$M$1000,11,0)=0,"--",VLOOKUP(B541,'[1]Zebrik W'!$B$7:$M$1000,11,0)))</f>
        <v/>
      </c>
    </row>
    <row r="542" spans="2:14" x14ac:dyDescent="0.2">
      <c r="B542"/>
      <c r="C542"/>
      <c r="D542"/>
      <c r="E542"/>
      <c r="F542"/>
      <c r="G542"/>
      <c r="H542"/>
      <c r="J542"/>
      <c r="N542" t="str">
        <f>IF(ISERROR(VLOOKUP(B542,'[1]Zebrik W'!$B$7:$M$1000,11,0)),"",IF(VLOOKUP(B542,'[1]Zebrik W'!$B$7:$M$1000,11,0)=0,"--",VLOOKUP(B542,'[1]Zebrik W'!$B$7:$M$1000,11,0)))</f>
        <v/>
      </c>
    </row>
    <row r="543" spans="2:14" x14ac:dyDescent="0.2">
      <c r="B543"/>
      <c r="C543"/>
      <c r="D543"/>
      <c r="E543"/>
      <c r="F543"/>
      <c r="G543"/>
      <c r="H543"/>
      <c r="J543"/>
      <c r="N543" t="str">
        <f>IF(ISERROR(VLOOKUP(B543,'[1]Zebrik W'!$B$7:$M$1000,11,0)),"",IF(VLOOKUP(B543,'[1]Zebrik W'!$B$7:$M$1000,11,0)=0,"--",VLOOKUP(B543,'[1]Zebrik W'!$B$7:$M$1000,11,0)))</f>
        <v/>
      </c>
    </row>
    <row r="544" spans="2:14" x14ac:dyDescent="0.2">
      <c r="B544"/>
      <c r="C544"/>
      <c r="D544"/>
      <c r="E544"/>
      <c r="F544"/>
      <c r="G544"/>
      <c r="H544"/>
      <c r="J544"/>
      <c r="N544" t="str">
        <f>IF(ISERROR(VLOOKUP(B544,'[1]Zebrik W'!$B$7:$M$1000,11,0)),"",IF(VLOOKUP(B544,'[1]Zebrik W'!$B$7:$M$1000,11,0)=0,"--",VLOOKUP(B544,'[1]Zebrik W'!$B$7:$M$1000,11,0)))</f>
        <v/>
      </c>
    </row>
    <row r="545" spans="2:14" x14ac:dyDescent="0.2">
      <c r="B545"/>
      <c r="C545"/>
      <c r="D545"/>
      <c r="E545"/>
      <c r="F545"/>
      <c r="G545"/>
      <c r="H545"/>
      <c r="J545"/>
      <c r="N545" t="str">
        <f>IF(ISERROR(VLOOKUP(B545,'[1]Zebrik W'!$B$7:$M$1000,11,0)),"",IF(VLOOKUP(B545,'[1]Zebrik W'!$B$7:$M$1000,11,0)=0,"--",VLOOKUP(B545,'[1]Zebrik W'!$B$7:$M$1000,11,0)))</f>
        <v/>
      </c>
    </row>
    <row r="546" spans="2:14" x14ac:dyDescent="0.2">
      <c r="B546"/>
      <c r="C546"/>
      <c r="D546"/>
      <c r="E546"/>
      <c r="F546"/>
      <c r="G546"/>
      <c r="H546"/>
      <c r="J546"/>
      <c r="N546" t="str">
        <f>IF(ISERROR(VLOOKUP(B546,'[1]Zebrik W'!$B$7:$M$1000,11,0)),"",IF(VLOOKUP(B546,'[1]Zebrik W'!$B$7:$M$1000,11,0)=0,"--",VLOOKUP(B546,'[1]Zebrik W'!$B$7:$M$1000,11,0)))</f>
        <v/>
      </c>
    </row>
    <row r="547" spans="2:14" x14ac:dyDescent="0.2">
      <c r="B547"/>
      <c r="C547"/>
      <c r="D547"/>
      <c r="E547"/>
      <c r="F547"/>
      <c r="G547"/>
      <c r="H547"/>
      <c r="J547"/>
      <c r="N547" t="str">
        <f>IF(ISERROR(VLOOKUP(B547,'[1]Zebrik W'!$B$7:$M$1000,11,0)),"",IF(VLOOKUP(B547,'[1]Zebrik W'!$B$7:$M$1000,11,0)=0,"--",VLOOKUP(B547,'[1]Zebrik W'!$B$7:$M$1000,11,0)))</f>
        <v/>
      </c>
    </row>
    <row r="548" spans="2:14" x14ac:dyDescent="0.2">
      <c r="B548"/>
      <c r="C548"/>
      <c r="D548"/>
      <c r="E548"/>
      <c r="F548"/>
      <c r="G548"/>
      <c r="H548"/>
      <c r="J548"/>
      <c r="N548" t="str">
        <f>IF(ISERROR(VLOOKUP(B548,'[1]Zebrik W'!$B$7:$M$1000,11,0)),"",IF(VLOOKUP(B548,'[1]Zebrik W'!$B$7:$M$1000,11,0)=0,"--",VLOOKUP(B548,'[1]Zebrik W'!$B$7:$M$1000,11,0)))</f>
        <v/>
      </c>
    </row>
    <row r="549" spans="2:14" x14ac:dyDescent="0.2">
      <c r="B549"/>
      <c r="C549"/>
      <c r="D549"/>
      <c r="E549"/>
      <c r="F549"/>
      <c r="G549"/>
      <c r="H549"/>
      <c r="J549"/>
      <c r="N549" t="str">
        <f>IF(ISERROR(VLOOKUP(B549,'[1]Zebrik W'!$B$7:$M$1000,11,0)),"",IF(VLOOKUP(B549,'[1]Zebrik W'!$B$7:$M$1000,11,0)=0,"--",VLOOKUP(B549,'[1]Zebrik W'!$B$7:$M$1000,11,0)))</f>
        <v/>
      </c>
    </row>
    <row r="550" spans="2:14" x14ac:dyDescent="0.2">
      <c r="B550"/>
      <c r="C550"/>
      <c r="D550"/>
      <c r="E550"/>
      <c r="F550"/>
      <c r="G550"/>
      <c r="H550"/>
      <c r="J550"/>
      <c r="N550" t="str">
        <f>IF(ISERROR(VLOOKUP(B550,'[1]Zebrik W'!$B$7:$M$1000,11,0)),"",IF(VLOOKUP(B550,'[1]Zebrik W'!$B$7:$M$1000,11,0)=0,"--",VLOOKUP(B550,'[1]Zebrik W'!$B$7:$M$1000,11,0)))</f>
        <v/>
      </c>
    </row>
    <row r="551" spans="2:14" x14ac:dyDescent="0.2">
      <c r="B551"/>
      <c r="C551"/>
      <c r="D551"/>
      <c r="E551"/>
      <c r="F551"/>
      <c r="G551"/>
      <c r="H551"/>
      <c r="J551"/>
      <c r="N551" t="str">
        <f>IF(ISERROR(VLOOKUP(B551,'[1]Zebrik W'!$B$7:$M$1000,11,0)),"",IF(VLOOKUP(B551,'[1]Zebrik W'!$B$7:$M$1000,11,0)=0,"--",VLOOKUP(B551,'[1]Zebrik W'!$B$7:$M$1000,11,0)))</f>
        <v/>
      </c>
    </row>
    <row r="552" spans="2:14" x14ac:dyDescent="0.2">
      <c r="B552"/>
      <c r="C552"/>
      <c r="D552"/>
      <c r="E552"/>
      <c r="F552"/>
      <c r="G552"/>
      <c r="H552"/>
      <c r="J552"/>
      <c r="N552" t="str">
        <f>IF(ISERROR(VLOOKUP(B552,'[1]Zebrik W'!$B$7:$M$1000,11,0)),"",IF(VLOOKUP(B552,'[1]Zebrik W'!$B$7:$M$1000,11,0)=0,"--",VLOOKUP(B552,'[1]Zebrik W'!$B$7:$M$1000,11,0)))</f>
        <v/>
      </c>
    </row>
    <row r="553" spans="2:14" x14ac:dyDescent="0.2">
      <c r="B553"/>
      <c r="C553"/>
      <c r="D553"/>
      <c r="E553"/>
      <c r="F553"/>
      <c r="G553"/>
      <c r="H553"/>
      <c r="J553"/>
      <c r="N553" t="str">
        <f>IF(ISERROR(VLOOKUP(B553,'[1]Zebrik W'!$B$7:$M$1000,11,0)),"",IF(VLOOKUP(B553,'[1]Zebrik W'!$B$7:$M$1000,11,0)=0,"--",VLOOKUP(B553,'[1]Zebrik W'!$B$7:$M$1000,11,0)))</f>
        <v/>
      </c>
    </row>
    <row r="554" spans="2:14" x14ac:dyDescent="0.2">
      <c r="B554"/>
      <c r="C554"/>
      <c r="D554"/>
      <c r="E554"/>
      <c r="F554"/>
      <c r="G554"/>
      <c r="H554"/>
      <c r="J554"/>
      <c r="N554" t="str">
        <f>IF(ISERROR(VLOOKUP(B554,'[1]Zebrik W'!$B$7:$M$1000,11,0)),"",IF(VLOOKUP(B554,'[1]Zebrik W'!$B$7:$M$1000,11,0)=0,"--",VLOOKUP(B554,'[1]Zebrik W'!$B$7:$M$1000,11,0)))</f>
        <v/>
      </c>
    </row>
    <row r="555" spans="2:14" x14ac:dyDescent="0.2">
      <c r="B555"/>
      <c r="C555"/>
      <c r="D555"/>
      <c r="E555"/>
      <c r="F555"/>
      <c r="G555"/>
      <c r="H555"/>
      <c r="J555"/>
      <c r="N555" t="str">
        <f>IF(ISERROR(VLOOKUP(B555,'[1]Zebrik W'!$B$7:$M$1000,11,0)),"",IF(VLOOKUP(B555,'[1]Zebrik W'!$B$7:$M$1000,11,0)=0,"--",VLOOKUP(B555,'[1]Zebrik W'!$B$7:$M$1000,11,0)))</f>
        <v/>
      </c>
    </row>
    <row r="556" spans="2:14" x14ac:dyDescent="0.2">
      <c r="B556"/>
      <c r="C556"/>
      <c r="D556"/>
      <c r="E556"/>
      <c r="F556"/>
      <c r="G556"/>
      <c r="H556"/>
      <c r="J556"/>
      <c r="N556" t="str">
        <f>IF(ISERROR(VLOOKUP(B556,'[1]Zebrik W'!$B$7:$M$1000,11,0)),"",IF(VLOOKUP(B556,'[1]Zebrik W'!$B$7:$M$1000,11,0)=0,"--",VLOOKUP(B556,'[1]Zebrik W'!$B$7:$M$1000,11,0)))</f>
        <v/>
      </c>
    </row>
    <row r="557" spans="2:14" x14ac:dyDescent="0.2">
      <c r="B557"/>
      <c r="C557"/>
      <c r="D557"/>
      <c r="E557"/>
      <c r="F557"/>
      <c r="G557"/>
      <c r="H557"/>
      <c r="J557"/>
      <c r="N557" t="str">
        <f>IF(ISERROR(VLOOKUP(B557,'[1]Zebrik W'!$B$7:$M$1000,11,0)),"",IF(VLOOKUP(B557,'[1]Zebrik W'!$B$7:$M$1000,11,0)=0,"--",VLOOKUP(B557,'[1]Zebrik W'!$B$7:$M$1000,11,0)))</f>
        <v/>
      </c>
    </row>
    <row r="558" spans="2:14" x14ac:dyDescent="0.2">
      <c r="B558"/>
      <c r="C558"/>
      <c r="D558"/>
      <c r="E558"/>
      <c r="F558"/>
      <c r="G558"/>
      <c r="H558"/>
      <c r="J558"/>
      <c r="N558" t="str">
        <f>IF(ISERROR(VLOOKUP(B558,'[1]Zebrik W'!$B$7:$M$1000,11,0)),"",IF(VLOOKUP(B558,'[1]Zebrik W'!$B$7:$M$1000,11,0)=0,"--",VLOOKUP(B558,'[1]Zebrik W'!$B$7:$M$1000,11,0)))</f>
        <v/>
      </c>
    </row>
    <row r="559" spans="2:14" x14ac:dyDescent="0.2">
      <c r="B559"/>
      <c r="C559"/>
      <c r="D559"/>
      <c r="E559"/>
      <c r="F559"/>
      <c r="G559"/>
      <c r="H559"/>
      <c r="J559"/>
      <c r="N559" t="str">
        <f>IF(ISERROR(VLOOKUP(B559,'[1]Zebrik W'!$B$7:$M$1000,11,0)),"",IF(VLOOKUP(B559,'[1]Zebrik W'!$B$7:$M$1000,11,0)=0,"--",VLOOKUP(B559,'[1]Zebrik W'!$B$7:$M$1000,11,0)))</f>
        <v/>
      </c>
    </row>
    <row r="560" spans="2:14" x14ac:dyDescent="0.2">
      <c r="B560"/>
      <c r="C560"/>
      <c r="D560"/>
      <c r="E560"/>
      <c r="F560"/>
      <c r="G560"/>
      <c r="H560"/>
      <c r="J560"/>
      <c r="N560" t="str">
        <f>IF(ISERROR(VLOOKUP(B560,'[1]Zebrik W'!$B$7:$M$1000,11,0)),"",IF(VLOOKUP(B560,'[1]Zebrik W'!$B$7:$M$1000,11,0)=0,"--",VLOOKUP(B560,'[1]Zebrik W'!$B$7:$M$1000,11,0)))</f>
        <v/>
      </c>
    </row>
    <row r="561" spans="2:14" x14ac:dyDescent="0.2">
      <c r="B561"/>
      <c r="C561"/>
      <c r="D561"/>
      <c r="E561"/>
      <c r="F561"/>
      <c r="G561"/>
      <c r="H561"/>
      <c r="J561"/>
      <c r="N561" t="str">
        <f>IF(ISERROR(VLOOKUP(B561,'[1]Zebrik W'!$B$7:$M$1000,11,0)),"",IF(VLOOKUP(B561,'[1]Zebrik W'!$B$7:$M$1000,11,0)=0,"--",VLOOKUP(B561,'[1]Zebrik W'!$B$7:$M$1000,11,0)))</f>
        <v/>
      </c>
    </row>
    <row r="562" spans="2:14" x14ac:dyDescent="0.2">
      <c r="B562"/>
      <c r="C562"/>
      <c r="D562"/>
      <c r="E562"/>
      <c r="F562"/>
      <c r="G562"/>
      <c r="H562"/>
      <c r="J562"/>
      <c r="N562" t="str">
        <f>IF(ISERROR(VLOOKUP(B562,'[1]Zebrik W'!$B$7:$M$1000,11,0)),"",IF(VLOOKUP(B562,'[1]Zebrik W'!$B$7:$M$1000,11,0)=0,"--",VLOOKUP(B562,'[1]Zebrik W'!$B$7:$M$1000,11,0)))</f>
        <v/>
      </c>
    </row>
    <row r="563" spans="2:14" x14ac:dyDescent="0.2">
      <c r="B563"/>
      <c r="C563"/>
      <c r="D563"/>
      <c r="E563"/>
      <c r="F563"/>
      <c r="G563"/>
      <c r="H563"/>
      <c r="J563"/>
      <c r="N563" t="str">
        <f>IF(ISERROR(VLOOKUP(B563,'[1]Zebrik W'!$B$7:$M$1000,11,0)),"",IF(VLOOKUP(B563,'[1]Zebrik W'!$B$7:$M$1000,11,0)=0,"--",VLOOKUP(B563,'[1]Zebrik W'!$B$7:$M$1000,11,0)))</f>
        <v/>
      </c>
    </row>
    <row r="564" spans="2:14" x14ac:dyDescent="0.2">
      <c r="B564"/>
      <c r="C564"/>
      <c r="D564"/>
      <c r="E564"/>
      <c r="F564"/>
      <c r="G564"/>
      <c r="H564"/>
      <c r="J564"/>
      <c r="N564" t="str">
        <f>IF(ISERROR(VLOOKUP(B564,'[1]Zebrik W'!$B$7:$M$1000,11,0)),"",IF(VLOOKUP(B564,'[1]Zebrik W'!$B$7:$M$1000,11,0)=0,"--",VLOOKUP(B564,'[1]Zebrik W'!$B$7:$M$1000,11,0)))</f>
        <v/>
      </c>
    </row>
    <row r="565" spans="2:14" x14ac:dyDescent="0.2">
      <c r="B565"/>
      <c r="C565"/>
      <c r="D565"/>
      <c r="E565"/>
      <c r="F565"/>
      <c r="G565"/>
      <c r="H565"/>
      <c r="J565"/>
      <c r="N565" t="str">
        <f>IF(ISERROR(VLOOKUP(B565,'[1]Zebrik W'!$B$7:$M$1000,11,0)),"",IF(VLOOKUP(B565,'[1]Zebrik W'!$B$7:$M$1000,11,0)=0,"--",VLOOKUP(B565,'[1]Zebrik W'!$B$7:$M$1000,11,0)))</f>
        <v/>
      </c>
    </row>
    <row r="566" spans="2:14" x14ac:dyDescent="0.2">
      <c r="B566"/>
      <c r="C566"/>
      <c r="D566"/>
      <c r="E566"/>
      <c r="F566"/>
      <c r="G566"/>
      <c r="H566"/>
      <c r="J566"/>
      <c r="N566" t="str">
        <f>IF(ISERROR(VLOOKUP(B566,'[1]Zebrik W'!$B$7:$M$1000,11,0)),"",IF(VLOOKUP(B566,'[1]Zebrik W'!$B$7:$M$1000,11,0)=0,"--",VLOOKUP(B566,'[1]Zebrik W'!$B$7:$M$1000,11,0)))</f>
        <v/>
      </c>
    </row>
    <row r="567" spans="2:14" x14ac:dyDescent="0.2">
      <c r="B567"/>
      <c r="C567"/>
      <c r="D567"/>
      <c r="E567"/>
      <c r="F567"/>
      <c r="G567"/>
      <c r="H567"/>
      <c r="J567"/>
      <c r="N567" t="str">
        <f>IF(ISERROR(VLOOKUP(B567,'[1]Zebrik W'!$B$7:$M$1000,11,0)),"",IF(VLOOKUP(B567,'[1]Zebrik W'!$B$7:$M$1000,11,0)=0,"--",VLOOKUP(B567,'[1]Zebrik W'!$B$7:$M$1000,11,0)))</f>
        <v/>
      </c>
    </row>
    <row r="568" spans="2:14" x14ac:dyDescent="0.2">
      <c r="B568"/>
      <c r="C568"/>
      <c r="D568"/>
      <c r="E568"/>
      <c r="F568"/>
      <c r="G568"/>
      <c r="H568"/>
      <c r="J568"/>
      <c r="N568" t="str">
        <f>IF(ISERROR(VLOOKUP(B568,'[1]Zebrik W'!$B$7:$M$1000,11,0)),"",IF(VLOOKUP(B568,'[1]Zebrik W'!$B$7:$M$1000,11,0)=0,"--",VLOOKUP(B568,'[1]Zebrik W'!$B$7:$M$1000,11,0)))</f>
        <v/>
      </c>
    </row>
    <row r="569" spans="2:14" x14ac:dyDescent="0.2">
      <c r="B569"/>
      <c r="C569"/>
      <c r="D569"/>
      <c r="E569"/>
      <c r="F569"/>
      <c r="G569"/>
      <c r="H569"/>
      <c r="J569"/>
      <c r="N569" t="str">
        <f>IF(ISERROR(VLOOKUP(B569,'[1]Zebrik W'!$B$7:$M$1000,11,0)),"",IF(VLOOKUP(B569,'[1]Zebrik W'!$B$7:$M$1000,11,0)=0,"--",VLOOKUP(B569,'[1]Zebrik W'!$B$7:$M$1000,11,0)))</f>
        <v/>
      </c>
    </row>
    <row r="570" spans="2:14" x14ac:dyDescent="0.2">
      <c r="B570"/>
      <c r="C570"/>
      <c r="D570"/>
      <c r="E570"/>
      <c r="F570"/>
      <c r="G570"/>
      <c r="H570"/>
      <c r="J570"/>
      <c r="N570" t="str">
        <f>IF(ISERROR(VLOOKUP(B570,'[1]Zebrik W'!$B$7:$M$1000,11,0)),"",IF(VLOOKUP(B570,'[1]Zebrik W'!$B$7:$M$1000,11,0)=0,"--",VLOOKUP(B570,'[1]Zebrik W'!$B$7:$M$1000,11,0)))</f>
        <v/>
      </c>
    </row>
    <row r="571" spans="2:14" x14ac:dyDescent="0.2">
      <c r="B571"/>
      <c r="C571"/>
      <c r="D571"/>
      <c r="E571"/>
      <c r="F571"/>
      <c r="G571"/>
      <c r="H571"/>
      <c r="J571"/>
      <c r="N571" t="str">
        <f>IF(ISERROR(VLOOKUP(B571,'[1]Zebrik W'!$B$7:$M$1000,11,0)),"",IF(VLOOKUP(B571,'[1]Zebrik W'!$B$7:$M$1000,11,0)=0,"--",VLOOKUP(B571,'[1]Zebrik W'!$B$7:$M$1000,11,0)))</f>
        <v/>
      </c>
    </row>
    <row r="572" spans="2:14" x14ac:dyDescent="0.2">
      <c r="B572"/>
      <c r="C572"/>
      <c r="D572"/>
      <c r="E572"/>
      <c r="F572"/>
      <c r="G572"/>
      <c r="H572"/>
      <c r="J572"/>
      <c r="N572" t="str">
        <f>IF(ISERROR(VLOOKUP(B572,'[1]Zebrik W'!$B$7:$M$1000,11,0)),"",IF(VLOOKUP(B572,'[1]Zebrik W'!$B$7:$M$1000,11,0)=0,"--",VLOOKUP(B572,'[1]Zebrik W'!$B$7:$M$1000,11,0)))</f>
        <v/>
      </c>
    </row>
    <row r="573" spans="2:14" x14ac:dyDescent="0.2">
      <c r="B573"/>
      <c r="C573"/>
      <c r="D573"/>
      <c r="E573"/>
      <c r="F573"/>
      <c r="G573"/>
      <c r="H573"/>
      <c r="J573"/>
      <c r="N573" t="str">
        <f>IF(ISERROR(VLOOKUP(B573,'[1]Zebrik W'!$B$7:$M$1000,11,0)),"",IF(VLOOKUP(B573,'[1]Zebrik W'!$B$7:$M$1000,11,0)=0,"--",VLOOKUP(B573,'[1]Zebrik W'!$B$7:$M$1000,11,0)))</f>
        <v/>
      </c>
    </row>
    <row r="574" spans="2:14" x14ac:dyDescent="0.2">
      <c r="B574"/>
      <c r="C574"/>
      <c r="D574"/>
      <c r="E574"/>
      <c r="F574"/>
      <c r="G574"/>
      <c r="H574"/>
      <c r="J574"/>
      <c r="N574" t="str">
        <f>IF(ISERROR(VLOOKUP(B574,'[1]Zebrik W'!$B$7:$M$1000,11,0)),"",IF(VLOOKUP(B574,'[1]Zebrik W'!$B$7:$M$1000,11,0)=0,"--",VLOOKUP(B574,'[1]Zebrik W'!$B$7:$M$1000,11,0)))</f>
        <v/>
      </c>
    </row>
    <row r="575" spans="2:14" x14ac:dyDescent="0.2">
      <c r="B575"/>
      <c r="C575"/>
      <c r="D575"/>
      <c r="E575"/>
      <c r="F575"/>
      <c r="G575"/>
      <c r="H575"/>
      <c r="J575"/>
      <c r="N575" t="str">
        <f>IF(ISERROR(VLOOKUP(B575,'[1]Zebrik W'!$B$7:$M$1000,11,0)),"",IF(VLOOKUP(B575,'[1]Zebrik W'!$B$7:$M$1000,11,0)=0,"--",VLOOKUP(B575,'[1]Zebrik W'!$B$7:$M$1000,11,0)))</f>
        <v/>
      </c>
    </row>
    <row r="576" spans="2:14" x14ac:dyDescent="0.2">
      <c r="B576"/>
      <c r="C576"/>
      <c r="D576"/>
      <c r="E576"/>
      <c r="F576"/>
      <c r="G576"/>
      <c r="H576"/>
      <c r="J576"/>
      <c r="N576" t="str">
        <f>IF(ISERROR(VLOOKUP(B576,'[1]Zebrik W'!$B$7:$M$1000,11,0)),"",IF(VLOOKUP(B576,'[1]Zebrik W'!$B$7:$M$1000,11,0)=0,"--",VLOOKUP(B576,'[1]Zebrik W'!$B$7:$M$1000,11,0)))</f>
        <v/>
      </c>
    </row>
    <row r="577" spans="2:14" x14ac:dyDescent="0.2">
      <c r="B577"/>
      <c r="C577"/>
      <c r="D577"/>
      <c r="E577"/>
      <c r="F577"/>
      <c r="G577"/>
      <c r="H577"/>
      <c r="J577"/>
      <c r="N577" t="str">
        <f>IF(ISERROR(VLOOKUP(B577,'[1]Zebrik W'!$B$7:$M$1000,11,0)),"",IF(VLOOKUP(B577,'[1]Zebrik W'!$B$7:$M$1000,11,0)=0,"--",VLOOKUP(B577,'[1]Zebrik W'!$B$7:$M$1000,11,0)))</f>
        <v/>
      </c>
    </row>
    <row r="578" spans="2:14" x14ac:dyDescent="0.2">
      <c r="B578"/>
      <c r="C578"/>
      <c r="D578"/>
      <c r="E578"/>
      <c r="F578"/>
      <c r="G578"/>
      <c r="H578"/>
      <c r="J578"/>
      <c r="N578" t="str">
        <f>IF(ISERROR(VLOOKUP(B578,'[1]Zebrik W'!$B$7:$M$1000,11,0)),"",IF(VLOOKUP(B578,'[1]Zebrik W'!$B$7:$M$1000,11,0)=0,"--",VLOOKUP(B578,'[1]Zebrik W'!$B$7:$M$1000,11,0)))</f>
        <v/>
      </c>
    </row>
    <row r="579" spans="2:14" x14ac:dyDescent="0.2">
      <c r="B579"/>
      <c r="C579"/>
      <c r="D579"/>
      <c r="E579"/>
      <c r="F579"/>
      <c r="G579"/>
      <c r="H579"/>
      <c r="J579"/>
      <c r="N579" t="str">
        <f>IF(ISERROR(VLOOKUP(B579,'[1]Zebrik W'!$B$7:$M$1000,11,0)),"",IF(VLOOKUP(B579,'[1]Zebrik W'!$B$7:$M$1000,11,0)=0,"--",VLOOKUP(B579,'[1]Zebrik W'!$B$7:$M$1000,11,0)))</f>
        <v/>
      </c>
    </row>
    <row r="580" spans="2:14" x14ac:dyDescent="0.2">
      <c r="B580"/>
      <c r="C580"/>
      <c r="D580"/>
      <c r="E580"/>
      <c r="F580"/>
      <c r="G580"/>
      <c r="H580"/>
      <c r="J580"/>
      <c r="N580" t="str">
        <f>IF(ISERROR(VLOOKUP(B580,'[1]Zebrik W'!$B$7:$M$1000,11,0)),"",IF(VLOOKUP(B580,'[1]Zebrik W'!$B$7:$M$1000,11,0)=0,"--",VLOOKUP(B580,'[1]Zebrik W'!$B$7:$M$1000,11,0)))</f>
        <v/>
      </c>
    </row>
    <row r="581" spans="2:14" x14ac:dyDescent="0.2">
      <c r="B581"/>
      <c r="C581"/>
      <c r="D581"/>
      <c r="E581"/>
      <c r="F581"/>
      <c r="G581"/>
      <c r="H581"/>
      <c r="J581"/>
      <c r="N581" t="str">
        <f>IF(ISERROR(VLOOKUP(B581,'[1]Zebrik W'!$B$7:$M$1000,11,0)),"",IF(VLOOKUP(B581,'[1]Zebrik W'!$B$7:$M$1000,11,0)=0,"--",VLOOKUP(B581,'[1]Zebrik W'!$B$7:$M$1000,11,0)))</f>
        <v/>
      </c>
    </row>
    <row r="582" spans="2:14" x14ac:dyDescent="0.2">
      <c r="B582"/>
      <c r="C582"/>
      <c r="D582"/>
      <c r="E582"/>
      <c r="F582"/>
      <c r="G582"/>
      <c r="H582"/>
      <c r="J582"/>
      <c r="N582" t="str">
        <f>IF(ISERROR(VLOOKUP(B582,'[1]Zebrik W'!$B$7:$M$1000,11,0)),"",IF(VLOOKUP(B582,'[1]Zebrik W'!$B$7:$M$1000,11,0)=0,"--",VLOOKUP(B582,'[1]Zebrik W'!$B$7:$M$1000,11,0)))</f>
        <v/>
      </c>
    </row>
    <row r="583" spans="2:14" x14ac:dyDescent="0.2">
      <c r="B583"/>
      <c r="C583"/>
      <c r="D583"/>
      <c r="E583"/>
      <c r="F583"/>
      <c r="G583"/>
      <c r="H583"/>
      <c r="J583"/>
      <c r="N583" t="str">
        <f>IF(ISERROR(VLOOKUP(B583,'[1]Zebrik W'!$B$7:$M$1000,11,0)),"",IF(VLOOKUP(B583,'[1]Zebrik W'!$B$7:$M$1000,11,0)=0,"--",VLOOKUP(B583,'[1]Zebrik W'!$B$7:$M$1000,11,0)))</f>
        <v/>
      </c>
    </row>
    <row r="584" spans="2:14" x14ac:dyDescent="0.2">
      <c r="B584"/>
      <c r="C584"/>
      <c r="D584"/>
      <c r="E584"/>
      <c r="F584"/>
      <c r="G584"/>
      <c r="H584"/>
      <c r="J584"/>
      <c r="N584" t="str">
        <f>IF(ISERROR(VLOOKUP(B584,'[1]Zebrik W'!$B$7:$M$1000,11,0)),"",IF(VLOOKUP(B584,'[1]Zebrik W'!$B$7:$M$1000,11,0)=0,"--",VLOOKUP(B584,'[1]Zebrik W'!$B$7:$M$1000,11,0)))</f>
        <v/>
      </c>
    </row>
    <row r="585" spans="2:14" x14ac:dyDescent="0.2">
      <c r="B585"/>
      <c r="C585"/>
      <c r="D585"/>
      <c r="E585"/>
      <c r="F585"/>
      <c r="G585"/>
      <c r="H585"/>
      <c r="J585"/>
      <c r="N585" t="str">
        <f>IF(ISERROR(VLOOKUP(B585,'[1]Zebrik W'!$B$7:$M$1000,11,0)),"",IF(VLOOKUP(B585,'[1]Zebrik W'!$B$7:$M$1000,11,0)=0,"--",VLOOKUP(B585,'[1]Zebrik W'!$B$7:$M$1000,11,0)))</f>
        <v/>
      </c>
    </row>
    <row r="586" spans="2:14" x14ac:dyDescent="0.2">
      <c r="B586"/>
      <c r="C586"/>
      <c r="D586"/>
      <c r="E586"/>
      <c r="F586"/>
      <c r="G586"/>
      <c r="H586"/>
      <c r="J586"/>
      <c r="N586" t="str">
        <f>IF(ISERROR(VLOOKUP(B586,'[1]Zebrik W'!$B$7:$M$1000,11,0)),"",IF(VLOOKUP(B586,'[1]Zebrik W'!$B$7:$M$1000,11,0)=0,"--",VLOOKUP(B586,'[1]Zebrik W'!$B$7:$M$1000,11,0)))</f>
        <v/>
      </c>
    </row>
    <row r="587" spans="2:14" x14ac:dyDescent="0.2">
      <c r="B587"/>
      <c r="C587"/>
      <c r="D587"/>
      <c r="E587"/>
      <c r="F587"/>
      <c r="G587"/>
      <c r="H587"/>
      <c r="J587"/>
      <c r="N587" t="str">
        <f>IF(ISERROR(VLOOKUP(B587,'[1]Zebrik W'!$B$7:$M$1000,11,0)),"",IF(VLOOKUP(B587,'[1]Zebrik W'!$B$7:$M$1000,11,0)=0,"--",VLOOKUP(B587,'[1]Zebrik W'!$B$7:$M$1000,11,0)))</f>
        <v/>
      </c>
    </row>
    <row r="588" spans="2:14" x14ac:dyDescent="0.2">
      <c r="B588"/>
      <c r="C588"/>
      <c r="D588"/>
      <c r="E588"/>
      <c r="F588"/>
      <c r="G588"/>
      <c r="H588"/>
      <c r="J588"/>
      <c r="N588" t="str">
        <f>IF(ISERROR(VLOOKUP(B588,'[1]Zebrik W'!$B$7:$M$1000,11,0)),"",IF(VLOOKUP(B588,'[1]Zebrik W'!$B$7:$M$1000,11,0)=0,"--",VLOOKUP(B588,'[1]Zebrik W'!$B$7:$M$1000,11,0)))</f>
        <v/>
      </c>
    </row>
    <row r="589" spans="2:14" x14ac:dyDescent="0.2">
      <c r="B589"/>
      <c r="C589"/>
      <c r="D589"/>
      <c r="E589"/>
      <c r="F589"/>
      <c r="G589"/>
      <c r="H589"/>
      <c r="J589"/>
      <c r="N589" t="str">
        <f>IF(ISERROR(VLOOKUP(B589,'[1]Zebrik W'!$B$7:$M$1000,11,0)),"",IF(VLOOKUP(B589,'[1]Zebrik W'!$B$7:$M$1000,11,0)=0,"--",VLOOKUP(B589,'[1]Zebrik W'!$B$7:$M$1000,11,0)))</f>
        <v/>
      </c>
    </row>
    <row r="590" spans="2:14" x14ac:dyDescent="0.2">
      <c r="B590"/>
      <c r="C590"/>
      <c r="D590"/>
      <c r="E590"/>
      <c r="F590"/>
      <c r="G590"/>
      <c r="H590"/>
      <c r="J590"/>
      <c r="N590" t="str">
        <f>IF(ISERROR(VLOOKUP(B590,'[1]Zebrik W'!$B$7:$M$1000,11,0)),"",IF(VLOOKUP(B590,'[1]Zebrik W'!$B$7:$M$1000,11,0)=0,"--",VLOOKUP(B590,'[1]Zebrik W'!$B$7:$M$1000,11,0)))</f>
        <v/>
      </c>
    </row>
    <row r="591" spans="2:14" x14ac:dyDescent="0.2">
      <c r="B591"/>
      <c r="C591"/>
      <c r="D591"/>
      <c r="E591"/>
      <c r="F591"/>
      <c r="G591"/>
      <c r="H591"/>
      <c r="J591"/>
      <c r="N591" t="str">
        <f>IF(ISERROR(VLOOKUP(B591,'[1]Zebrik W'!$B$7:$M$1000,11,0)),"",IF(VLOOKUP(B591,'[1]Zebrik W'!$B$7:$M$1000,11,0)=0,"--",VLOOKUP(B591,'[1]Zebrik W'!$B$7:$M$1000,11,0)))</f>
        <v/>
      </c>
    </row>
    <row r="592" spans="2:14" x14ac:dyDescent="0.2">
      <c r="B592"/>
      <c r="C592"/>
      <c r="D592"/>
      <c r="E592"/>
      <c r="F592"/>
      <c r="G592"/>
      <c r="H592"/>
      <c r="J592"/>
      <c r="N592" t="str">
        <f>IF(ISERROR(VLOOKUP(B592,'[1]Zebrik W'!$B$7:$M$1000,11,0)),"",IF(VLOOKUP(B592,'[1]Zebrik W'!$B$7:$M$1000,11,0)=0,"--",VLOOKUP(B592,'[1]Zebrik W'!$B$7:$M$1000,11,0)))</f>
        <v/>
      </c>
    </row>
    <row r="593" spans="2:14" x14ac:dyDescent="0.2">
      <c r="B593"/>
      <c r="C593"/>
      <c r="D593"/>
      <c r="E593"/>
      <c r="F593"/>
      <c r="G593"/>
      <c r="H593"/>
      <c r="J593"/>
      <c r="N593" t="str">
        <f>IF(ISERROR(VLOOKUP(B593,'[1]Zebrik W'!$B$7:$M$1000,11,0)),"",IF(VLOOKUP(B593,'[1]Zebrik W'!$B$7:$M$1000,11,0)=0,"--",VLOOKUP(B593,'[1]Zebrik W'!$B$7:$M$1000,11,0)))</f>
        <v/>
      </c>
    </row>
    <row r="594" spans="2:14" x14ac:dyDescent="0.2">
      <c r="B594"/>
      <c r="C594"/>
      <c r="D594"/>
      <c r="E594"/>
      <c r="F594"/>
      <c r="G594"/>
      <c r="H594"/>
      <c r="J594"/>
      <c r="N594" t="str">
        <f>IF(ISERROR(VLOOKUP(B594,'[1]Zebrik W'!$B$7:$M$1000,11,0)),"",IF(VLOOKUP(B594,'[1]Zebrik W'!$B$7:$M$1000,11,0)=0,"--",VLOOKUP(B594,'[1]Zebrik W'!$B$7:$M$1000,11,0)))</f>
        <v/>
      </c>
    </row>
    <row r="595" spans="2:14" x14ac:dyDescent="0.2">
      <c r="B595"/>
      <c r="C595"/>
      <c r="D595"/>
      <c r="E595"/>
      <c r="F595"/>
      <c r="G595"/>
      <c r="H595"/>
      <c r="J595"/>
      <c r="N595" t="str">
        <f>IF(ISERROR(VLOOKUP(B595,'[1]Zebrik W'!$B$7:$M$1000,11,0)),"",IF(VLOOKUP(B595,'[1]Zebrik W'!$B$7:$M$1000,11,0)=0,"--",VLOOKUP(B595,'[1]Zebrik W'!$B$7:$M$1000,11,0)))</f>
        <v/>
      </c>
    </row>
    <row r="596" spans="2:14" x14ac:dyDescent="0.2">
      <c r="B596"/>
      <c r="C596"/>
      <c r="D596"/>
      <c r="E596"/>
      <c r="F596"/>
      <c r="G596"/>
      <c r="H596"/>
      <c r="J596"/>
      <c r="N596" t="str">
        <f>IF(ISERROR(VLOOKUP(B596,'[1]Zebrik W'!$B$7:$M$1000,11,0)),"",IF(VLOOKUP(B596,'[1]Zebrik W'!$B$7:$M$1000,11,0)=0,"--",VLOOKUP(B596,'[1]Zebrik W'!$B$7:$M$1000,11,0)))</f>
        <v/>
      </c>
    </row>
    <row r="597" spans="2:14" x14ac:dyDescent="0.2">
      <c r="B597"/>
      <c r="C597"/>
      <c r="D597"/>
      <c r="E597"/>
      <c r="F597"/>
      <c r="G597"/>
      <c r="H597"/>
      <c r="J597"/>
      <c r="N597" t="str">
        <f>IF(ISERROR(VLOOKUP(B597,'[1]Zebrik W'!$B$7:$M$1000,11,0)),"",IF(VLOOKUP(B597,'[1]Zebrik W'!$B$7:$M$1000,11,0)=0,"--",VLOOKUP(B597,'[1]Zebrik W'!$B$7:$M$1000,11,0)))</f>
        <v/>
      </c>
    </row>
    <row r="598" spans="2:14" x14ac:dyDescent="0.2">
      <c r="B598"/>
      <c r="C598"/>
      <c r="D598"/>
      <c r="E598"/>
      <c r="F598"/>
      <c r="G598"/>
      <c r="H598"/>
      <c r="J598"/>
      <c r="N598" t="str">
        <f>IF(ISERROR(VLOOKUP(B598,'[1]Zebrik W'!$B$7:$M$1000,11,0)),"",IF(VLOOKUP(B598,'[1]Zebrik W'!$B$7:$M$1000,11,0)=0,"--",VLOOKUP(B598,'[1]Zebrik W'!$B$7:$M$1000,11,0)))</f>
        <v/>
      </c>
    </row>
    <row r="599" spans="2:14" x14ac:dyDescent="0.2">
      <c r="B599"/>
      <c r="C599"/>
      <c r="D599"/>
      <c r="E599"/>
      <c r="F599"/>
      <c r="G599"/>
      <c r="H599"/>
      <c r="J599"/>
      <c r="N599" t="str">
        <f>IF(ISERROR(VLOOKUP(B599,'[1]Zebrik W'!$B$7:$M$1000,11,0)),"",IF(VLOOKUP(B599,'[1]Zebrik W'!$B$7:$M$1000,11,0)=0,"--",VLOOKUP(B599,'[1]Zebrik W'!$B$7:$M$1000,11,0)))</f>
        <v/>
      </c>
    </row>
    <row r="600" spans="2:14" x14ac:dyDescent="0.2">
      <c r="B600"/>
      <c r="C600"/>
      <c r="D600"/>
      <c r="E600"/>
      <c r="F600"/>
      <c r="G600"/>
      <c r="H600"/>
      <c r="J600"/>
      <c r="N600" t="str">
        <f>IF(ISERROR(VLOOKUP(B600,'[1]Zebrik W'!$B$7:$M$1000,11,0)),"",IF(VLOOKUP(B600,'[1]Zebrik W'!$B$7:$M$1000,11,0)=0,"--",VLOOKUP(B600,'[1]Zebrik W'!$B$7:$M$1000,11,0)))</f>
        <v/>
      </c>
    </row>
    <row r="601" spans="2:14" x14ac:dyDescent="0.2">
      <c r="B601"/>
      <c r="C601"/>
      <c r="D601"/>
      <c r="E601"/>
      <c r="F601"/>
      <c r="G601"/>
      <c r="H601"/>
      <c r="J601"/>
      <c r="N601" t="str">
        <f>IF(ISERROR(VLOOKUP(B601,'[1]Zebrik W'!$B$7:$M$1000,11,0)),"",IF(VLOOKUP(B601,'[1]Zebrik W'!$B$7:$M$1000,11,0)=0,"--",VLOOKUP(B601,'[1]Zebrik W'!$B$7:$M$1000,11,0)))</f>
        <v/>
      </c>
    </row>
    <row r="602" spans="2:14" x14ac:dyDescent="0.2">
      <c r="B602"/>
      <c r="C602"/>
      <c r="D602"/>
      <c r="E602"/>
      <c r="F602"/>
      <c r="G602"/>
      <c r="H602"/>
      <c r="J602"/>
      <c r="N602" t="str">
        <f>IF(ISERROR(VLOOKUP(B602,'[1]Zebrik W'!$B$7:$M$1000,11,0)),"",IF(VLOOKUP(B602,'[1]Zebrik W'!$B$7:$M$1000,11,0)=0,"--",VLOOKUP(B602,'[1]Zebrik W'!$B$7:$M$1000,11,0)))</f>
        <v/>
      </c>
    </row>
    <row r="603" spans="2:14" x14ac:dyDescent="0.2">
      <c r="B603"/>
      <c r="C603"/>
      <c r="D603"/>
      <c r="E603"/>
      <c r="F603"/>
      <c r="G603"/>
      <c r="H603"/>
      <c r="J603"/>
      <c r="N603" t="str">
        <f>IF(ISERROR(VLOOKUP(B603,'[1]Zebrik W'!$B$7:$M$1000,11,0)),"",IF(VLOOKUP(B603,'[1]Zebrik W'!$B$7:$M$1000,11,0)=0,"--",VLOOKUP(B603,'[1]Zebrik W'!$B$7:$M$1000,11,0)))</f>
        <v/>
      </c>
    </row>
    <row r="604" spans="2:14" x14ac:dyDescent="0.2">
      <c r="B604"/>
      <c r="C604"/>
      <c r="D604"/>
      <c r="E604"/>
      <c r="F604"/>
      <c r="G604"/>
      <c r="H604"/>
      <c r="J604"/>
      <c r="N604" t="str">
        <f>IF(ISERROR(VLOOKUP(B604,'[1]Zebrik W'!$B$7:$M$1000,11,0)),"",IF(VLOOKUP(B604,'[1]Zebrik W'!$B$7:$M$1000,11,0)=0,"--",VLOOKUP(B604,'[1]Zebrik W'!$B$7:$M$1000,11,0)))</f>
        <v/>
      </c>
    </row>
    <row r="605" spans="2:14" x14ac:dyDescent="0.2">
      <c r="B605"/>
      <c r="C605"/>
      <c r="D605"/>
      <c r="E605"/>
      <c r="F605"/>
      <c r="G605"/>
      <c r="H605"/>
      <c r="J605"/>
      <c r="N605" t="str">
        <f>IF(ISERROR(VLOOKUP(B605,'[1]Zebrik W'!$B$7:$M$1000,11,0)),"",IF(VLOOKUP(B605,'[1]Zebrik W'!$B$7:$M$1000,11,0)=0,"--",VLOOKUP(B605,'[1]Zebrik W'!$B$7:$M$1000,11,0)))</f>
        <v/>
      </c>
    </row>
    <row r="606" spans="2:14" x14ac:dyDescent="0.2">
      <c r="B606"/>
      <c r="C606"/>
      <c r="D606"/>
      <c r="E606"/>
      <c r="F606"/>
      <c r="G606"/>
      <c r="H606"/>
      <c r="J606"/>
      <c r="N606" t="str">
        <f>IF(ISERROR(VLOOKUP(B606,'[1]Zebrik W'!$B$7:$M$1000,11,0)),"",IF(VLOOKUP(B606,'[1]Zebrik W'!$B$7:$M$1000,11,0)=0,"--",VLOOKUP(B606,'[1]Zebrik W'!$B$7:$M$1000,11,0)))</f>
        <v/>
      </c>
    </row>
    <row r="607" spans="2:14" x14ac:dyDescent="0.2">
      <c r="B607"/>
      <c r="C607"/>
      <c r="D607"/>
      <c r="E607"/>
      <c r="F607"/>
      <c r="G607"/>
      <c r="H607"/>
      <c r="J607"/>
      <c r="N607" t="str">
        <f>IF(ISERROR(VLOOKUP(B607,'[1]Zebrik W'!$B$7:$M$1000,11,0)),"",IF(VLOOKUP(B607,'[1]Zebrik W'!$B$7:$M$1000,11,0)=0,"--",VLOOKUP(B607,'[1]Zebrik W'!$B$7:$M$1000,11,0)))</f>
        <v/>
      </c>
    </row>
    <row r="608" spans="2:14" x14ac:dyDescent="0.2">
      <c r="B608"/>
      <c r="C608"/>
      <c r="D608"/>
      <c r="E608"/>
      <c r="F608"/>
      <c r="G608"/>
      <c r="H608"/>
      <c r="J608"/>
      <c r="N608" t="str">
        <f>IF(ISERROR(VLOOKUP(B608,'[1]Zebrik W'!$B$7:$M$1000,11,0)),"",IF(VLOOKUP(B608,'[1]Zebrik W'!$B$7:$M$1000,11,0)=0,"--",VLOOKUP(B608,'[1]Zebrik W'!$B$7:$M$1000,11,0)))</f>
        <v/>
      </c>
    </row>
    <row r="609" spans="2:14" x14ac:dyDescent="0.2">
      <c r="B609"/>
      <c r="C609"/>
      <c r="D609"/>
      <c r="E609"/>
      <c r="F609"/>
      <c r="G609"/>
      <c r="H609"/>
      <c r="J609"/>
      <c r="N609" t="str">
        <f>IF(ISERROR(VLOOKUP(B609,'[1]Zebrik W'!$B$7:$M$1000,11,0)),"",IF(VLOOKUP(B609,'[1]Zebrik W'!$B$7:$M$1000,11,0)=0,"--",VLOOKUP(B609,'[1]Zebrik W'!$B$7:$M$1000,11,0)))</f>
        <v/>
      </c>
    </row>
    <row r="610" spans="2:14" x14ac:dyDescent="0.2">
      <c r="B610"/>
      <c r="C610"/>
      <c r="D610"/>
      <c r="E610"/>
      <c r="F610"/>
      <c r="G610"/>
      <c r="H610"/>
      <c r="J610"/>
      <c r="N610" t="str">
        <f>IF(ISERROR(VLOOKUP(B610,'[1]Zebrik W'!$B$7:$M$1000,11,0)),"",IF(VLOOKUP(B610,'[1]Zebrik W'!$B$7:$M$1000,11,0)=0,"--",VLOOKUP(B610,'[1]Zebrik W'!$B$7:$M$1000,11,0)))</f>
        <v/>
      </c>
    </row>
    <row r="611" spans="2:14" x14ac:dyDescent="0.2">
      <c r="B611"/>
      <c r="C611"/>
      <c r="D611"/>
      <c r="E611"/>
      <c r="F611"/>
      <c r="G611"/>
      <c r="H611"/>
      <c r="J611"/>
      <c r="N611" t="str">
        <f>IF(ISERROR(VLOOKUP(B611,'[1]Zebrik W'!$B$7:$M$1000,11,0)),"",IF(VLOOKUP(B611,'[1]Zebrik W'!$B$7:$M$1000,11,0)=0,"--",VLOOKUP(B611,'[1]Zebrik W'!$B$7:$M$1000,11,0)))</f>
        <v/>
      </c>
    </row>
    <row r="612" spans="2:14" x14ac:dyDescent="0.2">
      <c r="B612"/>
      <c r="C612"/>
      <c r="D612"/>
      <c r="E612"/>
      <c r="F612"/>
      <c r="G612"/>
      <c r="H612"/>
      <c r="J612"/>
      <c r="N612" t="str">
        <f>IF(ISERROR(VLOOKUP(B612,'[1]Zebrik W'!$B$7:$M$1000,11,0)),"",IF(VLOOKUP(B612,'[1]Zebrik W'!$B$7:$M$1000,11,0)=0,"--",VLOOKUP(B612,'[1]Zebrik W'!$B$7:$M$1000,11,0)))</f>
        <v/>
      </c>
    </row>
    <row r="613" spans="2:14" x14ac:dyDescent="0.2">
      <c r="B613"/>
      <c r="C613"/>
      <c r="D613"/>
      <c r="E613"/>
      <c r="F613"/>
      <c r="G613"/>
      <c r="H613"/>
      <c r="J613"/>
      <c r="N613" t="str">
        <f>IF(ISERROR(VLOOKUP(B613,'[1]Zebrik W'!$B$7:$M$1000,11,0)),"",IF(VLOOKUP(B613,'[1]Zebrik W'!$B$7:$M$1000,11,0)=0,"--",VLOOKUP(B613,'[1]Zebrik W'!$B$7:$M$1000,11,0)))</f>
        <v/>
      </c>
    </row>
    <row r="614" spans="2:14" x14ac:dyDescent="0.2">
      <c r="B614"/>
      <c r="C614"/>
      <c r="D614"/>
      <c r="E614"/>
      <c r="F614"/>
      <c r="G614"/>
      <c r="H614"/>
      <c r="J614"/>
      <c r="N614" t="str">
        <f>IF(ISERROR(VLOOKUP(B614,'[1]Zebrik W'!$B$7:$M$1000,11,0)),"",IF(VLOOKUP(B614,'[1]Zebrik W'!$B$7:$M$1000,11,0)=0,"--",VLOOKUP(B614,'[1]Zebrik W'!$B$7:$M$1000,11,0)))</f>
        <v/>
      </c>
    </row>
    <row r="615" spans="2:14" x14ac:dyDescent="0.2">
      <c r="B615"/>
      <c r="C615"/>
      <c r="D615"/>
      <c r="E615"/>
      <c r="F615"/>
      <c r="G615"/>
      <c r="H615"/>
      <c r="J615"/>
      <c r="N615" t="str">
        <f>IF(ISERROR(VLOOKUP(B615,'[1]Zebrik W'!$B$7:$M$1000,11,0)),"",IF(VLOOKUP(B615,'[1]Zebrik W'!$B$7:$M$1000,11,0)=0,"--",VLOOKUP(B615,'[1]Zebrik W'!$B$7:$M$1000,11,0)))</f>
        <v/>
      </c>
    </row>
    <row r="616" spans="2:14" x14ac:dyDescent="0.2">
      <c r="B616"/>
      <c r="C616"/>
      <c r="D616"/>
      <c r="E616"/>
      <c r="F616"/>
      <c r="G616"/>
      <c r="H616"/>
      <c r="J616"/>
      <c r="N616" t="str">
        <f>IF(ISERROR(VLOOKUP(B616,'[1]Zebrik W'!$B$7:$M$1000,11,0)),"",IF(VLOOKUP(B616,'[1]Zebrik W'!$B$7:$M$1000,11,0)=0,"--",VLOOKUP(B616,'[1]Zebrik W'!$B$7:$M$1000,11,0)))</f>
        <v/>
      </c>
    </row>
    <row r="617" spans="2:14" x14ac:dyDescent="0.2">
      <c r="B617"/>
      <c r="C617"/>
      <c r="D617"/>
      <c r="E617"/>
      <c r="F617"/>
      <c r="G617"/>
      <c r="H617"/>
      <c r="J617"/>
      <c r="N617" t="str">
        <f>IF(ISERROR(VLOOKUP(B617,'[1]Zebrik W'!$B$7:$M$1000,11,0)),"",IF(VLOOKUP(B617,'[1]Zebrik W'!$B$7:$M$1000,11,0)=0,"--",VLOOKUP(B617,'[1]Zebrik W'!$B$7:$M$1000,11,0)))</f>
        <v/>
      </c>
    </row>
    <row r="618" spans="2:14" x14ac:dyDescent="0.2">
      <c r="B618"/>
      <c r="C618"/>
      <c r="D618"/>
      <c r="E618"/>
      <c r="F618"/>
      <c r="G618"/>
      <c r="H618"/>
      <c r="J618"/>
      <c r="N618" t="str">
        <f>IF(ISERROR(VLOOKUP(B618,'[1]Zebrik W'!$B$7:$M$1000,11,0)),"",IF(VLOOKUP(B618,'[1]Zebrik W'!$B$7:$M$1000,11,0)=0,"--",VLOOKUP(B618,'[1]Zebrik W'!$B$7:$M$1000,11,0)))</f>
        <v/>
      </c>
    </row>
    <row r="619" spans="2:14" x14ac:dyDescent="0.2">
      <c r="B619"/>
      <c r="C619"/>
      <c r="D619"/>
      <c r="E619"/>
      <c r="F619"/>
      <c r="G619"/>
      <c r="H619"/>
      <c r="J619"/>
      <c r="N619" t="str">
        <f>IF(ISERROR(VLOOKUP(B619,'[1]Zebrik W'!$B$7:$M$1000,11,0)),"",IF(VLOOKUP(B619,'[1]Zebrik W'!$B$7:$M$1000,11,0)=0,"--",VLOOKUP(B619,'[1]Zebrik W'!$B$7:$M$1000,11,0)))</f>
        <v/>
      </c>
    </row>
    <row r="620" spans="2:14" x14ac:dyDescent="0.2">
      <c r="B620"/>
      <c r="C620"/>
      <c r="D620"/>
      <c r="E620"/>
      <c r="F620"/>
      <c r="G620"/>
      <c r="H620"/>
      <c r="J620"/>
      <c r="N620" t="str">
        <f>IF(ISERROR(VLOOKUP(B620,'[1]Zebrik W'!$B$7:$M$1000,11,0)),"",IF(VLOOKUP(B620,'[1]Zebrik W'!$B$7:$M$1000,11,0)=0,"--",VLOOKUP(B620,'[1]Zebrik W'!$B$7:$M$1000,11,0)))</f>
        <v/>
      </c>
    </row>
    <row r="621" spans="2:14" x14ac:dyDescent="0.2">
      <c r="B621"/>
      <c r="C621"/>
      <c r="D621"/>
      <c r="E621"/>
      <c r="F621"/>
      <c r="G621"/>
      <c r="H621"/>
      <c r="J621"/>
      <c r="N621" t="str">
        <f>IF(ISERROR(VLOOKUP(B621,'[1]Zebrik W'!$B$7:$M$1000,11,0)),"",IF(VLOOKUP(B621,'[1]Zebrik W'!$B$7:$M$1000,11,0)=0,"--",VLOOKUP(B621,'[1]Zebrik W'!$B$7:$M$1000,11,0)))</f>
        <v/>
      </c>
    </row>
    <row r="622" spans="2:14" x14ac:dyDescent="0.2">
      <c r="B622"/>
      <c r="C622"/>
      <c r="D622"/>
      <c r="E622"/>
      <c r="F622"/>
      <c r="G622"/>
      <c r="H622"/>
      <c r="J622"/>
      <c r="N622" t="str">
        <f>IF(ISERROR(VLOOKUP(B622,'[1]Zebrik W'!$B$7:$M$1000,11,0)),"",IF(VLOOKUP(B622,'[1]Zebrik W'!$B$7:$M$1000,11,0)=0,"--",VLOOKUP(B622,'[1]Zebrik W'!$B$7:$M$1000,11,0)))</f>
        <v/>
      </c>
    </row>
    <row r="623" spans="2:14" x14ac:dyDescent="0.2">
      <c r="B623"/>
      <c r="C623"/>
      <c r="D623"/>
      <c r="E623"/>
      <c r="F623"/>
      <c r="G623"/>
      <c r="H623"/>
      <c r="J623"/>
      <c r="N623" t="str">
        <f>IF(ISERROR(VLOOKUP(B623,'[1]Zebrik W'!$B$7:$M$1000,11,0)),"",IF(VLOOKUP(B623,'[1]Zebrik W'!$B$7:$M$1000,11,0)=0,"--",VLOOKUP(B623,'[1]Zebrik W'!$B$7:$M$1000,11,0)))</f>
        <v/>
      </c>
    </row>
    <row r="624" spans="2:14" x14ac:dyDescent="0.2">
      <c r="B624"/>
      <c r="C624"/>
      <c r="D624"/>
      <c r="E624"/>
      <c r="F624"/>
      <c r="G624"/>
      <c r="H624"/>
      <c r="J624"/>
      <c r="N624" t="str">
        <f>IF(ISERROR(VLOOKUP(B624,'[1]Zebrik W'!$B$7:$M$1000,11,0)),"",IF(VLOOKUP(B624,'[1]Zebrik W'!$B$7:$M$1000,11,0)=0,"--",VLOOKUP(B624,'[1]Zebrik W'!$B$7:$M$1000,11,0)))</f>
        <v/>
      </c>
    </row>
    <row r="625" spans="2:14" x14ac:dyDescent="0.2">
      <c r="B625"/>
      <c r="C625"/>
      <c r="D625"/>
      <c r="E625"/>
      <c r="F625"/>
      <c r="G625"/>
      <c r="H625"/>
      <c r="J625"/>
      <c r="N625" t="str">
        <f>IF(ISERROR(VLOOKUP(B625,'[1]Zebrik W'!$B$7:$M$1000,11,0)),"",IF(VLOOKUP(B625,'[1]Zebrik W'!$B$7:$M$1000,11,0)=0,"--",VLOOKUP(B625,'[1]Zebrik W'!$B$7:$M$1000,11,0)))</f>
        <v/>
      </c>
    </row>
    <row r="626" spans="2:14" x14ac:dyDescent="0.2">
      <c r="B626"/>
      <c r="C626"/>
      <c r="D626"/>
      <c r="E626"/>
      <c r="F626"/>
      <c r="G626"/>
      <c r="H626"/>
      <c r="J626"/>
      <c r="N626" t="str">
        <f>IF(ISERROR(VLOOKUP(B626,'[1]Zebrik W'!$B$7:$M$1000,11,0)),"",IF(VLOOKUP(B626,'[1]Zebrik W'!$B$7:$M$1000,11,0)=0,"--",VLOOKUP(B626,'[1]Zebrik W'!$B$7:$M$1000,11,0)))</f>
        <v/>
      </c>
    </row>
    <row r="627" spans="2:14" x14ac:dyDescent="0.2">
      <c r="B627"/>
      <c r="C627"/>
      <c r="D627"/>
      <c r="E627"/>
      <c r="F627"/>
      <c r="G627"/>
      <c r="H627"/>
      <c r="J627"/>
      <c r="N627" t="str">
        <f>IF(ISERROR(VLOOKUP(B627,'[1]Zebrik W'!$B$7:$M$1000,11,0)),"",IF(VLOOKUP(B627,'[1]Zebrik W'!$B$7:$M$1000,11,0)=0,"--",VLOOKUP(B627,'[1]Zebrik W'!$B$7:$M$1000,11,0)))</f>
        <v/>
      </c>
    </row>
    <row r="628" spans="2:14" x14ac:dyDescent="0.2">
      <c r="B628"/>
      <c r="C628"/>
      <c r="D628"/>
      <c r="E628"/>
      <c r="F628"/>
      <c r="G628"/>
      <c r="H628"/>
      <c r="J628"/>
      <c r="N628" t="str">
        <f>IF(ISERROR(VLOOKUP(B628,'[1]Zebrik W'!$B$7:$M$1000,11,0)),"",IF(VLOOKUP(B628,'[1]Zebrik W'!$B$7:$M$1000,11,0)=0,"--",VLOOKUP(B628,'[1]Zebrik W'!$B$7:$M$1000,11,0)))</f>
        <v/>
      </c>
    </row>
    <row r="629" spans="2:14" x14ac:dyDescent="0.2">
      <c r="B629"/>
      <c r="C629"/>
      <c r="D629"/>
      <c r="E629"/>
      <c r="F629"/>
      <c r="G629"/>
      <c r="H629"/>
      <c r="J629"/>
      <c r="N629" t="str">
        <f>IF(ISERROR(VLOOKUP(B629,'[1]Zebrik W'!$B$7:$M$1000,11,0)),"",IF(VLOOKUP(B629,'[1]Zebrik W'!$B$7:$M$1000,11,0)=0,"--",VLOOKUP(B629,'[1]Zebrik W'!$B$7:$M$1000,11,0)))</f>
        <v/>
      </c>
    </row>
    <row r="630" spans="2:14" x14ac:dyDescent="0.2">
      <c r="B630"/>
      <c r="C630"/>
      <c r="D630"/>
      <c r="E630"/>
      <c r="F630"/>
      <c r="G630"/>
      <c r="H630"/>
      <c r="J630"/>
      <c r="N630" t="str">
        <f>IF(ISERROR(VLOOKUP(B630,'[1]Zebrik W'!$B$7:$M$1000,11,0)),"",IF(VLOOKUP(B630,'[1]Zebrik W'!$B$7:$M$1000,11,0)=0,"--",VLOOKUP(B630,'[1]Zebrik W'!$B$7:$M$1000,11,0)))</f>
        <v/>
      </c>
    </row>
    <row r="631" spans="2:14" x14ac:dyDescent="0.2">
      <c r="B631"/>
      <c r="C631"/>
      <c r="D631"/>
      <c r="E631"/>
      <c r="F631"/>
      <c r="G631"/>
      <c r="H631"/>
      <c r="J631"/>
      <c r="N631" t="str">
        <f>IF(ISERROR(VLOOKUP(B631,'[1]Zebrik W'!$B$7:$M$1000,11,0)),"",IF(VLOOKUP(B631,'[1]Zebrik W'!$B$7:$M$1000,11,0)=0,"--",VLOOKUP(B631,'[1]Zebrik W'!$B$7:$M$1000,11,0)))</f>
        <v/>
      </c>
    </row>
    <row r="632" spans="2:14" x14ac:dyDescent="0.2">
      <c r="B632"/>
      <c r="C632"/>
      <c r="D632"/>
      <c r="E632"/>
      <c r="F632"/>
      <c r="G632"/>
      <c r="H632"/>
      <c r="J632"/>
      <c r="N632" t="str">
        <f>IF(ISERROR(VLOOKUP(B632,'[1]Zebrik W'!$B$7:$M$1000,11,0)),"",IF(VLOOKUP(B632,'[1]Zebrik W'!$B$7:$M$1000,11,0)=0,"--",VLOOKUP(B632,'[1]Zebrik W'!$B$7:$M$1000,11,0)))</f>
        <v/>
      </c>
    </row>
    <row r="633" spans="2:14" x14ac:dyDescent="0.2">
      <c r="B633"/>
      <c r="C633"/>
      <c r="D633"/>
      <c r="E633"/>
      <c r="F633"/>
      <c r="G633"/>
      <c r="H633"/>
      <c r="J633"/>
      <c r="N633" t="str">
        <f>IF(ISERROR(VLOOKUP(B633,'[1]Zebrik W'!$B$7:$M$1000,11,0)),"",IF(VLOOKUP(B633,'[1]Zebrik W'!$B$7:$M$1000,11,0)=0,"--",VLOOKUP(B633,'[1]Zebrik W'!$B$7:$M$1000,11,0)))</f>
        <v/>
      </c>
    </row>
    <row r="634" spans="2:14" x14ac:dyDescent="0.2">
      <c r="B634"/>
      <c r="C634"/>
      <c r="D634"/>
      <c r="E634"/>
      <c r="F634"/>
      <c r="G634"/>
      <c r="H634"/>
      <c r="J634"/>
      <c r="N634" t="str">
        <f>IF(ISERROR(VLOOKUP(B634,'[1]Zebrik W'!$B$7:$M$1000,11,0)),"",IF(VLOOKUP(B634,'[1]Zebrik W'!$B$7:$M$1000,11,0)=0,"--",VLOOKUP(B634,'[1]Zebrik W'!$B$7:$M$1000,11,0)))</f>
        <v/>
      </c>
    </row>
    <row r="635" spans="2:14" x14ac:dyDescent="0.2">
      <c r="B635"/>
      <c r="C635"/>
      <c r="D635"/>
      <c r="E635"/>
      <c r="F635"/>
      <c r="G635"/>
      <c r="H635"/>
      <c r="J635"/>
      <c r="N635" t="str">
        <f>IF(ISERROR(VLOOKUP(B635,'[1]Zebrik W'!$B$7:$M$1000,11,0)),"",IF(VLOOKUP(B635,'[1]Zebrik W'!$B$7:$M$1000,11,0)=0,"--",VLOOKUP(B635,'[1]Zebrik W'!$B$7:$M$1000,11,0)))</f>
        <v/>
      </c>
    </row>
    <row r="636" spans="2:14" x14ac:dyDescent="0.2">
      <c r="B636"/>
      <c r="C636"/>
      <c r="D636"/>
      <c r="E636"/>
      <c r="F636"/>
      <c r="G636"/>
      <c r="H636"/>
      <c r="J636"/>
      <c r="N636" t="str">
        <f>IF(ISERROR(VLOOKUP(B636,'[1]Zebrik W'!$B$7:$M$1000,11,0)),"",IF(VLOOKUP(B636,'[1]Zebrik W'!$B$7:$M$1000,11,0)=0,"--",VLOOKUP(B636,'[1]Zebrik W'!$B$7:$M$1000,11,0)))</f>
        <v/>
      </c>
    </row>
    <row r="637" spans="2:14" x14ac:dyDescent="0.2">
      <c r="B637"/>
      <c r="C637"/>
      <c r="D637"/>
      <c r="E637"/>
      <c r="F637"/>
      <c r="G637"/>
      <c r="H637"/>
      <c r="J637"/>
      <c r="N637" t="str">
        <f>IF(ISERROR(VLOOKUP(B637,'[1]Zebrik W'!$B$7:$M$1000,11,0)),"",IF(VLOOKUP(B637,'[1]Zebrik W'!$B$7:$M$1000,11,0)=0,"--",VLOOKUP(B637,'[1]Zebrik W'!$B$7:$M$1000,11,0)))</f>
        <v/>
      </c>
    </row>
    <row r="638" spans="2:14" x14ac:dyDescent="0.2">
      <c r="B638"/>
      <c r="C638"/>
      <c r="D638"/>
      <c r="E638"/>
      <c r="F638"/>
      <c r="G638"/>
      <c r="H638"/>
      <c r="J638"/>
      <c r="N638" t="str">
        <f>IF(ISERROR(VLOOKUP(B638,'[1]Zebrik W'!$B$7:$M$1000,11,0)),"",IF(VLOOKUP(B638,'[1]Zebrik W'!$B$7:$M$1000,11,0)=0,"--",VLOOKUP(B638,'[1]Zebrik W'!$B$7:$M$1000,11,0)))</f>
        <v/>
      </c>
    </row>
    <row r="639" spans="2:14" x14ac:dyDescent="0.2">
      <c r="B639"/>
      <c r="C639"/>
      <c r="D639"/>
      <c r="E639"/>
      <c r="F639"/>
      <c r="G639"/>
      <c r="H639"/>
      <c r="J639"/>
      <c r="N639" t="str">
        <f>IF(ISERROR(VLOOKUP(B639,'[1]Zebrik W'!$B$7:$M$1000,11,0)),"",IF(VLOOKUP(B639,'[1]Zebrik W'!$B$7:$M$1000,11,0)=0,"--",VLOOKUP(B639,'[1]Zebrik W'!$B$7:$M$1000,11,0)))</f>
        <v/>
      </c>
    </row>
    <row r="640" spans="2:14" x14ac:dyDescent="0.2">
      <c r="B640"/>
      <c r="C640"/>
      <c r="D640"/>
      <c r="E640"/>
      <c r="F640"/>
      <c r="G640"/>
      <c r="H640"/>
      <c r="J640"/>
      <c r="N640" t="str">
        <f>IF(ISERROR(VLOOKUP(B640,'[1]Zebrik W'!$B$7:$M$1000,11,0)),"",IF(VLOOKUP(B640,'[1]Zebrik W'!$B$7:$M$1000,11,0)=0,"--",VLOOKUP(B640,'[1]Zebrik W'!$B$7:$M$1000,11,0)))</f>
        <v/>
      </c>
    </row>
    <row r="641" spans="2:14" x14ac:dyDescent="0.2">
      <c r="B641"/>
      <c r="C641"/>
      <c r="D641"/>
      <c r="E641"/>
      <c r="F641"/>
      <c r="G641"/>
      <c r="H641"/>
      <c r="J641"/>
      <c r="N641" t="str">
        <f>IF(ISERROR(VLOOKUP(B641,'[1]Zebrik W'!$B$7:$M$1000,11,0)),"",IF(VLOOKUP(B641,'[1]Zebrik W'!$B$7:$M$1000,11,0)=0,"--",VLOOKUP(B641,'[1]Zebrik W'!$B$7:$M$1000,11,0)))</f>
        <v/>
      </c>
    </row>
    <row r="642" spans="2:14" x14ac:dyDescent="0.2">
      <c r="B642"/>
      <c r="C642"/>
      <c r="D642"/>
      <c r="E642"/>
      <c r="F642"/>
      <c r="G642"/>
      <c r="H642"/>
      <c r="J642"/>
      <c r="N642" t="str">
        <f>IF(ISERROR(VLOOKUP(B642,'[1]Zebrik W'!$B$7:$M$1000,11,0)),"",IF(VLOOKUP(B642,'[1]Zebrik W'!$B$7:$M$1000,11,0)=0,"--",VLOOKUP(B642,'[1]Zebrik W'!$B$7:$M$1000,11,0)))</f>
        <v/>
      </c>
    </row>
    <row r="643" spans="2:14" x14ac:dyDescent="0.2">
      <c r="B643"/>
      <c r="C643"/>
      <c r="D643"/>
      <c r="E643"/>
      <c r="F643"/>
      <c r="G643"/>
      <c r="H643"/>
      <c r="J643"/>
      <c r="N643" t="str">
        <f>IF(ISERROR(VLOOKUP(B643,'[1]Zebrik W'!$B$7:$M$1000,11,0)),"",IF(VLOOKUP(B643,'[1]Zebrik W'!$B$7:$M$1000,11,0)=0,"--",VLOOKUP(B643,'[1]Zebrik W'!$B$7:$M$1000,11,0)))</f>
        <v/>
      </c>
    </row>
    <row r="644" spans="2:14" x14ac:dyDescent="0.2">
      <c r="B644"/>
      <c r="C644"/>
      <c r="D644"/>
      <c r="E644"/>
      <c r="F644"/>
      <c r="G644"/>
      <c r="H644"/>
      <c r="J644"/>
      <c r="N644" t="str">
        <f>IF(ISERROR(VLOOKUP(B644,'[1]Zebrik W'!$B$7:$M$1000,11,0)),"",IF(VLOOKUP(B644,'[1]Zebrik W'!$B$7:$M$1000,11,0)=0,"--",VLOOKUP(B644,'[1]Zebrik W'!$B$7:$M$1000,11,0)))</f>
        <v/>
      </c>
    </row>
    <row r="645" spans="2:14" x14ac:dyDescent="0.2">
      <c r="B645"/>
      <c r="C645"/>
      <c r="D645"/>
      <c r="E645"/>
      <c r="F645"/>
      <c r="G645"/>
      <c r="H645"/>
      <c r="J645"/>
      <c r="N645" t="str">
        <f>IF(ISERROR(VLOOKUP(B645,'[1]Zebrik W'!$B$7:$M$1000,11,0)),"",IF(VLOOKUP(B645,'[1]Zebrik W'!$B$7:$M$1000,11,0)=0,"--",VLOOKUP(B645,'[1]Zebrik W'!$B$7:$M$1000,11,0)))</f>
        <v/>
      </c>
    </row>
    <row r="646" spans="2:14" x14ac:dyDescent="0.2">
      <c r="B646"/>
      <c r="C646"/>
      <c r="D646"/>
      <c r="E646"/>
      <c r="F646"/>
      <c r="G646"/>
      <c r="H646"/>
      <c r="J646"/>
      <c r="N646" t="str">
        <f>IF(ISERROR(VLOOKUP(B646,'[1]Zebrik W'!$B$7:$M$1000,11,0)),"",IF(VLOOKUP(B646,'[1]Zebrik W'!$B$7:$M$1000,11,0)=0,"--",VLOOKUP(B646,'[1]Zebrik W'!$B$7:$M$1000,11,0)))</f>
        <v/>
      </c>
    </row>
    <row r="647" spans="2:14" x14ac:dyDescent="0.2">
      <c r="B647"/>
      <c r="C647"/>
      <c r="D647"/>
      <c r="E647"/>
      <c r="F647"/>
      <c r="G647"/>
      <c r="H647"/>
      <c r="J647"/>
      <c r="N647" t="str">
        <f>IF(ISERROR(VLOOKUP(B647,'[1]Zebrik W'!$B$7:$M$1000,11,0)),"",IF(VLOOKUP(B647,'[1]Zebrik W'!$B$7:$M$1000,11,0)=0,"--",VLOOKUP(B647,'[1]Zebrik W'!$B$7:$M$1000,11,0)))</f>
        <v/>
      </c>
    </row>
    <row r="648" spans="2:14" x14ac:dyDescent="0.2">
      <c r="B648"/>
      <c r="C648"/>
      <c r="D648"/>
      <c r="E648"/>
      <c r="F648"/>
      <c r="G648"/>
      <c r="H648"/>
      <c r="J648"/>
      <c r="N648" t="str">
        <f>IF(ISERROR(VLOOKUP(B648,'[1]Zebrik W'!$B$7:$M$1000,11,0)),"",IF(VLOOKUP(B648,'[1]Zebrik W'!$B$7:$M$1000,11,0)=0,"--",VLOOKUP(B648,'[1]Zebrik W'!$B$7:$M$1000,11,0)))</f>
        <v/>
      </c>
    </row>
    <row r="649" spans="2:14" x14ac:dyDescent="0.2">
      <c r="B649"/>
      <c r="C649"/>
      <c r="D649"/>
      <c r="E649"/>
      <c r="F649"/>
      <c r="G649"/>
      <c r="H649"/>
      <c r="J649"/>
      <c r="N649" t="str">
        <f>IF(ISERROR(VLOOKUP(B649,'[1]Zebrik W'!$B$7:$M$1000,11,0)),"",IF(VLOOKUP(B649,'[1]Zebrik W'!$B$7:$M$1000,11,0)=0,"--",VLOOKUP(B649,'[1]Zebrik W'!$B$7:$M$1000,11,0)))</f>
        <v/>
      </c>
    </row>
    <row r="650" spans="2:14" x14ac:dyDescent="0.2">
      <c r="B650"/>
      <c r="C650"/>
      <c r="D650"/>
      <c r="E650"/>
      <c r="F650"/>
      <c r="G650"/>
      <c r="H650"/>
      <c r="J650"/>
      <c r="N650" t="str">
        <f>IF(ISERROR(VLOOKUP(B650,'[1]Zebrik W'!$B$7:$M$1000,11,0)),"",IF(VLOOKUP(B650,'[1]Zebrik W'!$B$7:$M$1000,11,0)=0,"--",VLOOKUP(B650,'[1]Zebrik W'!$B$7:$M$1000,11,0)))</f>
        <v/>
      </c>
    </row>
    <row r="651" spans="2:14" x14ac:dyDescent="0.2">
      <c r="B651"/>
      <c r="C651"/>
      <c r="D651"/>
      <c r="E651"/>
      <c r="F651"/>
      <c r="G651"/>
      <c r="H651"/>
      <c r="J651"/>
      <c r="N651" t="str">
        <f>IF(ISERROR(VLOOKUP(B651,'[1]Zebrik W'!$B$7:$M$1000,11,0)),"",IF(VLOOKUP(B651,'[1]Zebrik W'!$B$7:$M$1000,11,0)=0,"--",VLOOKUP(B651,'[1]Zebrik W'!$B$7:$M$1000,11,0)))</f>
        <v/>
      </c>
    </row>
    <row r="652" spans="2:14" x14ac:dyDescent="0.2">
      <c r="B652"/>
      <c r="C652"/>
      <c r="D652"/>
      <c r="E652"/>
      <c r="F652"/>
      <c r="G652"/>
      <c r="H652"/>
      <c r="J652"/>
      <c r="N652" t="str">
        <f>IF(ISERROR(VLOOKUP(B652,'[1]Zebrik W'!$B$7:$M$1000,11,0)),"",IF(VLOOKUP(B652,'[1]Zebrik W'!$B$7:$M$1000,11,0)=0,"--",VLOOKUP(B652,'[1]Zebrik W'!$B$7:$M$1000,11,0)))</f>
        <v/>
      </c>
    </row>
    <row r="653" spans="2:14" x14ac:dyDescent="0.2">
      <c r="B653"/>
      <c r="C653"/>
      <c r="D653"/>
      <c r="E653"/>
      <c r="F653"/>
      <c r="G653"/>
      <c r="H653"/>
      <c r="J653"/>
      <c r="N653" t="str">
        <f>IF(ISERROR(VLOOKUP(B653,'[1]Zebrik W'!$B$7:$M$1000,11,0)),"",IF(VLOOKUP(B653,'[1]Zebrik W'!$B$7:$M$1000,11,0)=0,"--",VLOOKUP(B653,'[1]Zebrik W'!$B$7:$M$1000,11,0)))</f>
        <v/>
      </c>
    </row>
    <row r="654" spans="2:14" x14ac:dyDescent="0.2">
      <c r="B654"/>
      <c r="C654"/>
      <c r="D654"/>
      <c r="E654"/>
      <c r="F654"/>
      <c r="G654"/>
      <c r="H654"/>
      <c r="J654"/>
      <c r="N654" t="str">
        <f>IF(ISERROR(VLOOKUP(B654,'[1]Zebrik W'!$B$7:$M$1000,11,0)),"",IF(VLOOKUP(B654,'[1]Zebrik W'!$B$7:$M$1000,11,0)=0,"--",VLOOKUP(B654,'[1]Zebrik W'!$B$7:$M$1000,11,0)))</f>
        <v/>
      </c>
    </row>
    <row r="655" spans="2:14" x14ac:dyDescent="0.2">
      <c r="B655"/>
      <c r="C655"/>
      <c r="D655"/>
      <c r="E655"/>
      <c r="F655"/>
      <c r="G655"/>
      <c r="H655"/>
      <c r="J655"/>
      <c r="N655" t="str">
        <f>IF(ISERROR(VLOOKUP(B655,'[1]Zebrik W'!$B$7:$M$1000,11,0)),"",IF(VLOOKUP(B655,'[1]Zebrik W'!$B$7:$M$1000,11,0)=0,"--",VLOOKUP(B655,'[1]Zebrik W'!$B$7:$M$1000,11,0)))</f>
        <v/>
      </c>
    </row>
    <row r="656" spans="2:14" x14ac:dyDescent="0.2">
      <c r="B656"/>
      <c r="C656"/>
      <c r="D656"/>
      <c r="E656"/>
      <c r="F656"/>
      <c r="G656"/>
      <c r="H656"/>
      <c r="J656"/>
      <c r="N656" t="str">
        <f>IF(ISERROR(VLOOKUP(B656,'[1]Zebrik W'!$B$7:$M$1000,11,0)),"",IF(VLOOKUP(B656,'[1]Zebrik W'!$B$7:$M$1000,11,0)=0,"--",VLOOKUP(B656,'[1]Zebrik W'!$B$7:$M$1000,11,0)))</f>
        <v/>
      </c>
    </row>
    <row r="657" spans="2:14" x14ac:dyDescent="0.2">
      <c r="B657"/>
      <c r="C657"/>
      <c r="D657"/>
      <c r="E657"/>
      <c r="F657"/>
      <c r="G657"/>
      <c r="H657"/>
      <c r="J657"/>
      <c r="N657" t="str">
        <f>IF(ISERROR(VLOOKUP(B657,'[1]Zebrik W'!$B$7:$M$1000,11,0)),"",IF(VLOOKUP(B657,'[1]Zebrik W'!$B$7:$M$1000,11,0)=0,"--",VLOOKUP(B657,'[1]Zebrik W'!$B$7:$M$1000,11,0)))</f>
        <v/>
      </c>
    </row>
    <row r="658" spans="2:14" x14ac:dyDescent="0.2">
      <c r="B658"/>
      <c r="C658"/>
      <c r="D658"/>
      <c r="E658"/>
      <c r="F658"/>
      <c r="G658"/>
      <c r="H658"/>
      <c r="J658"/>
      <c r="N658" t="str">
        <f>IF(ISERROR(VLOOKUP(B658,'[1]Zebrik W'!$B$7:$M$1000,11,0)),"",IF(VLOOKUP(B658,'[1]Zebrik W'!$B$7:$M$1000,11,0)=0,"--",VLOOKUP(B658,'[1]Zebrik W'!$B$7:$M$1000,11,0)))</f>
        <v/>
      </c>
    </row>
    <row r="659" spans="2:14" x14ac:dyDescent="0.2">
      <c r="B659"/>
      <c r="C659"/>
      <c r="D659"/>
      <c r="E659"/>
      <c r="F659"/>
      <c r="G659"/>
      <c r="H659"/>
      <c r="J659"/>
      <c r="N659" t="str">
        <f>IF(ISERROR(VLOOKUP(B659,'[1]Zebrik W'!$B$7:$M$1000,11,0)),"",IF(VLOOKUP(B659,'[1]Zebrik W'!$B$7:$M$1000,11,0)=0,"--",VLOOKUP(B659,'[1]Zebrik W'!$B$7:$M$1000,11,0)))</f>
        <v/>
      </c>
    </row>
    <row r="660" spans="2:14" x14ac:dyDescent="0.2">
      <c r="B660"/>
      <c r="C660"/>
      <c r="D660"/>
      <c r="E660"/>
      <c r="F660"/>
      <c r="G660"/>
      <c r="H660"/>
      <c r="J660"/>
      <c r="N660" t="str">
        <f>IF(ISERROR(VLOOKUP(B660,'[1]Zebrik W'!$B$7:$M$1000,11,0)),"",IF(VLOOKUP(B660,'[1]Zebrik W'!$B$7:$M$1000,11,0)=0,"--",VLOOKUP(B660,'[1]Zebrik W'!$B$7:$M$1000,11,0)))</f>
        <v/>
      </c>
    </row>
    <row r="661" spans="2:14" x14ac:dyDescent="0.2">
      <c r="B661"/>
      <c r="C661"/>
      <c r="D661"/>
      <c r="E661"/>
      <c r="F661"/>
      <c r="G661"/>
      <c r="H661"/>
      <c r="J661"/>
      <c r="N661" t="str">
        <f>IF(ISERROR(VLOOKUP(B661,'[1]Zebrik W'!$B$7:$M$1000,11,0)),"",IF(VLOOKUP(B661,'[1]Zebrik W'!$B$7:$M$1000,11,0)=0,"--",VLOOKUP(B661,'[1]Zebrik W'!$B$7:$M$1000,11,0)))</f>
        <v/>
      </c>
    </row>
    <row r="662" spans="2:14" x14ac:dyDescent="0.2">
      <c r="B662"/>
      <c r="C662"/>
      <c r="D662"/>
      <c r="E662"/>
      <c r="F662"/>
      <c r="G662"/>
      <c r="H662"/>
      <c r="J662"/>
      <c r="N662" t="str">
        <f>IF(ISERROR(VLOOKUP(B662,'[1]Zebrik W'!$B$7:$M$1000,11,0)),"",IF(VLOOKUP(B662,'[1]Zebrik W'!$B$7:$M$1000,11,0)=0,"--",VLOOKUP(B662,'[1]Zebrik W'!$B$7:$M$1000,11,0)))</f>
        <v/>
      </c>
    </row>
    <row r="663" spans="2:14" x14ac:dyDescent="0.2">
      <c r="B663"/>
      <c r="C663"/>
      <c r="D663"/>
      <c r="E663"/>
      <c r="F663"/>
      <c r="G663"/>
      <c r="H663"/>
      <c r="J663"/>
      <c r="N663" t="str">
        <f>IF(ISERROR(VLOOKUP(B663,'[1]Zebrik W'!$B$7:$M$1000,11,0)),"",IF(VLOOKUP(B663,'[1]Zebrik W'!$B$7:$M$1000,11,0)=0,"--",VLOOKUP(B663,'[1]Zebrik W'!$B$7:$M$1000,11,0)))</f>
        <v/>
      </c>
    </row>
    <row r="664" spans="2:14" x14ac:dyDescent="0.2">
      <c r="B664"/>
      <c r="C664"/>
      <c r="D664"/>
      <c r="E664"/>
      <c r="F664"/>
      <c r="G664"/>
      <c r="H664"/>
      <c r="J664"/>
      <c r="N664" t="str">
        <f>IF(ISERROR(VLOOKUP(B664,'[1]Zebrik W'!$B$7:$M$1000,11,0)),"",IF(VLOOKUP(B664,'[1]Zebrik W'!$B$7:$M$1000,11,0)=0,"--",VLOOKUP(B664,'[1]Zebrik W'!$B$7:$M$1000,11,0)))</f>
        <v/>
      </c>
    </row>
    <row r="665" spans="2:14" x14ac:dyDescent="0.2">
      <c r="B665"/>
      <c r="C665"/>
      <c r="D665"/>
      <c r="E665"/>
      <c r="F665"/>
      <c r="G665"/>
      <c r="H665"/>
      <c r="J665"/>
      <c r="N665" t="str">
        <f>IF(ISERROR(VLOOKUP(B665,'[1]Zebrik W'!$B$7:$M$1000,11,0)),"",IF(VLOOKUP(B665,'[1]Zebrik W'!$B$7:$M$1000,11,0)=0,"--",VLOOKUP(B665,'[1]Zebrik W'!$B$7:$M$1000,11,0)))</f>
        <v/>
      </c>
    </row>
    <row r="666" spans="2:14" x14ac:dyDescent="0.2">
      <c r="B666"/>
      <c r="C666"/>
      <c r="D666"/>
      <c r="E666"/>
      <c r="F666"/>
      <c r="G666"/>
      <c r="H666"/>
      <c r="J666"/>
      <c r="N666" t="str">
        <f>IF(ISERROR(VLOOKUP(B666,'[1]Zebrik W'!$B$7:$M$1000,11,0)),"",IF(VLOOKUP(B666,'[1]Zebrik W'!$B$7:$M$1000,11,0)=0,"--",VLOOKUP(B666,'[1]Zebrik W'!$B$7:$M$1000,11,0)))</f>
        <v/>
      </c>
    </row>
    <row r="667" spans="2:14" x14ac:dyDescent="0.2">
      <c r="B667"/>
      <c r="C667"/>
      <c r="D667"/>
      <c r="E667"/>
      <c r="F667"/>
      <c r="G667"/>
      <c r="H667"/>
      <c r="J667"/>
      <c r="N667" t="str">
        <f>IF(ISERROR(VLOOKUP(B667,'[1]Zebrik W'!$B$7:$M$1000,11,0)),"",IF(VLOOKUP(B667,'[1]Zebrik W'!$B$7:$M$1000,11,0)=0,"--",VLOOKUP(B667,'[1]Zebrik W'!$B$7:$M$1000,11,0)))</f>
        <v/>
      </c>
    </row>
    <row r="668" spans="2:14" x14ac:dyDescent="0.2">
      <c r="B668"/>
      <c r="C668"/>
      <c r="D668"/>
      <c r="E668"/>
      <c r="F668"/>
      <c r="G668"/>
      <c r="H668"/>
      <c r="J668"/>
      <c r="N668" t="str">
        <f>IF(ISERROR(VLOOKUP(B668,'[1]Zebrik W'!$B$7:$M$1000,11,0)),"",IF(VLOOKUP(B668,'[1]Zebrik W'!$B$7:$M$1000,11,0)=0,"--",VLOOKUP(B668,'[1]Zebrik W'!$B$7:$M$1000,11,0)))</f>
        <v/>
      </c>
    </row>
    <row r="669" spans="2:14" x14ac:dyDescent="0.2">
      <c r="B669"/>
      <c r="C669"/>
      <c r="D669"/>
      <c r="E669"/>
      <c r="F669"/>
      <c r="G669"/>
      <c r="H669"/>
      <c r="J669"/>
      <c r="N669" t="str">
        <f>IF(ISERROR(VLOOKUP(B669,'[1]Zebrik W'!$B$7:$M$1000,11,0)),"",IF(VLOOKUP(B669,'[1]Zebrik W'!$B$7:$M$1000,11,0)=0,"--",VLOOKUP(B669,'[1]Zebrik W'!$B$7:$M$1000,11,0)))</f>
        <v/>
      </c>
    </row>
    <row r="670" spans="2:14" x14ac:dyDescent="0.2">
      <c r="B670"/>
      <c r="C670"/>
      <c r="D670"/>
      <c r="E670"/>
      <c r="F670"/>
      <c r="G670"/>
      <c r="H670"/>
      <c r="J670"/>
      <c r="N670" t="str">
        <f>IF(ISERROR(VLOOKUP(B670,'[1]Zebrik W'!$B$7:$M$1000,11,0)),"",IF(VLOOKUP(B670,'[1]Zebrik W'!$B$7:$M$1000,11,0)=0,"--",VLOOKUP(B670,'[1]Zebrik W'!$B$7:$M$1000,11,0)))</f>
        <v/>
      </c>
    </row>
    <row r="671" spans="2:14" x14ac:dyDescent="0.2">
      <c r="B671"/>
      <c r="C671"/>
      <c r="D671"/>
      <c r="E671"/>
      <c r="F671"/>
      <c r="G671"/>
      <c r="H671"/>
      <c r="J671"/>
      <c r="N671" t="str">
        <f>IF(ISERROR(VLOOKUP(B671,'[1]Zebrik W'!$B$7:$M$1000,11,0)),"",IF(VLOOKUP(B671,'[1]Zebrik W'!$B$7:$M$1000,11,0)=0,"--",VLOOKUP(B671,'[1]Zebrik W'!$B$7:$M$1000,11,0)))</f>
        <v/>
      </c>
    </row>
    <row r="672" spans="2:14" x14ac:dyDescent="0.2">
      <c r="B672"/>
      <c r="C672"/>
      <c r="D672"/>
      <c r="E672"/>
      <c r="F672"/>
      <c r="G672"/>
      <c r="H672"/>
      <c r="J672"/>
      <c r="N672" t="str">
        <f>IF(ISERROR(VLOOKUP(B672,'[1]Zebrik W'!$B$7:$M$1000,11,0)),"",IF(VLOOKUP(B672,'[1]Zebrik W'!$B$7:$M$1000,11,0)=0,"--",VLOOKUP(B672,'[1]Zebrik W'!$B$7:$M$1000,11,0)))</f>
        <v/>
      </c>
    </row>
    <row r="673" spans="2:14" x14ac:dyDescent="0.2">
      <c r="B673"/>
      <c r="C673"/>
      <c r="D673"/>
      <c r="E673"/>
      <c r="F673"/>
      <c r="G673"/>
      <c r="H673"/>
      <c r="J673"/>
      <c r="N673" t="str">
        <f>IF(ISERROR(VLOOKUP(B673,'[1]Zebrik W'!$B$7:$M$1000,11,0)),"",IF(VLOOKUP(B673,'[1]Zebrik W'!$B$7:$M$1000,11,0)=0,"--",VLOOKUP(B673,'[1]Zebrik W'!$B$7:$M$1000,11,0)))</f>
        <v/>
      </c>
    </row>
    <row r="674" spans="2:14" x14ac:dyDescent="0.2">
      <c r="B674"/>
      <c r="C674"/>
      <c r="D674"/>
      <c r="E674"/>
      <c r="F674"/>
      <c r="G674"/>
      <c r="H674"/>
      <c r="J674"/>
      <c r="N674" t="str">
        <f>IF(ISERROR(VLOOKUP(B674,'[1]Zebrik W'!$B$7:$M$1000,11,0)),"",IF(VLOOKUP(B674,'[1]Zebrik W'!$B$7:$M$1000,11,0)=0,"--",VLOOKUP(B674,'[1]Zebrik W'!$B$7:$M$1000,11,0)))</f>
        <v/>
      </c>
    </row>
    <row r="675" spans="2:14" x14ac:dyDescent="0.2">
      <c r="B675"/>
      <c r="C675"/>
      <c r="D675"/>
      <c r="E675"/>
      <c r="F675"/>
      <c r="G675"/>
      <c r="H675"/>
      <c r="J675"/>
      <c r="N675" t="str">
        <f>IF(ISERROR(VLOOKUP(B675,'[1]Zebrik W'!$B$7:$M$1000,11,0)),"",IF(VLOOKUP(B675,'[1]Zebrik W'!$B$7:$M$1000,11,0)=0,"--",VLOOKUP(B675,'[1]Zebrik W'!$B$7:$M$1000,11,0)))</f>
        <v/>
      </c>
    </row>
    <row r="676" spans="2:14" x14ac:dyDescent="0.2">
      <c r="B676"/>
      <c r="C676"/>
      <c r="D676"/>
      <c r="E676"/>
      <c r="F676"/>
      <c r="G676"/>
      <c r="H676"/>
      <c r="J676"/>
      <c r="N676" t="str">
        <f>IF(ISERROR(VLOOKUP(B676,'[1]Zebrik W'!$B$7:$M$1000,11,0)),"",IF(VLOOKUP(B676,'[1]Zebrik W'!$B$7:$M$1000,11,0)=0,"--",VLOOKUP(B676,'[1]Zebrik W'!$B$7:$M$1000,11,0)))</f>
        <v/>
      </c>
    </row>
    <row r="677" spans="2:14" x14ac:dyDescent="0.2">
      <c r="B677"/>
      <c r="C677"/>
      <c r="D677"/>
      <c r="E677"/>
      <c r="F677"/>
      <c r="G677"/>
      <c r="H677"/>
      <c r="J677"/>
      <c r="N677" t="str">
        <f>IF(ISERROR(VLOOKUP(B677,'[1]Zebrik W'!$B$7:$M$1000,11,0)),"",IF(VLOOKUP(B677,'[1]Zebrik W'!$B$7:$M$1000,11,0)=0,"--",VLOOKUP(B677,'[1]Zebrik W'!$B$7:$M$1000,11,0)))</f>
        <v/>
      </c>
    </row>
    <row r="678" spans="2:14" x14ac:dyDescent="0.2">
      <c r="B678"/>
      <c r="C678"/>
      <c r="D678"/>
      <c r="E678"/>
      <c r="F678"/>
      <c r="G678"/>
      <c r="H678"/>
      <c r="J678"/>
      <c r="N678" t="str">
        <f>IF(ISERROR(VLOOKUP(B678,'[1]Zebrik W'!$B$7:$M$1000,11,0)),"",IF(VLOOKUP(B678,'[1]Zebrik W'!$B$7:$M$1000,11,0)=0,"--",VLOOKUP(B678,'[1]Zebrik W'!$B$7:$M$1000,11,0)))</f>
        <v/>
      </c>
    </row>
    <row r="679" spans="2:14" x14ac:dyDescent="0.2">
      <c r="B679"/>
      <c r="C679"/>
      <c r="D679"/>
      <c r="E679"/>
      <c r="F679"/>
      <c r="G679"/>
      <c r="H679"/>
      <c r="J679"/>
      <c r="N679" t="str">
        <f>IF(ISERROR(VLOOKUP(B679,'[1]Zebrik W'!$B$7:$M$1000,11,0)),"",IF(VLOOKUP(B679,'[1]Zebrik W'!$B$7:$M$1000,11,0)=0,"--",VLOOKUP(B679,'[1]Zebrik W'!$B$7:$M$1000,11,0)))</f>
        <v/>
      </c>
    </row>
    <row r="680" spans="2:14" x14ac:dyDescent="0.2">
      <c r="B680"/>
      <c r="C680"/>
      <c r="D680"/>
      <c r="E680"/>
      <c r="F680"/>
      <c r="G680"/>
      <c r="H680"/>
      <c r="J680"/>
      <c r="N680" t="str">
        <f>IF(ISERROR(VLOOKUP(B680,'[1]Zebrik W'!$B$7:$M$1000,11,0)),"",IF(VLOOKUP(B680,'[1]Zebrik W'!$B$7:$M$1000,11,0)=0,"--",VLOOKUP(B680,'[1]Zebrik W'!$B$7:$M$1000,11,0)))</f>
        <v/>
      </c>
    </row>
    <row r="681" spans="2:14" x14ac:dyDescent="0.2">
      <c r="B681"/>
      <c r="C681"/>
      <c r="D681"/>
      <c r="E681"/>
      <c r="F681"/>
      <c r="G681"/>
      <c r="H681"/>
      <c r="J681"/>
      <c r="N681" t="str">
        <f>IF(ISERROR(VLOOKUP(B681,'[1]Zebrik W'!$B$7:$M$1000,11,0)),"",IF(VLOOKUP(B681,'[1]Zebrik W'!$B$7:$M$1000,11,0)=0,"--",VLOOKUP(B681,'[1]Zebrik W'!$B$7:$M$1000,11,0)))</f>
        <v/>
      </c>
    </row>
    <row r="682" spans="2:14" x14ac:dyDescent="0.2">
      <c r="B682"/>
      <c r="C682"/>
      <c r="D682"/>
      <c r="E682"/>
      <c r="F682"/>
      <c r="G682"/>
      <c r="H682"/>
      <c r="J682"/>
      <c r="N682" t="str">
        <f>IF(ISERROR(VLOOKUP(B682,'[1]Zebrik W'!$B$7:$M$1000,11,0)),"",IF(VLOOKUP(B682,'[1]Zebrik W'!$B$7:$M$1000,11,0)=0,"--",VLOOKUP(B682,'[1]Zebrik W'!$B$7:$M$1000,11,0)))</f>
        <v/>
      </c>
    </row>
    <row r="683" spans="2:14" x14ac:dyDescent="0.2">
      <c r="B683"/>
      <c r="C683"/>
      <c r="D683"/>
      <c r="E683"/>
      <c r="F683"/>
      <c r="G683"/>
      <c r="H683"/>
      <c r="J683"/>
      <c r="N683" t="str">
        <f>IF(ISERROR(VLOOKUP(B683,'[1]Zebrik W'!$B$7:$M$1000,11,0)),"",IF(VLOOKUP(B683,'[1]Zebrik W'!$B$7:$M$1000,11,0)=0,"--",VLOOKUP(B683,'[1]Zebrik W'!$B$7:$M$1000,11,0)))</f>
        <v/>
      </c>
    </row>
    <row r="684" spans="2:14" x14ac:dyDescent="0.2">
      <c r="B684"/>
      <c r="C684"/>
      <c r="D684"/>
      <c r="E684"/>
      <c r="F684"/>
      <c r="G684"/>
      <c r="H684"/>
      <c r="J684"/>
      <c r="N684" t="str">
        <f>IF(ISERROR(VLOOKUP(B684,'[1]Zebrik W'!$B$7:$M$1000,11,0)),"",IF(VLOOKUP(B684,'[1]Zebrik W'!$B$7:$M$1000,11,0)=0,"--",VLOOKUP(B684,'[1]Zebrik W'!$B$7:$M$1000,11,0)))</f>
        <v/>
      </c>
    </row>
    <row r="685" spans="2:14" x14ac:dyDescent="0.2">
      <c r="B685"/>
      <c r="C685"/>
      <c r="D685"/>
      <c r="E685"/>
      <c r="F685"/>
      <c r="G685"/>
      <c r="H685"/>
      <c r="J685"/>
      <c r="N685" t="str">
        <f>IF(ISERROR(VLOOKUP(B685,'[1]Zebrik W'!$B$7:$M$1000,11,0)),"",IF(VLOOKUP(B685,'[1]Zebrik W'!$B$7:$M$1000,11,0)=0,"--",VLOOKUP(B685,'[1]Zebrik W'!$B$7:$M$1000,11,0)))</f>
        <v/>
      </c>
    </row>
    <row r="686" spans="2:14" x14ac:dyDescent="0.2">
      <c r="B686"/>
      <c r="C686"/>
      <c r="D686"/>
      <c r="E686"/>
      <c r="F686"/>
      <c r="G686"/>
      <c r="H686"/>
      <c r="J686"/>
      <c r="N686" t="str">
        <f>IF(ISERROR(VLOOKUP(B686,'[1]Zebrik W'!$B$7:$M$1000,11,0)),"",IF(VLOOKUP(B686,'[1]Zebrik W'!$B$7:$M$1000,11,0)=0,"--",VLOOKUP(B686,'[1]Zebrik W'!$B$7:$M$1000,11,0)))</f>
        <v/>
      </c>
    </row>
    <row r="687" spans="2:14" x14ac:dyDescent="0.2">
      <c r="B687"/>
      <c r="C687"/>
      <c r="D687"/>
      <c r="E687"/>
      <c r="F687"/>
      <c r="G687"/>
      <c r="H687"/>
      <c r="J687"/>
      <c r="N687" t="str">
        <f>IF(ISERROR(VLOOKUP(B687,'[1]Zebrik W'!$B$7:$M$1000,11,0)),"",IF(VLOOKUP(B687,'[1]Zebrik W'!$B$7:$M$1000,11,0)=0,"--",VLOOKUP(B687,'[1]Zebrik W'!$B$7:$M$1000,11,0)))</f>
        <v/>
      </c>
    </row>
    <row r="688" spans="2:14" x14ac:dyDescent="0.2">
      <c r="B688"/>
      <c r="C688"/>
      <c r="D688"/>
      <c r="E688"/>
      <c r="F688"/>
      <c r="G688"/>
      <c r="H688"/>
      <c r="J688"/>
      <c r="N688" t="str">
        <f>IF(ISERROR(VLOOKUP(B688,'[1]Zebrik W'!$B$7:$M$1000,11,0)),"",IF(VLOOKUP(B688,'[1]Zebrik W'!$B$7:$M$1000,11,0)=0,"--",VLOOKUP(B688,'[1]Zebrik W'!$B$7:$M$1000,11,0)))</f>
        <v/>
      </c>
    </row>
    <row r="689" spans="2:14" x14ac:dyDescent="0.2">
      <c r="B689"/>
      <c r="C689"/>
      <c r="D689"/>
      <c r="E689"/>
      <c r="F689"/>
      <c r="G689"/>
      <c r="H689"/>
      <c r="J689"/>
      <c r="N689" t="str">
        <f>IF(ISERROR(VLOOKUP(B689,'[1]Zebrik W'!$B$7:$M$1000,11,0)),"",IF(VLOOKUP(B689,'[1]Zebrik W'!$B$7:$M$1000,11,0)=0,"--",VLOOKUP(B689,'[1]Zebrik W'!$B$7:$M$1000,11,0)))</f>
        <v/>
      </c>
    </row>
    <row r="690" spans="2:14" x14ac:dyDescent="0.2">
      <c r="B690"/>
      <c r="C690"/>
      <c r="D690"/>
      <c r="E690"/>
      <c r="F690"/>
      <c r="G690"/>
      <c r="H690"/>
      <c r="J690"/>
      <c r="N690" t="str">
        <f>IF(ISERROR(VLOOKUP(B690,'[1]Zebrik W'!$B$7:$M$1000,11,0)),"",IF(VLOOKUP(B690,'[1]Zebrik W'!$B$7:$M$1000,11,0)=0,"--",VLOOKUP(B690,'[1]Zebrik W'!$B$7:$M$1000,11,0)))</f>
        <v/>
      </c>
    </row>
    <row r="691" spans="2:14" x14ac:dyDescent="0.2">
      <c r="B691"/>
      <c r="C691"/>
      <c r="D691"/>
      <c r="E691"/>
      <c r="F691"/>
      <c r="G691"/>
      <c r="H691"/>
      <c r="J691"/>
      <c r="N691" t="str">
        <f>IF(ISERROR(VLOOKUP(B691,'[1]Zebrik W'!$B$7:$M$1000,11,0)),"",IF(VLOOKUP(B691,'[1]Zebrik W'!$B$7:$M$1000,11,0)=0,"--",VLOOKUP(B691,'[1]Zebrik W'!$B$7:$M$1000,11,0)))</f>
        <v/>
      </c>
    </row>
    <row r="692" spans="2:14" x14ac:dyDescent="0.2">
      <c r="B692"/>
      <c r="C692"/>
      <c r="D692"/>
      <c r="E692"/>
      <c r="F692"/>
      <c r="G692"/>
      <c r="H692"/>
      <c r="J692"/>
      <c r="N692" t="str">
        <f>IF(ISERROR(VLOOKUP(B692,'[1]Zebrik W'!$B$7:$M$1000,11,0)),"",IF(VLOOKUP(B692,'[1]Zebrik W'!$B$7:$M$1000,11,0)=0,"--",VLOOKUP(B692,'[1]Zebrik W'!$B$7:$M$1000,11,0)))</f>
        <v/>
      </c>
    </row>
    <row r="693" spans="2:14" x14ac:dyDescent="0.2">
      <c r="B693"/>
      <c r="C693"/>
      <c r="D693"/>
      <c r="E693"/>
      <c r="F693"/>
      <c r="G693"/>
      <c r="H693"/>
      <c r="J693"/>
      <c r="N693" t="str">
        <f>IF(ISERROR(VLOOKUP(B693,'[1]Zebrik W'!$B$7:$M$1000,11,0)),"",IF(VLOOKUP(B693,'[1]Zebrik W'!$B$7:$M$1000,11,0)=0,"--",VLOOKUP(B693,'[1]Zebrik W'!$B$7:$M$1000,11,0)))</f>
        <v/>
      </c>
    </row>
    <row r="694" spans="2:14" x14ac:dyDescent="0.2">
      <c r="B694"/>
      <c r="C694"/>
      <c r="D694"/>
      <c r="E694"/>
      <c r="F694"/>
      <c r="G694"/>
      <c r="H694"/>
      <c r="J694"/>
      <c r="N694" t="str">
        <f>IF(ISERROR(VLOOKUP(B694,'[1]Zebrik W'!$B$7:$M$1000,11,0)),"",IF(VLOOKUP(B694,'[1]Zebrik W'!$B$7:$M$1000,11,0)=0,"--",VLOOKUP(B694,'[1]Zebrik W'!$B$7:$M$1000,11,0)))</f>
        <v/>
      </c>
    </row>
    <row r="695" spans="2:14" x14ac:dyDescent="0.2">
      <c r="B695"/>
      <c r="C695"/>
      <c r="D695"/>
      <c r="E695"/>
      <c r="F695"/>
      <c r="G695"/>
      <c r="H695"/>
      <c r="J695"/>
      <c r="N695" t="str">
        <f>IF(ISERROR(VLOOKUP(B695,'[1]Zebrik W'!$B$7:$M$1000,11,0)),"",IF(VLOOKUP(B695,'[1]Zebrik W'!$B$7:$M$1000,11,0)=0,"--",VLOOKUP(B695,'[1]Zebrik W'!$B$7:$M$1000,11,0)))</f>
        <v/>
      </c>
    </row>
    <row r="696" spans="2:14" x14ac:dyDescent="0.2">
      <c r="B696"/>
      <c r="C696"/>
      <c r="D696"/>
      <c r="E696"/>
      <c r="F696"/>
      <c r="G696"/>
      <c r="H696"/>
      <c r="J696"/>
      <c r="N696" t="str">
        <f>IF(ISERROR(VLOOKUP(B696,'[1]Zebrik W'!$B$7:$M$1000,11,0)),"",IF(VLOOKUP(B696,'[1]Zebrik W'!$B$7:$M$1000,11,0)=0,"--",VLOOKUP(B696,'[1]Zebrik W'!$B$7:$M$1000,11,0)))</f>
        <v/>
      </c>
    </row>
    <row r="697" spans="2:14" x14ac:dyDescent="0.2">
      <c r="B697"/>
      <c r="C697"/>
      <c r="D697"/>
      <c r="E697"/>
      <c r="F697"/>
      <c r="G697"/>
      <c r="H697"/>
      <c r="J697"/>
      <c r="N697" t="str">
        <f>IF(ISERROR(VLOOKUP(B697,'[1]Zebrik W'!$B$7:$M$1000,11,0)),"",IF(VLOOKUP(B697,'[1]Zebrik W'!$B$7:$M$1000,11,0)=0,"--",VLOOKUP(B697,'[1]Zebrik W'!$B$7:$M$1000,11,0)))</f>
        <v/>
      </c>
    </row>
    <row r="698" spans="2:14" x14ac:dyDescent="0.2">
      <c r="B698"/>
      <c r="C698"/>
      <c r="D698"/>
      <c r="E698"/>
      <c r="F698"/>
      <c r="G698"/>
      <c r="H698"/>
      <c r="J698"/>
      <c r="N698" t="str">
        <f>IF(ISERROR(VLOOKUP(B698,'[1]Zebrik W'!$B$7:$M$1000,11,0)),"",IF(VLOOKUP(B698,'[1]Zebrik W'!$B$7:$M$1000,11,0)=0,"--",VLOOKUP(B698,'[1]Zebrik W'!$B$7:$M$1000,11,0)))</f>
        <v/>
      </c>
    </row>
    <row r="699" spans="2:14" x14ac:dyDescent="0.2">
      <c r="B699"/>
      <c r="C699"/>
      <c r="D699"/>
      <c r="E699"/>
      <c r="F699"/>
      <c r="G699"/>
      <c r="H699"/>
      <c r="J699"/>
      <c r="N699" t="str">
        <f>IF(ISERROR(VLOOKUP(B699,'[1]Zebrik W'!$B$7:$M$1000,11,0)),"",IF(VLOOKUP(B699,'[1]Zebrik W'!$B$7:$M$1000,11,0)=0,"--",VLOOKUP(B699,'[1]Zebrik W'!$B$7:$M$1000,11,0)))</f>
        <v/>
      </c>
    </row>
    <row r="700" spans="2:14" x14ac:dyDescent="0.2">
      <c r="B700"/>
      <c r="C700"/>
      <c r="D700"/>
      <c r="E700"/>
      <c r="F700"/>
      <c r="G700"/>
      <c r="H700"/>
      <c r="J700"/>
      <c r="N700" t="str">
        <f>IF(ISERROR(VLOOKUP(B700,'[1]Zebrik W'!$B$7:$M$1000,11,0)),"",IF(VLOOKUP(B700,'[1]Zebrik W'!$B$7:$M$1000,11,0)=0,"--",VLOOKUP(B700,'[1]Zebrik W'!$B$7:$M$1000,11,0)))</f>
        <v/>
      </c>
    </row>
    <row r="701" spans="2:14" x14ac:dyDescent="0.2">
      <c r="B701"/>
      <c r="C701"/>
      <c r="D701"/>
      <c r="E701"/>
      <c r="F701"/>
      <c r="G701"/>
      <c r="H701"/>
      <c r="J701"/>
      <c r="N701" t="str">
        <f>IF(ISERROR(VLOOKUP(B701,'[1]Zebrik W'!$B$7:$M$1000,11,0)),"",IF(VLOOKUP(B701,'[1]Zebrik W'!$B$7:$M$1000,11,0)=0,"--",VLOOKUP(B701,'[1]Zebrik W'!$B$7:$M$1000,11,0)))</f>
        <v/>
      </c>
    </row>
    <row r="702" spans="2:14" x14ac:dyDescent="0.2">
      <c r="B702"/>
      <c r="C702"/>
      <c r="D702"/>
      <c r="E702"/>
      <c r="F702"/>
      <c r="G702"/>
      <c r="H702"/>
      <c r="J702"/>
      <c r="N702" t="str">
        <f>IF(ISERROR(VLOOKUP(B702,'[1]Zebrik W'!$B$7:$M$1000,11,0)),"",IF(VLOOKUP(B702,'[1]Zebrik W'!$B$7:$M$1000,11,0)=0,"--",VLOOKUP(B702,'[1]Zebrik W'!$B$7:$M$1000,11,0)))</f>
        <v/>
      </c>
    </row>
    <row r="703" spans="2:14" x14ac:dyDescent="0.2">
      <c r="B703"/>
      <c r="C703"/>
      <c r="D703"/>
      <c r="E703"/>
      <c r="F703"/>
      <c r="G703"/>
      <c r="H703"/>
      <c r="J703"/>
      <c r="N703" t="str">
        <f>IF(ISERROR(VLOOKUP(B703,'[1]Zebrik W'!$B$7:$M$1000,11,0)),"",IF(VLOOKUP(B703,'[1]Zebrik W'!$B$7:$M$1000,11,0)=0,"--",VLOOKUP(B703,'[1]Zebrik W'!$B$7:$M$1000,11,0)))</f>
        <v/>
      </c>
    </row>
    <row r="704" spans="2:14" x14ac:dyDescent="0.2">
      <c r="B704"/>
      <c r="C704"/>
      <c r="D704"/>
      <c r="E704"/>
      <c r="F704"/>
      <c r="G704"/>
      <c r="H704"/>
      <c r="J704"/>
      <c r="N704" t="str">
        <f>IF(ISERROR(VLOOKUP(B704,'[1]Zebrik W'!$B$7:$M$1000,11,0)),"",IF(VLOOKUP(B704,'[1]Zebrik W'!$B$7:$M$1000,11,0)=0,"--",VLOOKUP(B704,'[1]Zebrik W'!$B$7:$M$1000,11,0)))</f>
        <v/>
      </c>
    </row>
    <row r="705" spans="2:14" x14ac:dyDescent="0.2">
      <c r="B705"/>
      <c r="C705"/>
      <c r="D705"/>
      <c r="E705"/>
      <c r="F705"/>
      <c r="G705"/>
      <c r="H705"/>
      <c r="J705"/>
      <c r="N705" t="str">
        <f>IF(ISERROR(VLOOKUP(B705,'[1]Zebrik W'!$B$7:$M$1000,11,0)),"",IF(VLOOKUP(B705,'[1]Zebrik W'!$B$7:$M$1000,11,0)=0,"--",VLOOKUP(B705,'[1]Zebrik W'!$B$7:$M$1000,11,0)))</f>
        <v/>
      </c>
    </row>
    <row r="706" spans="2:14" x14ac:dyDescent="0.2">
      <c r="B706"/>
      <c r="C706"/>
      <c r="D706"/>
      <c r="E706"/>
      <c r="F706"/>
      <c r="G706"/>
      <c r="H706"/>
      <c r="J706"/>
      <c r="N706" t="str">
        <f>IF(ISERROR(VLOOKUP(B706,'[1]Zebrik W'!$B$7:$M$1000,11,0)),"",IF(VLOOKUP(B706,'[1]Zebrik W'!$B$7:$M$1000,11,0)=0,"--",VLOOKUP(B706,'[1]Zebrik W'!$B$7:$M$1000,11,0)))</f>
        <v/>
      </c>
    </row>
    <row r="707" spans="2:14" x14ac:dyDescent="0.2">
      <c r="B707"/>
      <c r="C707"/>
      <c r="D707"/>
      <c r="E707"/>
      <c r="F707"/>
      <c r="G707"/>
      <c r="H707"/>
      <c r="J707"/>
      <c r="N707" t="str">
        <f>IF(ISERROR(VLOOKUP(B707,'[1]Zebrik W'!$B$7:$M$1000,11,0)),"",IF(VLOOKUP(B707,'[1]Zebrik W'!$B$7:$M$1000,11,0)=0,"--",VLOOKUP(B707,'[1]Zebrik W'!$B$7:$M$1000,11,0)))</f>
        <v/>
      </c>
    </row>
    <row r="708" spans="2:14" x14ac:dyDescent="0.2">
      <c r="B708"/>
      <c r="C708"/>
      <c r="D708"/>
      <c r="E708"/>
      <c r="F708"/>
      <c r="G708"/>
      <c r="H708"/>
      <c r="J708"/>
      <c r="N708" t="str">
        <f>IF(ISERROR(VLOOKUP(B708,'[1]Zebrik W'!$B$7:$M$1000,11,0)),"",IF(VLOOKUP(B708,'[1]Zebrik W'!$B$7:$M$1000,11,0)=0,"--",VLOOKUP(B708,'[1]Zebrik W'!$B$7:$M$1000,11,0)))</f>
        <v/>
      </c>
    </row>
    <row r="709" spans="2:14" x14ac:dyDescent="0.2">
      <c r="B709"/>
      <c r="C709"/>
      <c r="D709"/>
      <c r="E709"/>
      <c r="F709"/>
      <c r="G709"/>
      <c r="H709"/>
      <c r="J709"/>
      <c r="N709" t="str">
        <f>IF(ISERROR(VLOOKUP(B709,'[1]Zebrik W'!$B$7:$M$1000,11,0)),"",IF(VLOOKUP(B709,'[1]Zebrik W'!$B$7:$M$1000,11,0)=0,"--",VLOOKUP(B709,'[1]Zebrik W'!$B$7:$M$1000,11,0)))</f>
        <v/>
      </c>
    </row>
    <row r="710" spans="2:14" x14ac:dyDescent="0.2">
      <c r="B710"/>
      <c r="C710"/>
      <c r="D710"/>
      <c r="E710"/>
      <c r="F710"/>
      <c r="G710"/>
      <c r="H710"/>
      <c r="J710"/>
      <c r="N710" t="str">
        <f>IF(ISERROR(VLOOKUP(B710,'[1]Zebrik W'!$B$7:$M$1000,11,0)),"",IF(VLOOKUP(B710,'[1]Zebrik W'!$B$7:$M$1000,11,0)=0,"--",VLOOKUP(B710,'[1]Zebrik W'!$B$7:$M$1000,11,0)))</f>
        <v/>
      </c>
    </row>
    <row r="711" spans="2:14" x14ac:dyDescent="0.2">
      <c r="B711"/>
      <c r="C711"/>
      <c r="D711"/>
      <c r="E711"/>
      <c r="F711"/>
      <c r="G711"/>
      <c r="H711"/>
      <c r="J711"/>
      <c r="N711" t="str">
        <f>IF(ISERROR(VLOOKUP(B711,'[1]Zebrik W'!$B$7:$M$1000,11,0)),"",IF(VLOOKUP(B711,'[1]Zebrik W'!$B$7:$M$1000,11,0)=0,"--",VLOOKUP(B711,'[1]Zebrik W'!$B$7:$M$1000,11,0)))</f>
        <v/>
      </c>
    </row>
    <row r="712" spans="2:14" x14ac:dyDescent="0.2">
      <c r="B712"/>
      <c r="C712"/>
      <c r="D712"/>
      <c r="E712"/>
      <c r="F712"/>
      <c r="G712"/>
      <c r="H712"/>
      <c r="J712"/>
      <c r="N712" t="str">
        <f>IF(ISERROR(VLOOKUP(B712,'[1]Zebrik W'!$B$7:$M$1000,11,0)),"",IF(VLOOKUP(B712,'[1]Zebrik W'!$B$7:$M$1000,11,0)=0,"--",VLOOKUP(B712,'[1]Zebrik W'!$B$7:$M$1000,11,0)))</f>
        <v/>
      </c>
    </row>
    <row r="713" spans="2:14" x14ac:dyDescent="0.2">
      <c r="B713"/>
      <c r="C713"/>
      <c r="D713"/>
      <c r="E713"/>
      <c r="F713"/>
      <c r="G713"/>
      <c r="H713"/>
      <c r="J713"/>
      <c r="N713" t="str">
        <f>IF(ISERROR(VLOOKUP(B713,'[1]Zebrik W'!$B$7:$M$1000,11,0)),"",IF(VLOOKUP(B713,'[1]Zebrik W'!$B$7:$M$1000,11,0)=0,"--",VLOOKUP(B713,'[1]Zebrik W'!$B$7:$M$1000,11,0)))</f>
        <v/>
      </c>
    </row>
    <row r="714" spans="2:14" x14ac:dyDescent="0.2">
      <c r="B714"/>
      <c r="C714"/>
      <c r="D714"/>
      <c r="E714"/>
      <c r="F714"/>
      <c r="G714"/>
      <c r="H714"/>
      <c r="J714"/>
      <c r="N714" t="str">
        <f>IF(ISERROR(VLOOKUP(B714,'[1]Zebrik W'!$B$7:$M$1000,11,0)),"",IF(VLOOKUP(B714,'[1]Zebrik W'!$B$7:$M$1000,11,0)=0,"--",VLOOKUP(B714,'[1]Zebrik W'!$B$7:$M$1000,11,0)))</f>
        <v/>
      </c>
    </row>
    <row r="715" spans="2:14" x14ac:dyDescent="0.2">
      <c r="B715"/>
      <c r="C715"/>
      <c r="D715"/>
      <c r="E715"/>
      <c r="F715"/>
      <c r="G715"/>
      <c r="H715"/>
      <c r="J715"/>
      <c r="N715" t="str">
        <f>IF(ISERROR(VLOOKUP(B715,'[1]Zebrik W'!$B$7:$M$1000,11,0)),"",IF(VLOOKUP(B715,'[1]Zebrik W'!$B$7:$M$1000,11,0)=0,"--",VLOOKUP(B715,'[1]Zebrik W'!$B$7:$M$1000,11,0)))</f>
        <v/>
      </c>
    </row>
    <row r="716" spans="2:14" x14ac:dyDescent="0.2">
      <c r="B716"/>
      <c r="C716"/>
      <c r="D716"/>
      <c r="E716"/>
      <c r="F716"/>
      <c r="G716"/>
      <c r="H716"/>
      <c r="J716"/>
      <c r="N716" t="str">
        <f>IF(ISERROR(VLOOKUP(B716,'[1]Zebrik W'!$B$7:$M$1000,11,0)),"",IF(VLOOKUP(B716,'[1]Zebrik W'!$B$7:$M$1000,11,0)=0,"--",VLOOKUP(B716,'[1]Zebrik W'!$B$7:$M$1000,11,0)))</f>
        <v/>
      </c>
    </row>
    <row r="717" spans="2:14" x14ac:dyDescent="0.2">
      <c r="B717"/>
      <c r="C717"/>
      <c r="D717"/>
      <c r="E717"/>
      <c r="F717"/>
      <c r="G717"/>
      <c r="H717"/>
      <c r="J717"/>
      <c r="N717" t="str">
        <f>IF(ISERROR(VLOOKUP(B717,'[1]Zebrik W'!$B$7:$M$1000,11,0)),"",IF(VLOOKUP(B717,'[1]Zebrik W'!$B$7:$M$1000,11,0)=0,"--",VLOOKUP(B717,'[1]Zebrik W'!$B$7:$M$1000,11,0)))</f>
        <v/>
      </c>
    </row>
    <row r="718" spans="2:14" x14ac:dyDescent="0.2">
      <c r="B718"/>
      <c r="C718"/>
      <c r="D718"/>
      <c r="E718"/>
      <c r="F718"/>
      <c r="G718"/>
      <c r="H718"/>
      <c r="J718"/>
      <c r="N718" t="str">
        <f>IF(ISERROR(VLOOKUP(B718,'[1]Zebrik W'!$B$7:$M$1000,11,0)),"",IF(VLOOKUP(B718,'[1]Zebrik W'!$B$7:$M$1000,11,0)=0,"--",VLOOKUP(B718,'[1]Zebrik W'!$B$7:$M$1000,11,0)))</f>
        <v/>
      </c>
    </row>
    <row r="719" spans="2:14" x14ac:dyDescent="0.2">
      <c r="B719"/>
      <c r="C719"/>
      <c r="D719"/>
      <c r="E719"/>
      <c r="F719"/>
      <c r="G719"/>
      <c r="H719"/>
      <c r="J719"/>
      <c r="N719" t="str">
        <f>IF(ISERROR(VLOOKUP(B719,'[1]Zebrik W'!$B$7:$M$1000,11,0)),"",IF(VLOOKUP(B719,'[1]Zebrik W'!$B$7:$M$1000,11,0)=0,"--",VLOOKUP(B719,'[1]Zebrik W'!$B$7:$M$1000,11,0)))</f>
        <v/>
      </c>
    </row>
    <row r="720" spans="2:14" x14ac:dyDescent="0.2">
      <c r="B720"/>
      <c r="C720"/>
      <c r="D720"/>
      <c r="E720"/>
      <c r="F720"/>
      <c r="G720"/>
      <c r="H720"/>
      <c r="J720"/>
      <c r="N720" t="str">
        <f>IF(ISERROR(VLOOKUP(B720,'[1]Zebrik W'!$B$7:$M$1000,11,0)),"",IF(VLOOKUP(B720,'[1]Zebrik W'!$B$7:$M$1000,11,0)=0,"--",VLOOKUP(B720,'[1]Zebrik W'!$B$7:$M$1000,11,0)))</f>
        <v/>
      </c>
    </row>
    <row r="721" spans="2:14" x14ac:dyDescent="0.2">
      <c r="B721"/>
      <c r="C721"/>
      <c r="D721"/>
      <c r="E721"/>
      <c r="F721"/>
      <c r="G721"/>
      <c r="H721"/>
      <c r="J721"/>
      <c r="N721" t="str">
        <f>IF(ISERROR(VLOOKUP(B721,'[1]Zebrik W'!$B$7:$M$1000,11,0)),"",IF(VLOOKUP(B721,'[1]Zebrik W'!$B$7:$M$1000,11,0)=0,"--",VLOOKUP(B721,'[1]Zebrik W'!$B$7:$M$1000,11,0)))</f>
        <v/>
      </c>
    </row>
    <row r="722" spans="2:14" x14ac:dyDescent="0.2">
      <c r="B722"/>
      <c r="C722"/>
      <c r="D722"/>
      <c r="E722"/>
      <c r="F722"/>
      <c r="G722"/>
      <c r="H722"/>
      <c r="J722"/>
      <c r="N722" t="str">
        <f>IF(ISERROR(VLOOKUP(B722,'[1]Zebrik W'!$B$7:$M$1000,11,0)),"",IF(VLOOKUP(B722,'[1]Zebrik W'!$B$7:$M$1000,11,0)=0,"--",VLOOKUP(B722,'[1]Zebrik W'!$B$7:$M$1000,11,0)))</f>
        <v/>
      </c>
    </row>
    <row r="723" spans="2:14" x14ac:dyDescent="0.2">
      <c r="B723"/>
      <c r="C723"/>
      <c r="D723"/>
      <c r="E723"/>
      <c r="F723"/>
      <c r="G723"/>
      <c r="H723"/>
      <c r="J723"/>
      <c r="N723" t="str">
        <f>IF(ISERROR(VLOOKUP(B723,'[1]Zebrik W'!$B$7:$M$1000,11,0)),"",IF(VLOOKUP(B723,'[1]Zebrik W'!$B$7:$M$1000,11,0)=0,"--",VLOOKUP(B723,'[1]Zebrik W'!$B$7:$M$1000,11,0)))</f>
        <v/>
      </c>
    </row>
    <row r="724" spans="2:14" x14ac:dyDescent="0.2">
      <c r="B724"/>
      <c r="C724"/>
      <c r="D724"/>
      <c r="E724"/>
      <c r="F724"/>
      <c r="G724"/>
      <c r="H724"/>
      <c r="J724"/>
      <c r="N724" t="str">
        <f>IF(ISERROR(VLOOKUP(B724,'[1]Zebrik W'!$B$7:$M$1000,11,0)),"",IF(VLOOKUP(B724,'[1]Zebrik W'!$B$7:$M$1000,11,0)=0,"--",VLOOKUP(B724,'[1]Zebrik W'!$B$7:$M$1000,11,0)))</f>
        <v/>
      </c>
    </row>
    <row r="725" spans="2:14" x14ac:dyDescent="0.2">
      <c r="B725"/>
      <c r="C725"/>
      <c r="D725"/>
      <c r="E725"/>
      <c r="F725"/>
      <c r="G725"/>
      <c r="H725"/>
      <c r="J725"/>
      <c r="N725" t="str">
        <f>IF(ISERROR(VLOOKUP(B725,'[1]Zebrik W'!$B$7:$M$1000,11,0)),"",IF(VLOOKUP(B725,'[1]Zebrik W'!$B$7:$M$1000,11,0)=0,"--",VLOOKUP(B725,'[1]Zebrik W'!$B$7:$M$1000,11,0)))</f>
        <v/>
      </c>
    </row>
    <row r="726" spans="2:14" x14ac:dyDescent="0.2">
      <c r="B726"/>
      <c r="C726"/>
      <c r="D726"/>
      <c r="E726"/>
      <c r="F726"/>
      <c r="G726"/>
      <c r="H726"/>
      <c r="J726"/>
      <c r="N726" t="str">
        <f>IF(ISERROR(VLOOKUP(B726,'[1]Zebrik W'!$B$7:$M$1000,11,0)),"",IF(VLOOKUP(B726,'[1]Zebrik W'!$B$7:$M$1000,11,0)=0,"--",VLOOKUP(B726,'[1]Zebrik W'!$B$7:$M$1000,11,0)))</f>
        <v/>
      </c>
    </row>
    <row r="727" spans="2:14" x14ac:dyDescent="0.2">
      <c r="B727"/>
      <c r="C727"/>
      <c r="D727"/>
      <c r="E727"/>
      <c r="F727"/>
      <c r="G727"/>
      <c r="H727"/>
      <c r="J727"/>
      <c r="N727" t="str">
        <f>IF(ISERROR(VLOOKUP(B727,'[1]Zebrik W'!$B$7:$M$1000,11,0)),"",IF(VLOOKUP(B727,'[1]Zebrik W'!$B$7:$M$1000,11,0)=0,"--",VLOOKUP(B727,'[1]Zebrik W'!$B$7:$M$1000,11,0)))</f>
        <v/>
      </c>
    </row>
    <row r="728" spans="2:14" x14ac:dyDescent="0.2">
      <c r="B728"/>
      <c r="C728"/>
      <c r="D728"/>
      <c r="E728"/>
      <c r="F728"/>
      <c r="G728"/>
      <c r="H728"/>
      <c r="J728"/>
      <c r="N728" t="str">
        <f>IF(ISERROR(VLOOKUP(B728,'[1]Zebrik W'!$B$7:$M$1000,11,0)),"",IF(VLOOKUP(B728,'[1]Zebrik W'!$B$7:$M$1000,11,0)=0,"--",VLOOKUP(B728,'[1]Zebrik W'!$B$7:$M$1000,11,0)))</f>
        <v/>
      </c>
    </row>
    <row r="729" spans="2:14" x14ac:dyDescent="0.2">
      <c r="B729"/>
      <c r="C729"/>
      <c r="D729"/>
      <c r="E729"/>
      <c r="F729"/>
      <c r="G729"/>
      <c r="H729"/>
      <c r="J729"/>
      <c r="N729" t="str">
        <f>IF(ISERROR(VLOOKUP(B729,'[1]Zebrik W'!$B$7:$M$1000,11,0)),"",IF(VLOOKUP(B729,'[1]Zebrik W'!$B$7:$M$1000,11,0)=0,"--",VLOOKUP(B729,'[1]Zebrik W'!$B$7:$M$1000,11,0)))</f>
        <v/>
      </c>
    </row>
    <row r="730" spans="2:14" x14ac:dyDescent="0.2">
      <c r="B730"/>
      <c r="C730"/>
      <c r="D730"/>
      <c r="E730"/>
      <c r="F730"/>
      <c r="G730"/>
      <c r="H730"/>
      <c r="J730"/>
      <c r="N730" t="str">
        <f>IF(ISERROR(VLOOKUP(B730,'[1]Zebrik W'!$B$7:$M$1000,11,0)),"",IF(VLOOKUP(B730,'[1]Zebrik W'!$B$7:$M$1000,11,0)=0,"--",VLOOKUP(B730,'[1]Zebrik W'!$B$7:$M$1000,11,0)))</f>
        <v/>
      </c>
    </row>
    <row r="731" spans="2:14" x14ac:dyDescent="0.2">
      <c r="B731"/>
      <c r="C731"/>
      <c r="D731"/>
      <c r="E731"/>
      <c r="F731"/>
      <c r="G731"/>
      <c r="H731"/>
      <c r="J731"/>
      <c r="N731" t="str">
        <f>IF(ISERROR(VLOOKUP(B731,'[1]Zebrik W'!$B$7:$M$1000,11,0)),"",IF(VLOOKUP(B731,'[1]Zebrik W'!$B$7:$M$1000,11,0)=0,"--",VLOOKUP(B731,'[1]Zebrik W'!$B$7:$M$1000,11,0)))</f>
        <v/>
      </c>
    </row>
    <row r="732" spans="2:14" x14ac:dyDescent="0.2">
      <c r="B732"/>
      <c r="C732"/>
      <c r="D732"/>
      <c r="E732"/>
      <c r="F732"/>
      <c r="G732"/>
      <c r="H732"/>
      <c r="J732"/>
      <c r="N732" t="str">
        <f>IF(ISERROR(VLOOKUP(B732,'[1]Zebrik W'!$B$7:$M$1000,11,0)),"",IF(VLOOKUP(B732,'[1]Zebrik W'!$B$7:$M$1000,11,0)=0,"--",VLOOKUP(B732,'[1]Zebrik W'!$B$7:$M$1000,11,0)))</f>
        <v/>
      </c>
    </row>
    <row r="733" spans="2:14" x14ac:dyDescent="0.2">
      <c r="B733"/>
      <c r="C733"/>
      <c r="D733"/>
      <c r="E733"/>
      <c r="F733"/>
      <c r="G733"/>
      <c r="H733"/>
      <c r="J733"/>
      <c r="N733" t="str">
        <f>IF(ISERROR(VLOOKUP(B733,'[1]Zebrik W'!$B$7:$M$1000,11,0)),"",IF(VLOOKUP(B733,'[1]Zebrik W'!$B$7:$M$1000,11,0)=0,"--",VLOOKUP(B733,'[1]Zebrik W'!$B$7:$M$1000,11,0)))</f>
        <v/>
      </c>
    </row>
    <row r="734" spans="2:14" x14ac:dyDescent="0.2">
      <c r="B734"/>
      <c r="C734"/>
      <c r="D734"/>
      <c r="E734"/>
      <c r="F734"/>
      <c r="G734"/>
      <c r="H734"/>
      <c r="J734"/>
      <c r="N734" t="str">
        <f>IF(ISERROR(VLOOKUP(B734,'[1]Zebrik W'!$B$7:$M$1000,11,0)),"",IF(VLOOKUP(B734,'[1]Zebrik W'!$B$7:$M$1000,11,0)=0,"--",VLOOKUP(B734,'[1]Zebrik W'!$B$7:$M$1000,11,0)))</f>
        <v/>
      </c>
    </row>
    <row r="735" spans="2:14" x14ac:dyDescent="0.2">
      <c r="B735"/>
      <c r="C735"/>
      <c r="D735"/>
      <c r="E735"/>
      <c r="F735"/>
      <c r="G735"/>
      <c r="H735"/>
      <c r="J735"/>
      <c r="N735" t="str">
        <f>IF(ISERROR(VLOOKUP(B735,'[1]Zebrik W'!$B$7:$M$1000,11,0)),"",IF(VLOOKUP(B735,'[1]Zebrik W'!$B$7:$M$1000,11,0)=0,"--",VLOOKUP(B735,'[1]Zebrik W'!$B$7:$M$1000,11,0)))</f>
        <v/>
      </c>
    </row>
    <row r="736" spans="2:14" x14ac:dyDescent="0.2">
      <c r="B736"/>
      <c r="C736"/>
      <c r="D736"/>
      <c r="E736"/>
      <c r="F736"/>
      <c r="G736"/>
      <c r="H736"/>
      <c r="J736"/>
      <c r="N736" t="str">
        <f>IF(ISERROR(VLOOKUP(B736,'[1]Zebrik W'!$B$7:$M$1000,11,0)),"",IF(VLOOKUP(B736,'[1]Zebrik W'!$B$7:$M$1000,11,0)=0,"--",VLOOKUP(B736,'[1]Zebrik W'!$B$7:$M$1000,11,0)))</f>
        <v/>
      </c>
    </row>
    <row r="737" spans="2:14" x14ac:dyDescent="0.2">
      <c r="B737"/>
      <c r="C737"/>
      <c r="D737"/>
      <c r="E737"/>
      <c r="F737"/>
      <c r="G737"/>
      <c r="H737"/>
      <c r="J737"/>
      <c r="N737" t="str">
        <f>IF(ISERROR(VLOOKUP(B737,'[1]Zebrik W'!$B$7:$M$1000,11,0)),"",IF(VLOOKUP(B737,'[1]Zebrik W'!$B$7:$M$1000,11,0)=0,"--",VLOOKUP(B737,'[1]Zebrik W'!$B$7:$M$1000,11,0)))</f>
        <v/>
      </c>
    </row>
    <row r="738" spans="2:14" x14ac:dyDescent="0.2">
      <c r="B738"/>
      <c r="C738"/>
      <c r="D738"/>
      <c r="E738"/>
      <c r="F738"/>
      <c r="G738"/>
      <c r="H738"/>
      <c r="J738"/>
      <c r="N738" t="str">
        <f>IF(ISERROR(VLOOKUP(B738,'[1]Zebrik W'!$B$7:$M$1000,11,0)),"",IF(VLOOKUP(B738,'[1]Zebrik W'!$B$7:$M$1000,11,0)=0,"--",VLOOKUP(B738,'[1]Zebrik W'!$B$7:$M$1000,11,0)))</f>
        <v/>
      </c>
    </row>
    <row r="739" spans="2:14" x14ac:dyDescent="0.2">
      <c r="B739"/>
      <c r="C739"/>
      <c r="D739"/>
      <c r="E739"/>
      <c r="F739"/>
      <c r="G739"/>
      <c r="H739"/>
      <c r="J739"/>
      <c r="N739" t="str">
        <f>IF(ISERROR(VLOOKUP(B739,'[1]Zebrik W'!$B$7:$M$1000,11,0)),"",IF(VLOOKUP(B739,'[1]Zebrik W'!$B$7:$M$1000,11,0)=0,"--",VLOOKUP(B739,'[1]Zebrik W'!$B$7:$M$1000,11,0)))</f>
        <v/>
      </c>
    </row>
    <row r="740" spans="2:14" x14ac:dyDescent="0.2">
      <c r="B740"/>
      <c r="C740"/>
      <c r="D740"/>
      <c r="E740"/>
      <c r="F740"/>
      <c r="G740"/>
      <c r="H740"/>
      <c r="J740"/>
      <c r="N740" t="str">
        <f>IF(ISERROR(VLOOKUP(B740,'[1]Zebrik W'!$B$7:$M$1000,11,0)),"",IF(VLOOKUP(B740,'[1]Zebrik W'!$B$7:$M$1000,11,0)=0,"--",VLOOKUP(B740,'[1]Zebrik W'!$B$7:$M$1000,11,0)))</f>
        <v/>
      </c>
    </row>
    <row r="741" spans="2:14" x14ac:dyDescent="0.2">
      <c r="B741"/>
      <c r="C741"/>
      <c r="D741"/>
      <c r="E741"/>
      <c r="F741"/>
      <c r="G741"/>
      <c r="H741"/>
      <c r="J741"/>
      <c r="N741" t="str">
        <f>IF(ISERROR(VLOOKUP(B741,'[1]Zebrik W'!$B$7:$M$1000,11,0)),"",IF(VLOOKUP(B741,'[1]Zebrik W'!$B$7:$M$1000,11,0)=0,"--",VLOOKUP(B741,'[1]Zebrik W'!$B$7:$M$1000,11,0)))</f>
        <v/>
      </c>
    </row>
    <row r="742" spans="2:14" x14ac:dyDescent="0.2">
      <c r="B742"/>
      <c r="C742"/>
      <c r="D742"/>
      <c r="E742"/>
      <c r="F742"/>
      <c r="G742"/>
      <c r="H742"/>
      <c r="J742"/>
      <c r="N742" t="str">
        <f>IF(ISERROR(VLOOKUP(B742,'[1]Zebrik W'!$B$7:$M$1000,11,0)),"",IF(VLOOKUP(B742,'[1]Zebrik W'!$B$7:$M$1000,11,0)=0,"--",VLOOKUP(B742,'[1]Zebrik W'!$B$7:$M$1000,11,0)))</f>
        <v/>
      </c>
    </row>
    <row r="743" spans="2:14" x14ac:dyDescent="0.2">
      <c r="B743"/>
      <c r="C743"/>
      <c r="D743"/>
      <c r="E743"/>
      <c r="F743"/>
      <c r="G743"/>
      <c r="H743"/>
      <c r="J743"/>
      <c r="N743" t="str">
        <f>IF(ISERROR(VLOOKUP(B743,'[1]Zebrik W'!$B$7:$M$1000,11,0)),"",IF(VLOOKUP(B743,'[1]Zebrik W'!$B$7:$M$1000,11,0)=0,"--",VLOOKUP(B743,'[1]Zebrik W'!$B$7:$M$1000,11,0)))</f>
        <v/>
      </c>
    </row>
    <row r="744" spans="2:14" x14ac:dyDescent="0.2">
      <c r="B744"/>
      <c r="C744"/>
      <c r="D744"/>
      <c r="E744"/>
      <c r="F744"/>
      <c r="G744"/>
      <c r="H744"/>
      <c r="J744"/>
      <c r="N744" t="str">
        <f>IF(ISERROR(VLOOKUP(B744,'[1]Zebrik W'!$B$7:$M$1000,11,0)),"",IF(VLOOKUP(B744,'[1]Zebrik W'!$B$7:$M$1000,11,0)=0,"--",VLOOKUP(B744,'[1]Zebrik W'!$B$7:$M$1000,11,0)))</f>
        <v/>
      </c>
    </row>
    <row r="745" spans="2:14" x14ac:dyDescent="0.2">
      <c r="B745"/>
      <c r="C745"/>
      <c r="D745"/>
      <c r="E745"/>
      <c r="F745"/>
      <c r="G745"/>
      <c r="H745"/>
      <c r="J745"/>
      <c r="N745" t="str">
        <f>IF(ISERROR(VLOOKUP(B745,'[1]Zebrik W'!$B$7:$M$1000,11,0)),"",IF(VLOOKUP(B745,'[1]Zebrik W'!$B$7:$M$1000,11,0)=0,"--",VLOOKUP(B745,'[1]Zebrik W'!$B$7:$M$1000,11,0)))</f>
        <v/>
      </c>
    </row>
    <row r="746" spans="2:14" x14ac:dyDescent="0.2">
      <c r="B746"/>
      <c r="C746"/>
      <c r="D746"/>
      <c r="E746"/>
      <c r="F746"/>
      <c r="G746"/>
      <c r="H746"/>
      <c r="J746"/>
      <c r="N746" t="str">
        <f>IF(ISERROR(VLOOKUP(B746,'[1]Zebrik W'!$B$7:$M$1000,11,0)),"",IF(VLOOKUP(B746,'[1]Zebrik W'!$B$7:$M$1000,11,0)=0,"--",VLOOKUP(B746,'[1]Zebrik W'!$B$7:$M$1000,11,0)))</f>
        <v/>
      </c>
    </row>
    <row r="747" spans="2:14" x14ac:dyDescent="0.2">
      <c r="B747"/>
      <c r="C747"/>
      <c r="D747"/>
      <c r="E747"/>
      <c r="F747"/>
      <c r="G747"/>
      <c r="H747"/>
      <c r="J747"/>
      <c r="N747" t="str">
        <f>IF(ISERROR(VLOOKUP(B747,'[1]Zebrik W'!$B$7:$M$1000,11,0)),"",IF(VLOOKUP(B747,'[1]Zebrik W'!$B$7:$M$1000,11,0)=0,"--",VLOOKUP(B747,'[1]Zebrik W'!$B$7:$M$1000,11,0)))</f>
        <v/>
      </c>
    </row>
    <row r="748" spans="2:14" x14ac:dyDescent="0.2">
      <c r="B748"/>
      <c r="C748"/>
      <c r="D748"/>
      <c r="E748"/>
      <c r="F748"/>
      <c r="G748"/>
      <c r="H748"/>
      <c r="J748"/>
      <c r="N748" t="str">
        <f>IF(ISERROR(VLOOKUP(B748,'[1]Zebrik W'!$B$7:$M$1000,11,0)),"",IF(VLOOKUP(B748,'[1]Zebrik W'!$B$7:$M$1000,11,0)=0,"--",VLOOKUP(B748,'[1]Zebrik W'!$B$7:$M$1000,11,0)))</f>
        <v/>
      </c>
    </row>
    <row r="749" spans="2:14" x14ac:dyDescent="0.2">
      <c r="B749"/>
      <c r="C749"/>
      <c r="D749"/>
      <c r="E749"/>
      <c r="F749"/>
      <c r="G749"/>
      <c r="H749"/>
      <c r="J749"/>
      <c r="N749" t="str">
        <f>IF(ISERROR(VLOOKUP(B749,'[1]Zebrik W'!$B$7:$M$1000,11,0)),"",IF(VLOOKUP(B749,'[1]Zebrik W'!$B$7:$M$1000,11,0)=0,"--",VLOOKUP(B749,'[1]Zebrik W'!$B$7:$M$1000,11,0)))</f>
        <v/>
      </c>
    </row>
    <row r="750" spans="2:14" x14ac:dyDescent="0.2">
      <c r="B750"/>
      <c r="C750"/>
      <c r="D750"/>
      <c r="E750"/>
      <c r="F750"/>
      <c r="G750"/>
      <c r="H750"/>
      <c r="J750"/>
      <c r="N750" t="str">
        <f>IF(ISERROR(VLOOKUP(B750,'[1]Zebrik W'!$B$7:$M$1000,11,0)),"",IF(VLOOKUP(B750,'[1]Zebrik W'!$B$7:$M$1000,11,0)=0,"--",VLOOKUP(B750,'[1]Zebrik W'!$B$7:$M$1000,11,0)))</f>
        <v/>
      </c>
    </row>
    <row r="751" spans="2:14" x14ac:dyDescent="0.2">
      <c r="B751"/>
      <c r="C751"/>
      <c r="D751"/>
      <c r="E751"/>
      <c r="F751"/>
      <c r="G751"/>
      <c r="H751"/>
      <c r="J751"/>
      <c r="N751" t="str">
        <f>IF(ISERROR(VLOOKUP(B751,'[1]Zebrik W'!$B$7:$M$1000,11,0)),"",IF(VLOOKUP(B751,'[1]Zebrik W'!$B$7:$M$1000,11,0)=0,"--",VLOOKUP(B751,'[1]Zebrik W'!$B$7:$M$1000,11,0)))</f>
        <v/>
      </c>
    </row>
    <row r="752" spans="2:14" x14ac:dyDescent="0.2">
      <c r="B752"/>
      <c r="C752"/>
      <c r="D752"/>
      <c r="E752"/>
      <c r="F752"/>
      <c r="G752"/>
      <c r="H752"/>
      <c r="J752"/>
      <c r="N752" t="str">
        <f>IF(ISERROR(VLOOKUP(B752,'[1]Zebrik W'!$B$7:$M$1000,11,0)),"",IF(VLOOKUP(B752,'[1]Zebrik W'!$B$7:$M$1000,11,0)=0,"--",VLOOKUP(B752,'[1]Zebrik W'!$B$7:$M$1000,11,0)))</f>
        <v/>
      </c>
    </row>
    <row r="753" spans="2:14" x14ac:dyDescent="0.2">
      <c r="B753"/>
      <c r="C753"/>
      <c r="D753"/>
      <c r="E753"/>
      <c r="F753"/>
      <c r="G753"/>
      <c r="H753"/>
      <c r="J753"/>
      <c r="N753" t="str">
        <f>IF(ISERROR(VLOOKUP(B753,'[1]Zebrik W'!$B$7:$M$1000,11,0)),"",IF(VLOOKUP(B753,'[1]Zebrik W'!$B$7:$M$1000,11,0)=0,"--",VLOOKUP(B753,'[1]Zebrik W'!$B$7:$M$1000,11,0)))</f>
        <v/>
      </c>
    </row>
    <row r="754" spans="2:14" x14ac:dyDescent="0.2">
      <c r="B754"/>
      <c r="C754"/>
      <c r="D754"/>
      <c r="E754"/>
      <c r="F754"/>
      <c r="G754"/>
      <c r="H754"/>
      <c r="J754"/>
      <c r="N754" t="str">
        <f>IF(ISERROR(VLOOKUP(B754,'[1]Zebrik W'!$B$7:$M$1000,11,0)),"",IF(VLOOKUP(B754,'[1]Zebrik W'!$B$7:$M$1000,11,0)=0,"--",VLOOKUP(B754,'[1]Zebrik W'!$B$7:$M$1000,11,0)))</f>
        <v/>
      </c>
    </row>
    <row r="755" spans="2:14" x14ac:dyDescent="0.2">
      <c r="B755"/>
      <c r="C755"/>
      <c r="D755"/>
      <c r="E755"/>
      <c r="F755"/>
      <c r="G755"/>
      <c r="H755"/>
      <c r="J755"/>
      <c r="N755" t="str">
        <f>IF(ISERROR(VLOOKUP(B755,'[1]Zebrik W'!$B$7:$M$1000,11,0)),"",IF(VLOOKUP(B755,'[1]Zebrik W'!$B$7:$M$1000,11,0)=0,"--",VLOOKUP(B755,'[1]Zebrik W'!$B$7:$M$1000,11,0)))</f>
        <v/>
      </c>
    </row>
    <row r="756" spans="2:14" x14ac:dyDescent="0.2">
      <c r="B756"/>
      <c r="C756"/>
      <c r="D756"/>
      <c r="E756"/>
      <c r="F756"/>
      <c r="G756"/>
      <c r="H756"/>
      <c r="J756"/>
      <c r="N756" t="str">
        <f>IF(ISERROR(VLOOKUP(B756,'[1]Zebrik W'!$B$7:$M$1000,11,0)),"",IF(VLOOKUP(B756,'[1]Zebrik W'!$B$7:$M$1000,11,0)=0,"--",VLOOKUP(B756,'[1]Zebrik W'!$B$7:$M$1000,11,0)))</f>
        <v/>
      </c>
    </row>
    <row r="757" spans="2:14" x14ac:dyDescent="0.2">
      <c r="B757"/>
      <c r="C757"/>
      <c r="D757"/>
      <c r="E757"/>
      <c r="F757"/>
      <c r="G757"/>
      <c r="H757"/>
      <c r="J757"/>
      <c r="N757" t="str">
        <f>IF(ISERROR(VLOOKUP(B757,'[1]Zebrik W'!$B$7:$M$1000,11,0)),"",IF(VLOOKUP(B757,'[1]Zebrik W'!$B$7:$M$1000,11,0)=0,"--",VLOOKUP(B757,'[1]Zebrik W'!$B$7:$M$1000,11,0)))</f>
        <v/>
      </c>
    </row>
    <row r="758" spans="2:14" x14ac:dyDescent="0.2">
      <c r="B758"/>
      <c r="C758"/>
      <c r="D758"/>
      <c r="E758"/>
      <c r="F758"/>
      <c r="G758"/>
      <c r="H758"/>
      <c r="J758"/>
      <c r="N758" t="str">
        <f>IF(ISERROR(VLOOKUP(B758,'[1]Zebrik W'!$B$7:$M$1000,11,0)),"",IF(VLOOKUP(B758,'[1]Zebrik W'!$B$7:$M$1000,11,0)=0,"--",VLOOKUP(B758,'[1]Zebrik W'!$B$7:$M$1000,11,0)))</f>
        <v/>
      </c>
    </row>
    <row r="759" spans="2:14" x14ac:dyDescent="0.2">
      <c r="B759"/>
      <c r="C759"/>
      <c r="D759"/>
      <c r="E759"/>
      <c r="F759"/>
      <c r="G759"/>
      <c r="H759"/>
      <c r="J759"/>
      <c r="N759" t="str">
        <f>IF(ISERROR(VLOOKUP(B759,'[1]Zebrik W'!$B$7:$M$1000,11,0)),"",IF(VLOOKUP(B759,'[1]Zebrik W'!$B$7:$M$1000,11,0)=0,"--",VLOOKUP(B759,'[1]Zebrik W'!$B$7:$M$1000,11,0)))</f>
        <v/>
      </c>
    </row>
    <row r="760" spans="2:14" x14ac:dyDescent="0.2">
      <c r="B760"/>
      <c r="C760"/>
      <c r="D760"/>
      <c r="E760"/>
      <c r="F760"/>
      <c r="G760"/>
      <c r="H760"/>
      <c r="J760"/>
      <c r="N760" t="str">
        <f>IF(ISERROR(VLOOKUP(B760,'[1]Zebrik W'!$B$7:$M$1000,11,0)),"",IF(VLOOKUP(B760,'[1]Zebrik W'!$B$7:$M$1000,11,0)=0,"--",VLOOKUP(B760,'[1]Zebrik W'!$B$7:$M$1000,11,0)))</f>
        <v/>
      </c>
    </row>
    <row r="761" spans="2:14" x14ac:dyDescent="0.2">
      <c r="B761"/>
      <c r="C761"/>
      <c r="D761"/>
      <c r="E761"/>
      <c r="F761"/>
      <c r="G761"/>
      <c r="H761"/>
      <c r="J761"/>
      <c r="N761" t="str">
        <f>IF(ISERROR(VLOOKUP(B761,'[1]Zebrik W'!$B$7:$M$1000,11,0)),"",IF(VLOOKUP(B761,'[1]Zebrik W'!$B$7:$M$1000,11,0)=0,"--",VLOOKUP(B761,'[1]Zebrik W'!$B$7:$M$1000,11,0)))</f>
        <v/>
      </c>
    </row>
    <row r="762" spans="2:14" x14ac:dyDescent="0.2">
      <c r="B762"/>
      <c r="C762"/>
      <c r="D762"/>
      <c r="E762"/>
      <c r="F762"/>
      <c r="G762"/>
      <c r="H762"/>
      <c r="J762"/>
      <c r="N762" t="str">
        <f>IF(ISERROR(VLOOKUP(B762,'[1]Zebrik W'!$B$7:$M$1000,11,0)),"",IF(VLOOKUP(B762,'[1]Zebrik W'!$B$7:$M$1000,11,0)=0,"--",VLOOKUP(B762,'[1]Zebrik W'!$B$7:$M$1000,11,0)))</f>
        <v/>
      </c>
    </row>
    <row r="763" spans="2:14" x14ac:dyDescent="0.2">
      <c r="B763"/>
      <c r="C763"/>
      <c r="D763"/>
      <c r="E763"/>
      <c r="F763"/>
      <c r="G763"/>
      <c r="H763"/>
      <c r="J763"/>
      <c r="N763" t="str">
        <f>IF(ISERROR(VLOOKUP(B763,'[1]Zebrik W'!$B$7:$M$1000,11,0)),"",IF(VLOOKUP(B763,'[1]Zebrik W'!$B$7:$M$1000,11,0)=0,"--",VLOOKUP(B763,'[1]Zebrik W'!$B$7:$M$1000,11,0)))</f>
        <v/>
      </c>
    </row>
    <row r="764" spans="2:14" x14ac:dyDescent="0.2">
      <c r="B764"/>
      <c r="C764"/>
      <c r="D764"/>
      <c r="E764"/>
      <c r="F764"/>
      <c r="G764"/>
      <c r="H764"/>
      <c r="J764"/>
      <c r="N764" t="str">
        <f>IF(ISERROR(VLOOKUP(B764,'[1]Zebrik W'!$B$7:$M$1000,11,0)),"",IF(VLOOKUP(B764,'[1]Zebrik W'!$B$7:$M$1000,11,0)=0,"--",VLOOKUP(B764,'[1]Zebrik W'!$B$7:$M$1000,11,0)))</f>
        <v/>
      </c>
    </row>
    <row r="765" spans="2:14" x14ac:dyDescent="0.2">
      <c r="B765"/>
      <c r="C765"/>
      <c r="D765"/>
      <c r="E765"/>
      <c r="F765"/>
      <c r="G765"/>
      <c r="H765"/>
      <c r="J765"/>
      <c r="N765" t="str">
        <f>IF(ISERROR(VLOOKUP(B765,'[1]Zebrik W'!$B$7:$M$1000,11,0)),"",IF(VLOOKUP(B765,'[1]Zebrik W'!$B$7:$M$1000,11,0)=0,"--",VLOOKUP(B765,'[1]Zebrik W'!$B$7:$M$1000,11,0)))</f>
        <v/>
      </c>
    </row>
    <row r="766" spans="2:14" x14ac:dyDescent="0.2">
      <c r="B766"/>
      <c r="C766"/>
      <c r="D766"/>
      <c r="E766"/>
      <c r="F766"/>
      <c r="G766"/>
      <c r="H766"/>
      <c r="J766"/>
      <c r="N766" t="str">
        <f>IF(ISERROR(VLOOKUP(B766,'[1]Zebrik W'!$B$7:$M$1000,11,0)),"",IF(VLOOKUP(B766,'[1]Zebrik W'!$B$7:$M$1000,11,0)=0,"--",VLOOKUP(B766,'[1]Zebrik W'!$B$7:$M$1000,11,0)))</f>
        <v/>
      </c>
    </row>
    <row r="767" spans="2:14" x14ac:dyDescent="0.2">
      <c r="B767"/>
      <c r="C767"/>
      <c r="D767"/>
      <c r="E767"/>
      <c r="F767"/>
      <c r="G767"/>
      <c r="H767"/>
      <c r="J767"/>
      <c r="N767" t="str">
        <f>IF(ISERROR(VLOOKUP(B767,'[1]Zebrik W'!$B$7:$M$1000,11,0)),"",IF(VLOOKUP(B767,'[1]Zebrik W'!$B$7:$M$1000,11,0)=0,"--",VLOOKUP(B767,'[1]Zebrik W'!$B$7:$M$1000,11,0)))</f>
        <v/>
      </c>
    </row>
    <row r="768" spans="2:14" x14ac:dyDescent="0.2">
      <c r="B768"/>
      <c r="C768"/>
      <c r="D768"/>
      <c r="E768"/>
      <c r="F768"/>
      <c r="G768"/>
      <c r="H768"/>
      <c r="J768"/>
      <c r="N768" t="str">
        <f>IF(ISERROR(VLOOKUP(B768,'[1]Zebrik W'!$B$7:$M$1000,11,0)),"",IF(VLOOKUP(B768,'[1]Zebrik W'!$B$7:$M$1000,11,0)=0,"--",VLOOKUP(B768,'[1]Zebrik W'!$B$7:$M$1000,11,0)))</f>
        <v/>
      </c>
    </row>
    <row r="769" spans="2:14" x14ac:dyDescent="0.2">
      <c r="B769"/>
      <c r="C769"/>
      <c r="D769"/>
      <c r="E769"/>
      <c r="F769"/>
      <c r="G769"/>
      <c r="H769"/>
      <c r="J769"/>
      <c r="N769" t="str">
        <f>IF(ISERROR(VLOOKUP(B769,'[1]Zebrik W'!$B$7:$M$1000,11,0)),"",IF(VLOOKUP(B769,'[1]Zebrik W'!$B$7:$M$1000,11,0)=0,"--",VLOOKUP(B769,'[1]Zebrik W'!$B$7:$M$1000,11,0)))</f>
        <v/>
      </c>
    </row>
    <row r="770" spans="2:14" x14ac:dyDescent="0.2">
      <c r="B770"/>
      <c r="C770"/>
      <c r="D770"/>
      <c r="E770"/>
      <c r="F770"/>
      <c r="G770"/>
      <c r="H770"/>
      <c r="J770"/>
      <c r="N770" t="str">
        <f>IF(ISERROR(VLOOKUP(B770,'[1]Zebrik W'!$B$7:$M$1000,11,0)),"",IF(VLOOKUP(B770,'[1]Zebrik W'!$B$7:$M$1000,11,0)=0,"--",VLOOKUP(B770,'[1]Zebrik W'!$B$7:$M$1000,11,0)))</f>
        <v/>
      </c>
    </row>
    <row r="771" spans="2:14" x14ac:dyDescent="0.2">
      <c r="B771"/>
      <c r="C771"/>
      <c r="D771"/>
      <c r="E771"/>
      <c r="F771"/>
      <c r="G771"/>
      <c r="H771"/>
      <c r="J771"/>
      <c r="N771" t="str">
        <f>IF(ISERROR(VLOOKUP(B771,'[1]Zebrik W'!$B$7:$M$1000,11,0)),"",IF(VLOOKUP(B771,'[1]Zebrik W'!$B$7:$M$1000,11,0)=0,"--",VLOOKUP(B771,'[1]Zebrik W'!$B$7:$M$1000,11,0)))</f>
        <v/>
      </c>
    </row>
    <row r="772" spans="2:14" x14ac:dyDescent="0.2">
      <c r="B772"/>
      <c r="C772"/>
      <c r="D772"/>
      <c r="E772"/>
      <c r="F772"/>
      <c r="G772"/>
      <c r="H772"/>
      <c r="J772"/>
      <c r="N772" t="str">
        <f>IF(ISERROR(VLOOKUP(B772,'[1]Zebrik W'!$B$7:$M$1000,11,0)),"",IF(VLOOKUP(B772,'[1]Zebrik W'!$B$7:$M$1000,11,0)=0,"--",VLOOKUP(B772,'[1]Zebrik W'!$B$7:$M$1000,11,0)))</f>
        <v/>
      </c>
    </row>
    <row r="773" spans="2:14" x14ac:dyDescent="0.2">
      <c r="B773"/>
      <c r="C773"/>
      <c r="D773"/>
      <c r="E773"/>
      <c r="F773"/>
      <c r="G773"/>
      <c r="H773"/>
      <c r="J773"/>
      <c r="N773" t="str">
        <f>IF(ISERROR(VLOOKUP(B773,'[1]Zebrik W'!$B$7:$M$1000,11,0)),"",IF(VLOOKUP(B773,'[1]Zebrik W'!$B$7:$M$1000,11,0)=0,"--",VLOOKUP(B773,'[1]Zebrik W'!$B$7:$M$1000,11,0)))</f>
        <v/>
      </c>
    </row>
    <row r="774" spans="2:14" x14ac:dyDescent="0.2">
      <c r="B774"/>
      <c r="C774"/>
      <c r="D774"/>
      <c r="E774"/>
      <c r="F774"/>
      <c r="G774"/>
      <c r="H774"/>
      <c r="J774"/>
      <c r="N774" t="str">
        <f>IF(ISERROR(VLOOKUP(B774,'[1]Zebrik W'!$B$7:$M$1000,11,0)),"",IF(VLOOKUP(B774,'[1]Zebrik W'!$B$7:$M$1000,11,0)=0,"--",VLOOKUP(B774,'[1]Zebrik W'!$B$7:$M$1000,11,0)))</f>
        <v/>
      </c>
    </row>
    <row r="775" spans="2:14" x14ac:dyDescent="0.2">
      <c r="B775"/>
      <c r="C775"/>
      <c r="D775"/>
      <c r="E775"/>
      <c r="F775"/>
      <c r="G775"/>
      <c r="H775"/>
      <c r="J775"/>
      <c r="N775" t="str">
        <f>IF(ISERROR(VLOOKUP(B775,'[1]Zebrik W'!$B$7:$M$1000,11,0)),"",IF(VLOOKUP(B775,'[1]Zebrik W'!$B$7:$M$1000,11,0)=0,"--",VLOOKUP(B775,'[1]Zebrik W'!$B$7:$M$1000,11,0)))</f>
        <v/>
      </c>
    </row>
    <row r="776" spans="2:14" x14ac:dyDescent="0.2">
      <c r="B776"/>
      <c r="C776"/>
      <c r="D776"/>
      <c r="E776"/>
      <c r="F776"/>
      <c r="G776"/>
      <c r="H776"/>
      <c r="J776"/>
      <c r="N776" t="str">
        <f>IF(ISERROR(VLOOKUP(B776,'[1]Zebrik W'!$B$7:$M$1000,11,0)),"",IF(VLOOKUP(B776,'[1]Zebrik W'!$B$7:$M$1000,11,0)=0,"--",VLOOKUP(B776,'[1]Zebrik W'!$B$7:$M$1000,11,0)))</f>
        <v/>
      </c>
    </row>
    <row r="777" spans="2:14" x14ac:dyDescent="0.2">
      <c r="B777"/>
      <c r="C777"/>
      <c r="D777"/>
      <c r="E777"/>
      <c r="F777"/>
      <c r="G777"/>
      <c r="H777"/>
      <c r="J777"/>
      <c r="N777" t="str">
        <f>IF(ISERROR(VLOOKUP(B777,'[1]Zebrik W'!$B$7:$M$1000,11,0)),"",IF(VLOOKUP(B777,'[1]Zebrik W'!$B$7:$M$1000,11,0)=0,"--",VLOOKUP(B777,'[1]Zebrik W'!$B$7:$M$1000,11,0)))</f>
        <v/>
      </c>
    </row>
    <row r="778" spans="2:14" x14ac:dyDescent="0.2">
      <c r="B778"/>
      <c r="C778"/>
      <c r="D778"/>
      <c r="E778"/>
      <c r="F778"/>
      <c r="G778"/>
      <c r="H778"/>
      <c r="J778"/>
      <c r="N778" t="str">
        <f>IF(ISERROR(VLOOKUP(B778,'[1]Zebrik W'!$B$7:$M$1000,11,0)),"",IF(VLOOKUP(B778,'[1]Zebrik W'!$B$7:$M$1000,11,0)=0,"--",VLOOKUP(B778,'[1]Zebrik W'!$B$7:$M$1000,11,0)))</f>
        <v/>
      </c>
    </row>
    <row r="779" spans="2:14" x14ac:dyDescent="0.2">
      <c r="B779"/>
      <c r="C779"/>
      <c r="D779"/>
      <c r="E779"/>
      <c r="F779"/>
      <c r="G779"/>
      <c r="H779"/>
      <c r="J779"/>
      <c r="N779" t="str">
        <f>IF(ISERROR(VLOOKUP(B779,'[1]Zebrik W'!$B$7:$M$1000,11,0)),"",IF(VLOOKUP(B779,'[1]Zebrik W'!$B$7:$M$1000,11,0)=0,"--",VLOOKUP(B779,'[1]Zebrik W'!$B$7:$M$1000,11,0)))</f>
        <v/>
      </c>
    </row>
    <row r="780" spans="2:14" x14ac:dyDescent="0.2">
      <c r="B780"/>
      <c r="C780"/>
      <c r="D780"/>
      <c r="E780"/>
      <c r="F780"/>
      <c r="G780"/>
      <c r="H780"/>
      <c r="J780"/>
      <c r="N780" t="str">
        <f>IF(ISERROR(VLOOKUP(B780,'[1]Zebrik W'!$B$7:$M$1000,11,0)),"",IF(VLOOKUP(B780,'[1]Zebrik W'!$B$7:$M$1000,11,0)=0,"--",VLOOKUP(B780,'[1]Zebrik W'!$B$7:$M$1000,11,0)))</f>
        <v/>
      </c>
    </row>
    <row r="781" spans="2:14" x14ac:dyDescent="0.2">
      <c r="B781"/>
      <c r="C781"/>
      <c r="D781"/>
      <c r="E781"/>
      <c r="F781"/>
      <c r="G781"/>
      <c r="H781"/>
      <c r="J781"/>
      <c r="N781" t="str">
        <f>IF(ISERROR(VLOOKUP(B781,'[1]Zebrik W'!$B$7:$M$1000,11,0)),"",IF(VLOOKUP(B781,'[1]Zebrik W'!$B$7:$M$1000,11,0)=0,"--",VLOOKUP(B781,'[1]Zebrik W'!$B$7:$M$1000,11,0)))</f>
        <v/>
      </c>
    </row>
    <row r="782" spans="2:14" x14ac:dyDescent="0.2">
      <c r="B782"/>
      <c r="C782"/>
      <c r="D782"/>
      <c r="E782"/>
      <c r="F782"/>
      <c r="G782"/>
      <c r="H782"/>
      <c r="J782"/>
      <c r="N782" t="str">
        <f>IF(ISERROR(VLOOKUP(B782,'[1]Zebrik W'!$B$7:$M$1000,11,0)),"",IF(VLOOKUP(B782,'[1]Zebrik W'!$B$7:$M$1000,11,0)=0,"--",VLOOKUP(B782,'[1]Zebrik W'!$B$7:$M$1000,11,0)))</f>
        <v/>
      </c>
    </row>
    <row r="783" spans="2:14" x14ac:dyDescent="0.2">
      <c r="B783"/>
      <c r="C783"/>
      <c r="D783"/>
      <c r="E783"/>
      <c r="F783"/>
      <c r="G783"/>
      <c r="H783"/>
      <c r="J783"/>
      <c r="N783" t="str">
        <f>IF(ISERROR(VLOOKUP(B783,'[1]Zebrik W'!$B$7:$M$1000,11,0)),"",IF(VLOOKUP(B783,'[1]Zebrik W'!$B$7:$M$1000,11,0)=0,"--",VLOOKUP(B783,'[1]Zebrik W'!$B$7:$M$1000,11,0)))</f>
        <v/>
      </c>
    </row>
    <row r="784" spans="2:14" x14ac:dyDescent="0.2">
      <c r="B784"/>
      <c r="C784"/>
      <c r="D784"/>
      <c r="E784"/>
      <c r="F784"/>
      <c r="G784"/>
      <c r="H784"/>
      <c r="J784"/>
      <c r="N784" t="str">
        <f>IF(ISERROR(VLOOKUP(B784,'[1]Zebrik W'!$B$7:$M$1000,11,0)),"",IF(VLOOKUP(B784,'[1]Zebrik W'!$B$7:$M$1000,11,0)=0,"--",VLOOKUP(B784,'[1]Zebrik W'!$B$7:$M$1000,11,0)))</f>
        <v/>
      </c>
    </row>
    <row r="785" spans="2:14" x14ac:dyDescent="0.2">
      <c r="B785"/>
      <c r="C785"/>
      <c r="D785"/>
      <c r="E785"/>
      <c r="F785"/>
      <c r="G785"/>
      <c r="H785"/>
      <c r="J785"/>
      <c r="N785" t="str">
        <f>IF(ISERROR(VLOOKUP(B785,'[1]Zebrik W'!$B$7:$M$1000,11,0)),"",IF(VLOOKUP(B785,'[1]Zebrik W'!$B$7:$M$1000,11,0)=0,"--",VLOOKUP(B785,'[1]Zebrik W'!$B$7:$M$1000,11,0)))</f>
        <v/>
      </c>
    </row>
    <row r="786" spans="2:14" x14ac:dyDescent="0.2">
      <c r="B786"/>
      <c r="C786"/>
      <c r="D786"/>
      <c r="E786"/>
      <c r="F786"/>
      <c r="G786"/>
      <c r="H786"/>
      <c r="J786"/>
      <c r="N786" t="str">
        <f>IF(ISERROR(VLOOKUP(B786,'[1]Zebrik W'!$B$7:$M$1000,11,0)),"",IF(VLOOKUP(B786,'[1]Zebrik W'!$B$7:$M$1000,11,0)=0,"--",VLOOKUP(B786,'[1]Zebrik W'!$B$7:$M$1000,11,0)))</f>
        <v/>
      </c>
    </row>
    <row r="787" spans="2:14" x14ac:dyDescent="0.2">
      <c r="B787"/>
      <c r="C787"/>
      <c r="D787"/>
      <c r="E787"/>
      <c r="F787"/>
      <c r="G787"/>
      <c r="H787"/>
      <c r="J787"/>
      <c r="N787" t="str">
        <f>IF(ISERROR(VLOOKUP(B787,'[1]Zebrik W'!$B$7:$M$1000,11,0)),"",IF(VLOOKUP(B787,'[1]Zebrik W'!$B$7:$M$1000,11,0)=0,"--",VLOOKUP(B787,'[1]Zebrik W'!$B$7:$M$1000,11,0)))</f>
        <v/>
      </c>
    </row>
    <row r="788" spans="2:14" x14ac:dyDescent="0.2">
      <c r="B788"/>
      <c r="C788"/>
      <c r="D788"/>
      <c r="E788"/>
      <c r="F788"/>
      <c r="G788"/>
      <c r="H788"/>
      <c r="J788"/>
      <c r="N788" t="str">
        <f>IF(ISERROR(VLOOKUP(B788,'[1]Zebrik W'!$B$7:$M$1000,11,0)),"",IF(VLOOKUP(B788,'[1]Zebrik W'!$B$7:$M$1000,11,0)=0,"--",VLOOKUP(B788,'[1]Zebrik W'!$B$7:$M$1000,11,0)))</f>
        <v/>
      </c>
    </row>
    <row r="789" spans="2:14" x14ac:dyDescent="0.2">
      <c r="B789"/>
      <c r="C789"/>
      <c r="D789"/>
      <c r="E789"/>
      <c r="F789"/>
      <c r="G789"/>
      <c r="H789"/>
      <c r="J789"/>
      <c r="N789" t="str">
        <f>IF(ISERROR(VLOOKUP(B789,'[1]Zebrik W'!$B$7:$M$1000,11,0)),"",IF(VLOOKUP(B789,'[1]Zebrik W'!$B$7:$M$1000,11,0)=0,"--",VLOOKUP(B789,'[1]Zebrik W'!$B$7:$M$1000,11,0)))</f>
        <v/>
      </c>
    </row>
    <row r="790" spans="2:14" x14ac:dyDescent="0.2">
      <c r="B790"/>
      <c r="C790"/>
      <c r="D790"/>
      <c r="E790"/>
      <c r="F790"/>
      <c r="G790"/>
      <c r="H790"/>
      <c r="J790"/>
      <c r="N790" t="str">
        <f>IF(ISERROR(VLOOKUP(B790,'[1]Zebrik W'!$B$7:$M$1000,11,0)),"",IF(VLOOKUP(B790,'[1]Zebrik W'!$B$7:$M$1000,11,0)=0,"--",VLOOKUP(B790,'[1]Zebrik W'!$B$7:$M$1000,11,0)))</f>
        <v/>
      </c>
    </row>
    <row r="791" spans="2:14" x14ac:dyDescent="0.2">
      <c r="B791"/>
      <c r="C791"/>
      <c r="D791"/>
      <c r="E791"/>
      <c r="F791"/>
      <c r="G791"/>
      <c r="H791"/>
      <c r="J791"/>
      <c r="N791" t="str">
        <f>IF(ISERROR(VLOOKUP(B791,'[1]Zebrik W'!$B$7:$M$1000,11,0)),"",IF(VLOOKUP(B791,'[1]Zebrik W'!$B$7:$M$1000,11,0)=0,"--",VLOOKUP(B791,'[1]Zebrik W'!$B$7:$M$1000,11,0)))</f>
        <v/>
      </c>
    </row>
    <row r="792" spans="2:14" x14ac:dyDescent="0.2">
      <c r="B792"/>
      <c r="C792"/>
      <c r="D792"/>
      <c r="E792"/>
      <c r="F792"/>
      <c r="G792"/>
      <c r="H792"/>
      <c r="J792"/>
      <c r="N792" t="str">
        <f>IF(ISERROR(VLOOKUP(B792,'[1]Zebrik W'!$B$7:$M$1000,11,0)),"",IF(VLOOKUP(B792,'[1]Zebrik W'!$B$7:$M$1000,11,0)=0,"--",VLOOKUP(B792,'[1]Zebrik W'!$B$7:$M$1000,11,0)))</f>
        <v/>
      </c>
    </row>
    <row r="793" spans="2:14" x14ac:dyDescent="0.2">
      <c r="B793"/>
      <c r="C793"/>
      <c r="D793"/>
      <c r="E793"/>
      <c r="F793"/>
      <c r="G793"/>
      <c r="H793"/>
      <c r="J793"/>
      <c r="N793" t="str">
        <f>IF(ISERROR(VLOOKUP(B793,'[1]Zebrik W'!$B$7:$M$1000,11,0)),"",IF(VLOOKUP(B793,'[1]Zebrik W'!$B$7:$M$1000,11,0)=0,"--",VLOOKUP(B793,'[1]Zebrik W'!$B$7:$M$1000,11,0)))</f>
        <v/>
      </c>
    </row>
    <row r="794" spans="2:14" x14ac:dyDescent="0.2">
      <c r="B794"/>
      <c r="C794"/>
      <c r="D794"/>
      <c r="E794"/>
      <c r="F794"/>
      <c r="G794"/>
      <c r="H794"/>
      <c r="J794"/>
      <c r="N794" t="str">
        <f>IF(ISERROR(VLOOKUP(B794,'[1]Zebrik W'!$B$7:$M$1000,11,0)),"",IF(VLOOKUP(B794,'[1]Zebrik W'!$B$7:$M$1000,11,0)=0,"--",VLOOKUP(B794,'[1]Zebrik W'!$B$7:$M$1000,11,0)))</f>
        <v/>
      </c>
    </row>
    <row r="795" spans="2:14" x14ac:dyDescent="0.2">
      <c r="B795"/>
      <c r="C795"/>
      <c r="D795"/>
      <c r="E795"/>
      <c r="F795"/>
      <c r="G795"/>
      <c r="H795"/>
      <c r="J795"/>
      <c r="N795" t="str">
        <f>IF(ISERROR(VLOOKUP(B795,'[1]Zebrik W'!$B$7:$M$1000,11,0)),"",IF(VLOOKUP(B795,'[1]Zebrik W'!$B$7:$M$1000,11,0)=0,"--",VLOOKUP(B795,'[1]Zebrik W'!$B$7:$M$1000,11,0)))</f>
        <v/>
      </c>
    </row>
    <row r="796" spans="2:14" x14ac:dyDescent="0.2">
      <c r="B796"/>
      <c r="C796"/>
      <c r="D796"/>
      <c r="E796"/>
      <c r="F796"/>
      <c r="G796"/>
      <c r="H796"/>
      <c r="J796"/>
      <c r="N796" t="str">
        <f>IF(ISERROR(VLOOKUP(B796,'[1]Zebrik W'!$B$7:$M$1000,11,0)),"",IF(VLOOKUP(B796,'[1]Zebrik W'!$B$7:$M$1000,11,0)=0,"--",VLOOKUP(B796,'[1]Zebrik W'!$B$7:$M$1000,11,0)))</f>
        <v/>
      </c>
    </row>
    <row r="797" spans="2:14" x14ac:dyDescent="0.2">
      <c r="B797"/>
      <c r="C797"/>
      <c r="D797"/>
      <c r="E797"/>
      <c r="F797"/>
      <c r="G797"/>
      <c r="H797"/>
      <c r="J797"/>
      <c r="N797" t="str">
        <f>IF(ISERROR(VLOOKUP(B797,'[1]Zebrik W'!$B$7:$M$1000,11,0)),"",IF(VLOOKUP(B797,'[1]Zebrik W'!$B$7:$M$1000,11,0)=0,"--",VLOOKUP(B797,'[1]Zebrik W'!$B$7:$M$1000,11,0)))</f>
        <v/>
      </c>
    </row>
    <row r="798" spans="2:14" x14ac:dyDescent="0.2">
      <c r="B798"/>
      <c r="C798"/>
      <c r="D798"/>
      <c r="E798"/>
      <c r="F798"/>
      <c r="G798"/>
      <c r="H798"/>
      <c r="J798"/>
      <c r="N798" t="str">
        <f>IF(ISERROR(VLOOKUP(B798,'[1]Zebrik W'!$B$7:$M$1000,11,0)),"",IF(VLOOKUP(B798,'[1]Zebrik W'!$B$7:$M$1000,11,0)=0,"--",VLOOKUP(B798,'[1]Zebrik W'!$B$7:$M$1000,11,0)))</f>
        <v/>
      </c>
    </row>
    <row r="799" spans="2:14" x14ac:dyDescent="0.2">
      <c r="B799"/>
      <c r="C799"/>
      <c r="D799"/>
      <c r="E799"/>
      <c r="F799"/>
      <c r="G799"/>
      <c r="H799"/>
      <c r="J799"/>
      <c r="N799" t="str">
        <f>IF(ISERROR(VLOOKUP(B799,'[1]Zebrik W'!$B$7:$M$1000,11,0)),"",IF(VLOOKUP(B799,'[1]Zebrik W'!$B$7:$M$1000,11,0)=0,"--",VLOOKUP(B799,'[1]Zebrik W'!$B$7:$M$1000,11,0)))</f>
        <v/>
      </c>
    </row>
    <row r="800" spans="2:14" x14ac:dyDescent="0.2">
      <c r="B800"/>
      <c r="C800"/>
      <c r="D800"/>
      <c r="E800"/>
      <c r="F800"/>
      <c r="G800"/>
      <c r="H800"/>
      <c r="J800"/>
      <c r="N800" t="str">
        <f>IF(ISERROR(VLOOKUP(B800,'[1]Zebrik W'!$B$7:$M$1000,11,0)),"",IF(VLOOKUP(B800,'[1]Zebrik W'!$B$7:$M$1000,11,0)=0,"--",VLOOKUP(B800,'[1]Zebrik W'!$B$7:$M$1000,11,0)))</f>
        <v/>
      </c>
    </row>
    <row r="801" spans="2:14" x14ac:dyDescent="0.2">
      <c r="B801"/>
      <c r="C801"/>
      <c r="D801"/>
      <c r="E801"/>
      <c r="F801"/>
      <c r="G801"/>
      <c r="H801"/>
      <c r="J801"/>
      <c r="N801" t="str">
        <f>IF(ISERROR(VLOOKUP(B801,'[1]Zebrik W'!$B$7:$M$1000,11,0)),"",IF(VLOOKUP(B801,'[1]Zebrik W'!$B$7:$M$1000,11,0)=0,"--",VLOOKUP(B801,'[1]Zebrik W'!$B$7:$M$1000,11,0)))</f>
        <v/>
      </c>
    </row>
    <row r="802" spans="2:14" x14ac:dyDescent="0.2">
      <c r="B802"/>
      <c r="C802"/>
      <c r="D802"/>
      <c r="E802"/>
      <c r="F802"/>
      <c r="G802"/>
      <c r="H802"/>
      <c r="J802"/>
      <c r="N802" t="str">
        <f>IF(ISERROR(VLOOKUP(B802,'[1]Zebrik W'!$B$7:$M$1000,11,0)),"",IF(VLOOKUP(B802,'[1]Zebrik W'!$B$7:$M$1000,11,0)=0,"--",VLOOKUP(B802,'[1]Zebrik W'!$B$7:$M$1000,11,0)))</f>
        <v/>
      </c>
    </row>
    <row r="803" spans="2:14" x14ac:dyDescent="0.2">
      <c r="B803"/>
      <c r="C803"/>
      <c r="D803"/>
      <c r="E803"/>
      <c r="F803"/>
      <c r="G803"/>
      <c r="H803"/>
      <c r="J803"/>
      <c r="N803" t="str">
        <f>IF(ISERROR(VLOOKUP(B803,'[1]Zebrik W'!$B$7:$M$1000,11,0)),"",IF(VLOOKUP(B803,'[1]Zebrik W'!$B$7:$M$1000,11,0)=0,"--",VLOOKUP(B803,'[1]Zebrik W'!$B$7:$M$1000,11,0)))</f>
        <v/>
      </c>
    </row>
    <row r="804" spans="2:14" x14ac:dyDescent="0.2">
      <c r="B804"/>
      <c r="C804"/>
      <c r="D804"/>
      <c r="E804"/>
      <c r="F804"/>
      <c r="G804"/>
      <c r="H804"/>
      <c r="J804"/>
      <c r="N804" t="str">
        <f>IF(ISERROR(VLOOKUP(B804,'[1]Zebrik W'!$B$7:$M$1000,11,0)),"",IF(VLOOKUP(B804,'[1]Zebrik W'!$B$7:$M$1000,11,0)=0,"--",VLOOKUP(B804,'[1]Zebrik W'!$B$7:$M$1000,11,0)))</f>
        <v/>
      </c>
    </row>
    <row r="805" spans="2:14" x14ac:dyDescent="0.2">
      <c r="B805"/>
      <c r="C805"/>
      <c r="D805"/>
      <c r="E805"/>
      <c r="F805"/>
      <c r="G805"/>
      <c r="H805"/>
      <c r="J805"/>
      <c r="N805" t="str">
        <f>IF(ISERROR(VLOOKUP(B805,'[1]Zebrik W'!$B$7:$M$1000,11,0)),"",IF(VLOOKUP(B805,'[1]Zebrik W'!$B$7:$M$1000,11,0)=0,"--",VLOOKUP(B805,'[1]Zebrik W'!$B$7:$M$1000,11,0)))</f>
        <v/>
      </c>
    </row>
    <row r="806" spans="2:14" x14ac:dyDescent="0.2">
      <c r="B806"/>
      <c r="C806"/>
      <c r="D806"/>
      <c r="E806"/>
      <c r="F806"/>
      <c r="G806"/>
      <c r="H806"/>
      <c r="J806"/>
      <c r="N806" t="str">
        <f>IF(ISERROR(VLOOKUP(B806,'[1]Zebrik W'!$B$7:$M$1000,11,0)),"",IF(VLOOKUP(B806,'[1]Zebrik W'!$B$7:$M$1000,11,0)=0,"--",VLOOKUP(B806,'[1]Zebrik W'!$B$7:$M$1000,11,0)))</f>
        <v/>
      </c>
    </row>
    <row r="807" spans="2:14" x14ac:dyDescent="0.2">
      <c r="B807"/>
      <c r="C807"/>
      <c r="D807"/>
      <c r="E807"/>
      <c r="F807"/>
      <c r="G807"/>
      <c r="H807"/>
      <c r="J807"/>
      <c r="N807" t="str">
        <f>IF(ISERROR(VLOOKUP(B807,'[1]Zebrik W'!$B$7:$M$1000,11,0)),"",IF(VLOOKUP(B807,'[1]Zebrik W'!$B$7:$M$1000,11,0)=0,"--",VLOOKUP(B807,'[1]Zebrik W'!$B$7:$M$1000,11,0)))</f>
        <v/>
      </c>
    </row>
    <row r="808" spans="2:14" x14ac:dyDescent="0.2">
      <c r="B808"/>
      <c r="C808"/>
      <c r="D808"/>
      <c r="E808"/>
      <c r="F808"/>
      <c r="G808"/>
      <c r="H808"/>
      <c r="J808"/>
      <c r="N808" t="str">
        <f>IF(ISERROR(VLOOKUP(B808,'[1]Zebrik W'!$B$7:$M$1000,11,0)),"",IF(VLOOKUP(B808,'[1]Zebrik W'!$B$7:$M$1000,11,0)=0,"--",VLOOKUP(B808,'[1]Zebrik W'!$B$7:$M$1000,11,0)))</f>
        <v/>
      </c>
    </row>
    <row r="809" spans="2:14" x14ac:dyDescent="0.2">
      <c r="B809"/>
      <c r="C809"/>
      <c r="D809"/>
      <c r="E809"/>
      <c r="F809"/>
      <c r="G809"/>
      <c r="H809"/>
      <c r="J809"/>
      <c r="N809" t="str">
        <f>IF(ISERROR(VLOOKUP(B809,'[1]Zebrik W'!$B$7:$M$1000,11,0)),"",IF(VLOOKUP(B809,'[1]Zebrik W'!$B$7:$M$1000,11,0)=0,"--",VLOOKUP(B809,'[1]Zebrik W'!$B$7:$M$1000,11,0)))</f>
        <v/>
      </c>
    </row>
    <row r="810" spans="2:14" x14ac:dyDescent="0.2">
      <c r="B810"/>
      <c r="C810"/>
      <c r="D810"/>
      <c r="E810"/>
      <c r="F810"/>
      <c r="G810"/>
      <c r="H810"/>
      <c r="J810"/>
      <c r="N810" t="str">
        <f>IF(ISERROR(VLOOKUP(B810,'[1]Zebrik W'!$B$7:$M$1000,11,0)),"",IF(VLOOKUP(B810,'[1]Zebrik W'!$B$7:$M$1000,11,0)=0,"--",VLOOKUP(B810,'[1]Zebrik W'!$B$7:$M$1000,11,0)))</f>
        <v/>
      </c>
    </row>
    <row r="811" spans="2:14" x14ac:dyDescent="0.2">
      <c r="B811"/>
      <c r="C811"/>
      <c r="D811"/>
      <c r="E811"/>
      <c r="F811"/>
      <c r="G811"/>
      <c r="H811"/>
      <c r="J811"/>
      <c r="N811" t="str">
        <f>IF(ISERROR(VLOOKUP(B811,'[1]Zebrik W'!$B$7:$M$1000,11,0)),"",IF(VLOOKUP(B811,'[1]Zebrik W'!$B$7:$M$1000,11,0)=0,"--",VLOOKUP(B811,'[1]Zebrik W'!$B$7:$M$1000,11,0)))</f>
        <v/>
      </c>
    </row>
    <row r="812" spans="2:14" x14ac:dyDescent="0.2">
      <c r="B812"/>
      <c r="C812"/>
      <c r="D812"/>
      <c r="E812"/>
      <c r="F812"/>
      <c r="G812"/>
      <c r="H812"/>
      <c r="J812"/>
      <c r="N812" t="str">
        <f>IF(ISERROR(VLOOKUP(B812,'[1]Zebrik W'!$B$7:$M$1000,11,0)),"",IF(VLOOKUP(B812,'[1]Zebrik W'!$B$7:$M$1000,11,0)=0,"--",VLOOKUP(B812,'[1]Zebrik W'!$B$7:$M$1000,11,0)))</f>
        <v/>
      </c>
    </row>
    <row r="813" spans="2:14" x14ac:dyDescent="0.2">
      <c r="B813"/>
      <c r="C813"/>
      <c r="D813"/>
      <c r="E813"/>
      <c r="F813"/>
      <c r="G813"/>
      <c r="H813"/>
      <c r="J813"/>
      <c r="N813" t="str">
        <f>IF(ISERROR(VLOOKUP(B813,'[1]Zebrik W'!$B$7:$M$1000,11,0)),"",IF(VLOOKUP(B813,'[1]Zebrik W'!$B$7:$M$1000,11,0)=0,"--",VLOOKUP(B813,'[1]Zebrik W'!$B$7:$M$1000,11,0)))</f>
        <v/>
      </c>
    </row>
    <row r="814" spans="2:14" x14ac:dyDescent="0.2">
      <c r="B814"/>
      <c r="C814"/>
      <c r="D814"/>
      <c r="E814"/>
      <c r="F814"/>
      <c r="G814"/>
      <c r="H814"/>
      <c r="J814"/>
      <c r="N814" t="str">
        <f>IF(ISERROR(VLOOKUP(B814,'[1]Zebrik W'!$B$7:$M$1000,11,0)),"",IF(VLOOKUP(B814,'[1]Zebrik W'!$B$7:$M$1000,11,0)=0,"--",VLOOKUP(B814,'[1]Zebrik W'!$B$7:$M$1000,11,0)))</f>
        <v/>
      </c>
    </row>
    <row r="815" spans="2:14" x14ac:dyDescent="0.2">
      <c r="B815"/>
      <c r="C815"/>
      <c r="D815"/>
      <c r="E815"/>
      <c r="F815"/>
      <c r="G815"/>
      <c r="H815"/>
      <c r="J815"/>
      <c r="N815" t="str">
        <f>IF(ISERROR(VLOOKUP(B815,'[1]Zebrik W'!$B$7:$M$1000,11,0)),"",IF(VLOOKUP(B815,'[1]Zebrik W'!$B$7:$M$1000,11,0)=0,"--",VLOOKUP(B815,'[1]Zebrik W'!$B$7:$M$1000,11,0)))</f>
        <v/>
      </c>
    </row>
    <row r="816" spans="2:14" x14ac:dyDescent="0.2">
      <c r="B816"/>
      <c r="C816"/>
      <c r="D816"/>
      <c r="E816"/>
      <c r="F816"/>
      <c r="G816"/>
      <c r="H816"/>
      <c r="J816"/>
      <c r="N816" t="str">
        <f>IF(ISERROR(VLOOKUP(B816,'[1]Zebrik W'!$B$7:$M$1000,11,0)),"",IF(VLOOKUP(B816,'[1]Zebrik W'!$B$7:$M$1000,11,0)=0,"--",VLOOKUP(B816,'[1]Zebrik W'!$B$7:$M$1000,11,0)))</f>
        <v/>
      </c>
    </row>
    <row r="817" spans="2:14" x14ac:dyDescent="0.2">
      <c r="B817"/>
      <c r="C817"/>
      <c r="D817"/>
      <c r="E817"/>
      <c r="F817"/>
      <c r="G817"/>
      <c r="H817"/>
      <c r="J817"/>
      <c r="N817" t="str">
        <f>IF(ISERROR(VLOOKUP(B817,'[1]Zebrik W'!$B$7:$M$1000,11,0)),"",IF(VLOOKUP(B817,'[1]Zebrik W'!$B$7:$M$1000,11,0)=0,"--",VLOOKUP(B817,'[1]Zebrik W'!$B$7:$M$1000,11,0)))</f>
        <v/>
      </c>
    </row>
    <row r="818" spans="2:14" x14ac:dyDescent="0.2">
      <c r="B818"/>
      <c r="C818"/>
      <c r="D818"/>
      <c r="E818"/>
      <c r="F818"/>
      <c r="G818"/>
      <c r="H818"/>
      <c r="J818"/>
      <c r="N818" t="str">
        <f>IF(ISERROR(VLOOKUP(B818,'[1]Zebrik W'!$B$7:$M$1000,11,0)),"",IF(VLOOKUP(B818,'[1]Zebrik W'!$B$7:$M$1000,11,0)=0,"--",VLOOKUP(B818,'[1]Zebrik W'!$B$7:$M$1000,11,0)))</f>
        <v/>
      </c>
    </row>
    <row r="819" spans="2:14" x14ac:dyDescent="0.2">
      <c r="B819"/>
      <c r="C819"/>
      <c r="D819"/>
      <c r="E819"/>
      <c r="F819"/>
      <c r="G819"/>
      <c r="H819"/>
      <c r="J819"/>
      <c r="N819" t="str">
        <f>IF(ISERROR(VLOOKUP(B819,'[1]Zebrik W'!$B$7:$M$1000,11,0)),"",IF(VLOOKUP(B819,'[1]Zebrik W'!$B$7:$M$1000,11,0)=0,"--",VLOOKUP(B819,'[1]Zebrik W'!$B$7:$M$1000,11,0)))</f>
        <v/>
      </c>
    </row>
    <row r="820" spans="2:14" x14ac:dyDescent="0.2">
      <c r="B820"/>
      <c r="C820"/>
      <c r="D820"/>
      <c r="E820"/>
      <c r="F820"/>
      <c r="G820"/>
      <c r="H820"/>
      <c r="J820"/>
      <c r="N820" t="str">
        <f>IF(ISERROR(VLOOKUP(B820,'[1]Zebrik W'!$B$7:$M$1000,11,0)),"",IF(VLOOKUP(B820,'[1]Zebrik W'!$B$7:$M$1000,11,0)=0,"--",VLOOKUP(B820,'[1]Zebrik W'!$B$7:$M$1000,11,0)))</f>
        <v/>
      </c>
    </row>
    <row r="821" spans="2:14" x14ac:dyDescent="0.2">
      <c r="B821"/>
      <c r="C821"/>
      <c r="D821"/>
      <c r="E821"/>
      <c r="F821"/>
      <c r="G821"/>
      <c r="H821"/>
      <c r="J821"/>
      <c r="N821" t="str">
        <f>IF(ISERROR(VLOOKUP(B821,'[1]Zebrik W'!$B$7:$M$1000,11,0)),"",IF(VLOOKUP(B821,'[1]Zebrik W'!$B$7:$M$1000,11,0)=0,"--",VLOOKUP(B821,'[1]Zebrik W'!$B$7:$M$1000,11,0)))</f>
        <v/>
      </c>
    </row>
    <row r="822" spans="2:14" x14ac:dyDescent="0.2">
      <c r="B822"/>
      <c r="C822"/>
      <c r="D822"/>
      <c r="E822"/>
      <c r="F822"/>
      <c r="G822"/>
      <c r="H822"/>
      <c r="J822"/>
      <c r="N822" t="str">
        <f>IF(ISERROR(VLOOKUP(B822,'[1]Zebrik W'!$B$7:$M$1000,11,0)),"",IF(VLOOKUP(B822,'[1]Zebrik W'!$B$7:$M$1000,11,0)=0,"--",VLOOKUP(B822,'[1]Zebrik W'!$B$7:$M$1000,11,0)))</f>
        <v/>
      </c>
    </row>
    <row r="823" spans="2:14" x14ac:dyDescent="0.2">
      <c r="B823"/>
      <c r="C823"/>
      <c r="D823"/>
      <c r="E823"/>
      <c r="F823"/>
      <c r="G823"/>
      <c r="H823"/>
      <c r="J823"/>
      <c r="N823" t="str">
        <f>IF(ISERROR(VLOOKUP(B823,'[1]Zebrik W'!$B$7:$M$1000,11,0)),"",IF(VLOOKUP(B823,'[1]Zebrik W'!$B$7:$M$1000,11,0)=0,"--",VLOOKUP(B823,'[1]Zebrik W'!$B$7:$M$1000,11,0)))</f>
        <v/>
      </c>
    </row>
    <row r="824" spans="2:14" x14ac:dyDescent="0.2">
      <c r="B824"/>
      <c r="C824"/>
      <c r="D824"/>
      <c r="E824"/>
      <c r="F824"/>
      <c r="G824"/>
      <c r="H824"/>
      <c r="J824"/>
      <c r="N824" t="str">
        <f>IF(ISERROR(VLOOKUP(B824,'[1]Zebrik W'!$B$7:$M$1000,11,0)),"",IF(VLOOKUP(B824,'[1]Zebrik W'!$B$7:$M$1000,11,0)=0,"--",VLOOKUP(B824,'[1]Zebrik W'!$B$7:$M$1000,11,0)))</f>
        <v/>
      </c>
    </row>
    <row r="825" spans="2:14" x14ac:dyDescent="0.2">
      <c r="B825"/>
      <c r="C825"/>
      <c r="D825"/>
      <c r="E825"/>
      <c r="F825"/>
      <c r="G825"/>
      <c r="H825"/>
      <c r="J825"/>
      <c r="N825" t="str">
        <f>IF(ISERROR(VLOOKUP(B825,'[1]Zebrik W'!$B$7:$M$1000,11,0)),"",IF(VLOOKUP(B825,'[1]Zebrik W'!$B$7:$M$1000,11,0)=0,"--",VLOOKUP(B825,'[1]Zebrik W'!$B$7:$M$1000,11,0)))</f>
        <v/>
      </c>
    </row>
    <row r="826" spans="2:14" x14ac:dyDescent="0.2">
      <c r="B826"/>
      <c r="C826"/>
      <c r="D826"/>
      <c r="E826"/>
      <c r="F826"/>
      <c r="G826"/>
      <c r="H826"/>
      <c r="J826"/>
      <c r="N826" t="str">
        <f>IF(ISERROR(VLOOKUP(B826,'[1]Zebrik W'!$B$7:$M$1000,11,0)),"",IF(VLOOKUP(B826,'[1]Zebrik W'!$B$7:$M$1000,11,0)=0,"--",VLOOKUP(B826,'[1]Zebrik W'!$B$7:$M$1000,11,0)))</f>
        <v/>
      </c>
    </row>
    <row r="827" spans="2:14" x14ac:dyDescent="0.2">
      <c r="B827"/>
      <c r="C827"/>
      <c r="D827"/>
      <c r="E827"/>
      <c r="F827"/>
      <c r="G827"/>
      <c r="H827"/>
      <c r="J827"/>
      <c r="N827" t="str">
        <f>IF(ISERROR(VLOOKUP(B827,'[1]Zebrik W'!$B$7:$M$1000,11,0)),"",IF(VLOOKUP(B827,'[1]Zebrik W'!$B$7:$M$1000,11,0)=0,"--",VLOOKUP(B827,'[1]Zebrik W'!$B$7:$M$1000,11,0)))</f>
        <v/>
      </c>
    </row>
    <row r="828" spans="2:14" x14ac:dyDescent="0.2">
      <c r="B828"/>
      <c r="C828"/>
      <c r="D828"/>
      <c r="E828"/>
      <c r="F828"/>
      <c r="G828"/>
      <c r="H828"/>
      <c r="J828"/>
      <c r="N828" t="str">
        <f>IF(ISERROR(VLOOKUP(B828,'[1]Zebrik W'!$B$7:$M$1000,11,0)),"",IF(VLOOKUP(B828,'[1]Zebrik W'!$B$7:$M$1000,11,0)=0,"--",VLOOKUP(B828,'[1]Zebrik W'!$B$7:$M$1000,11,0)))</f>
        <v/>
      </c>
    </row>
    <row r="829" spans="2:14" x14ac:dyDescent="0.2">
      <c r="B829"/>
      <c r="C829"/>
      <c r="D829"/>
      <c r="E829"/>
      <c r="F829"/>
      <c r="G829"/>
      <c r="H829"/>
      <c r="J829"/>
      <c r="N829" t="str">
        <f>IF(ISERROR(VLOOKUP(B829,'[1]Zebrik W'!$B$7:$M$1000,11,0)),"",IF(VLOOKUP(B829,'[1]Zebrik W'!$B$7:$M$1000,11,0)=0,"--",VLOOKUP(B829,'[1]Zebrik W'!$B$7:$M$1000,11,0)))</f>
        <v/>
      </c>
    </row>
    <row r="830" spans="2:14" x14ac:dyDescent="0.2">
      <c r="B830"/>
      <c r="C830"/>
      <c r="D830"/>
      <c r="E830"/>
      <c r="F830"/>
      <c r="G830"/>
      <c r="H830"/>
      <c r="J830"/>
      <c r="N830" t="str">
        <f>IF(ISERROR(VLOOKUP(B830,'[1]Zebrik W'!$B$7:$M$1000,11,0)),"",IF(VLOOKUP(B830,'[1]Zebrik W'!$B$7:$M$1000,11,0)=0,"--",VLOOKUP(B830,'[1]Zebrik W'!$B$7:$M$1000,11,0)))</f>
        <v/>
      </c>
    </row>
    <row r="831" spans="2:14" x14ac:dyDescent="0.2">
      <c r="B831"/>
      <c r="C831"/>
      <c r="D831"/>
      <c r="E831"/>
      <c r="F831"/>
      <c r="G831"/>
      <c r="H831"/>
      <c r="J831"/>
      <c r="N831" t="str">
        <f>IF(ISERROR(VLOOKUP(B831,'[1]Zebrik W'!$B$7:$M$1000,11,0)),"",IF(VLOOKUP(B831,'[1]Zebrik W'!$B$7:$M$1000,11,0)=0,"--",VLOOKUP(B831,'[1]Zebrik W'!$B$7:$M$1000,11,0)))</f>
        <v/>
      </c>
    </row>
    <row r="832" spans="2:14" x14ac:dyDescent="0.2">
      <c r="B832"/>
      <c r="C832"/>
      <c r="D832"/>
      <c r="E832"/>
      <c r="F832"/>
      <c r="G832"/>
      <c r="H832"/>
      <c r="J832"/>
      <c r="N832" t="str">
        <f>IF(ISERROR(VLOOKUP(B832,'[1]Zebrik W'!$B$7:$M$1000,11,0)),"",IF(VLOOKUP(B832,'[1]Zebrik W'!$B$7:$M$1000,11,0)=0,"--",VLOOKUP(B832,'[1]Zebrik W'!$B$7:$M$1000,11,0)))</f>
        <v/>
      </c>
    </row>
    <row r="833" spans="2:14" x14ac:dyDescent="0.2">
      <c r="B833"/>
      <c r="C833"/>
      <c r="D833"/>
      <c r="E833"/>
      <c r="F833"/>
      <c r="G833"/>
      <c r="H833"/>
      <c r="J833"/>
      <c r="N833" t="str">
        <f>IF(ISERROR(VLOOKUP(B833,'[1]Zebrik W'!$B$7:$M$1000,11,0)),"",IF(VLOOKUP(B833,'[1]Zebrik W'!$B$7:$M$1000,11,0)=0,"--",VLOOKUP(B833,'[1]Zebrik W'!$B$7:$M$1000,11,0)))</f>
        <v/>
      </c>
    </row>
    <row r="834" spans="2:14" x14ac:dyDescent="0.2">
      <c r="B834"/>
      <c r="C834"/>
      <c r="D834"/>
      <c r="E834"/>
      <c r="F834"/>
      <c r="G834"/>
      <c r="H834"/>
      <c r="J834"/>
      <c r="N834" t="str">
        <f>IF(ISERROR(VLOOKUP(B834,'[1]Zebrik W'!$B$7:$M$1000,11,0)),"",IF(VLOOKUP(B834,'[1]Zebrik W'!$B$7:$M$1000,11,0)=0,"--",VLOOKUP(B834,'[1]Zebrik W'!$B$7:$M$1000,11,0)))</f>
        <v/>
      </c>
    </row>
    <row r="835" spans="2:14" x14ac:dyDescent="0.2">
      <c r="B835"/>
      <c r="C835"/>
      <c r="D835"/>
      <c r="E835"/>
      <c r="F835"/>
      <c r="G835"/>
      <c r="H835"/>
      <c r="J835"/>
      <c r="N835" t="str">
        <f>IF(ISERROR(VLOOKUP(B835,'[1]Zebrik W'!$B$7:$M$1000,11,0)),"",IF(VLOOKUP(B835,'[1]Zebrik W'!$B$7:$M$1000,11,0)=0,"--",VLOOKUP(B835,'[1]Zebrik W'!$B$7:$M$1000,11,0)))</f>
        <v/>
      </c>
    </row>
    <row r="836" spans="2:14" x14ac:dyDescent="0.2">
      <c r="B836"/>
      <c r="C836"/>
      <c r="D836"/>
      <c r="E836"/>
      <c r="F836"/>
      <c r="G836"/>
      <c r="H836"/>
      <c r="J836"/>
      <c r="N836" t="str">
        <f>IF(ISERROR(VLOOKUP(B836,'[1]Zebrik W'!$B$7:$M$1000,11,0)),"",IF(VLOOKUP(B836,'[1]Zebrik W'!$B$7:$M$1000,11,0)=0,"--",VLOOKUP(B836,'[1]Zebrik W'!$B$7:$M$1000,11,0)))</f>
        <v/>
      </c>
    </row>
    <row r="837" spans="2:14" x14ac:dyDescent="0.2">
      <c r="B837"/>
      <c r="C837"/>
      <c r="D837"/>
      <c r="E837"/>
      <c r="F837"/>
      <c r="G837"/>
      <c r="H837"/>
      <c r="J837"/>
      <c r="N837" t="str">
        <f>IF(ISERROR(VLOOKUP(B837,'[1]Zebrik W'!$B$7:$M$1000,11,0)),"",IF(VLOOKUP(B837,'[1]Zebrik W'!$B$7:$M$1000,11,0)=0,"--",VLOOKUP(B837,'[1]Zebrik W'!$B$7:$M$1000,11,0)))</f>
        <v/>
      </c>
    </row>
    <row r="838" spans="2:14" x14ac:dyDescent="0.2">
      <c r="B838"/>
      <c r="C838"/>
      <c r="D838"/>
      <c r="E838"/>
      <c r="F838"/>
      <c r="G838"/>
      <c r="H838"/>
      <c r="J838"/>
      <c r="N838" t="str">
        <f>IF(ISERROR(VLOOKUP(B838,'[1]Zebrik W'!$B$7:$M$1000,11,0)),"",IF(VLOOKUP(B838,'[1]Zebrik W'!$B$7:$M$1000,11,0)=0,"--",VLOOKUP(B838,'[1]Zebrik W'!$B$7:$M$1000,11,0)))</f>
        <v/>
      </c>
    </row>
    <row r="839" spans="2:14" x14ac:dyDescent="0.2">
      <c r="B839"/>
      <c r="C839"/>
      <c r="D839"/>
      <c r="E839"/>
      <c r="F839"/>
      <c r="G839"/>
      <c r="H839"/>
      <c r="J839"/>
      <c r="N839" t="str">
        <f>IF(ISERROR(VLOOKUP(B839,'[1]Zebrik W'!$B$7:$M$1000,11,0)),"",IF(VLOOKUP(B839,'[1]Zebrik W'!$B$7:$M$1000,11,0)=0,"--",VLOOKUP(B839,'[1]Zebrik W'!$B$7:$M$1000,11,0)))</f>
        <v/>
      </c>
    </row>
    <row r="840" spans="2:14" x14ac:dyDescent="0.2">
      <c r="B840"/>
      <c r="C840"/>
      <c r="D840"/>
      <c r="E840"/>
      <c r="F840"/>
      <c r="G840"/>
      <c r="H840"/>
      <c r="J840"/>
      <c r="N840" t="str">
        <f>IF(ISERROR(VLOOKUP(B840,'[1]Zebrik W'!$B$7:$M$1000,11,0)),"",IF(VLOOKUP(B840,'[1]Zebrik W'!$B$7:$M$1000,11,0)=0,"--",VLOOKUP(B840,'[1]Zebrik W'!$B$7:$M$1000,11,0)))</f>
        <v/>
      </c>
    </row>
    <row r="841" spans="2:14" x14ac:dyDescent="0.2">
      <c r="B841"/>
      <c r="C841"/>
      <c r="D841"/>
      <c r="E841"/>
      <c r="F841"/>
      <c r="G841"/>
      <c r="H841"/>
      <c r="J841"/>
      <c r="N841" t="str">
        <f>IF(ISERROR(VLOOKUP(B841,'[1]Zebrik W'!$B$7:$M$1000,11,0)),"",IF(VLOOKUP(B841,'[1]Zebrik W'!$B$7:$M$1000,11,0)=0,"--",VLOOKUP(B841,'[1]Zebrik W'!$B$7:$M$1000,11,0)))</f>
        <v/>
      </c>
    </row>
    <row r="842" spans="2:14" x14ac:dyDescent="0.2">
      <c r="B842"/>
      <c r="C842"/>
      <c r="D842"/>
      <c r="E842"/>
      <c r="F842"/>
      <c r="G842"/>
      <c r="H842"/>
      <c r="J842"/>
      <c r="N842" t="str">
        <f>IF(ISERROR(VLOOKUP(B842,'[1]Zebrik W'!$B$7:$M$1000,11,0)),"",IF(VLOOKUP(B842,'[1]Zebrik W'!$B$7:$M$1000,11,0)=0,"--",VLOOKUP(B842,'[1]Zebrik W'!$B$7:$M$1000,11,0)))</f>
        <v/>
      </c>
    </row>
    <row r="843" spans="2:14" x14ac:dyDescent="0.2">
      <c r="B843"/>
      <c r="C843"/>
      <c r="D843"/>
      <c r="E843"/>
      <c r="F843"/>
      <c r="G843"/>
      <c r="H843"/>
      <c r="J843"/>
      <c r="N843" t="str">
        <f>IF(ISERROR(VLOOKUP(B843,'[1]Zebrik W'!$B$7:$M$1000,11,0)),"",IF(VLOOKUP(B843,'[1]Zebrik W'!$B$7:$M$1000,11,0)=0,"--",VLOOKUP(B843,'[1]Zebrik W'!$B$7:$M$1000,11,0)))</f>
        <v/>
      </c>
    </row>
    <row r="844" spans="2:14" x14ac:dyDescent="0.2">
      <c r="B844"/>
      <c r="C844"/>
      <c r="D844"/>
      <c r="E844"/>
      <c r="F844"/>
      <c r="G844"/>
      <c r="H844"/>
      <c r="J844"/>
      <c r="N844" t="str">
        <f>IF(ISERROR(VLOOKUP(B844,'[1]Zebrik W'!$B$7:$M$1000,11,0)),"",IF(VLOOKUP(B844,'[1]Zebrik W'!$B$7:$M$1000,11,0)=0,"--",VLOOKUP(B844,'[1]Zebrik W'!$B$7:$M$1000,11,0)))</f>
        <v/>
      </c>
    </row>
    <row r="845" spans="2:14" x14ac:dyDescent="0.2">
      <c r="B845"/>
      <c r="C845"/>
      <c r="D845"/>
      <c r="E845"/>
      <c r="F845"/>
      <c r="G845"/>
      <c r="H845"/>
      <c r="J845"/>
      <c r="N845" t="str">
        <f>IF(ISERROR(VLOOKUP(B845,'[1]Zebrik W'!$B$7:$M$1000,11,0)),"",IF(VLOOKUP(B845,'[1]Zebrik W'!$B$7:$M$1000,11,0)=0,"--",VLOOKUP(B845,'[1]Zebrik W'!$B$7:$M$1000,11,0)))</f>
        <v/>
      </c>
    </row>
    <row r="846" spans="2:14" x14ac:dyDescent="0.2">
      <c r="B846"/>
      <c r="C846"/>
      <c r="D846"/>
      <c r="E846"/>
      <c r="F846"/>
      <c r="G846"/>
      <c r="H846"/>
      <c r="J846"/>
      <c r="N846" t="str">
        <f>IF(ISERROR(VLOOKUP(B846,'[1]Zebrik W'!$B$7:$M$1000,11,0)),"",IF(VLOOKUP(B846,'[1]Zebrik W'!$B$7:$M$1000,11,0)=0,"--",VLOOKUP(B846,'[1]Zebrik W'!$B$7:$M$1000,11,0)))</f>
        <v/>
      </c>
    </row>
    <row r="847" spans="2:14" x14ac:dyDescent="0.2">
      <c r="B847"/>
      <c r="C847"/>
      <c r="D847"/>
      <c r="E847"/>
      <c r="F847"/>
      <c r="G847"/>
      <c r="H847"/>
      <c r="J847"/>
      <c r="N847" t="str">
        <f>IF(ISERROR(VLOOKUP(B847,'[1]Zebrik W'!$B$7:$M$1000,11,0)),"",IF(VLOOKUP(B847,'[1]Zebrik W'!$B$7:$M$1000,11,0)=0,"--",VLOOKUP(B847,'[1]Zebrik W'!$B$7:$M$1000,11,0)))</f>
        <v/>
      </c>
    </row>
    <row r="848" spans="2:14" x14ac:dyDescent="0.2">
      <c r="B848"/>
      <c r="C848"/>
      <c r="D848"/>
      <c r="E848"/>
      <c r="F848"/>
      <c r="G848"/>
      <c r="H848"/>
      <c r="J848"/>
      <c r="N848" t="str">
        <f>IF(ISERROR(VLOOKUP(B848,'[1]Zebrik W'!$B$7:$M$1000,11,0)),"",IF(VLOOKUP(B848,'[1]Zebrik W'!$B$7:$M$1000,11,0)=0,"--",VLOOKUP(B848,'[1]Zebrik W'!$B$7:$M$1000,11,0)))</f>
        <v/>
      </c>
    </row>
    <row r="849" spans="2:14" x14ac:dyDescent="0.2">
      <c r="B849"/>
      <c r="C849"/>
      <c r="D849"/>
      <c r="E849"/>
      <c r="F849"/>
      <c r="G849"/>
      <c r="H849"/>
      <c r="J849"/>
      <c r="N849" t="str">
        <f>IF(ISERROR(VLOOKUP(B849,'[1]Zebrik W'!$B$7:$M$1000,11,0)),"",IF(VLOOKUP(B849,'[1]Zebrik W'!$B$7:$M$1000,11,0)=0,"--",VLOOKUP(B849,'[1]Zebrik W'!$B$7:$M$1000,11,0)))</f>
        <v/>
      </c>
    </row>
    <row r="850" spans="2:14" x14ac:dyDescent="0.2">
      <c r="B850"/>
      <c r="C850"/>
      <c r="D850"/>
      <c r="E850"/>
      <c r="F850"/>
      <c r="G850"/>
      <c r="H850"/>
      <c r="J850"/>
      <c r="N850" t="str">
        <f>IF(ISERROR(VLOOKUP(B850,'[1]Zebrik W'!$B$7:$M$1000,11,0)),"",IF(VLOOKUP(B850,'[1]Zebrik W'!$B$7:$M$1000,11,0)=0,"--",VLOOKUP(B850,'[1]Zebrik W'!$B$7:$M$1000,11,0)))</f>
        <v/>
      </c>
    </row>
    <row r="851" spans="2:14" x14ac:dyDescent="0.2">
      <c r="B851"/>
      <c r="C851"/>
      <c r="D851"/>
      <c r="E851"/>
      <c r="F851"/>
      <c r="G851"/>
      <c r="H851"/>
      <c r="J851"/>
      <c r="N851" t="str">
        <f>IF(ISERROR(VLOOKUP(B851,'[1]Zebrik W'!$B$7:$M$1000,11,0)),"",IF(VLOOKUP(B851,'[1]Zebrik W'!$B$7:$M$1000,11,0)=0,"--",VLOOKUP(B851,'[1]Zebrik W'!$B$7:$M$1000,11,0)))</f>
        <v/>
      </c>
    </row>
    <row r="852" spans="2:14" x14ac:dyDescent="0.2">
      <c r="B852"/>
      <c r="C852"/>
      <c r="D852"/>
      <c r="E852"/>
      <c r="F852"/>
      <c r="G852"/>
      <c r="H852"/>
      <c r="J852"/>
      <c r="N852" t="str">
        <f>IF(ISERROR(VLOOKUP(B852,'[1]Zebrik W'!$B$7:$M$1000,11,0)),"",IF(VLOOKUP(B852,'[1]Zebrik W'!$B$7:$M$1000,11,0)=0,"--",VLOOKUP(B852,'[1]Zebrik W'!$B$7:$M$1000,11,0)))</f>
        <v/>
      </c>
    </row>
    <row r="853" spans="2:14" x14ac:dyDescent="0.2">
      <c r="B853"/>
      <c r="C853"/>
      <c r="D853"/>
      <c r="E853"/>
      <c r="F853"/>
      <c r="G853"/>
      <c r="H853"/>
      <c r="J853"/>
      <c r="N853" t="str">
        <f>IF(ISERROR(VLOOKUP(B853,'[1]Zebrik W'!$B$7:$M$1000,11,0)),"",IF(VLOOKUP(B853,'[1]Zebrik W'!$B$7:$M$1000,11,0)=0,"--",VLOOKUP(B853,'[1]Zebrik W'!$B$7:$M$1000,11,0)))</f>
        <v/>
      </c>
    </row>
    <row r="854" spans="2:14" x14ac:dyDescent="0.2">
      <c r="B854"/>
      <c r="C854"/>
      <c r="D854"/>
      <c r="E854"/>
      <c r="F854"/>
      <c r="G854"/>
      <c r="H854"/>
      <c r="J854"/>
      <c r="N854" t="str">
        <f>IF(ISERROR(VLOOKUP(B854,'[1]Zebrik W'!$B$7:$M$1000,11,0)),"",IF(VLOOKUP(B854,'[1]Zebrik W'!$B$7:$M$1000,11,0)=0,"--",VLOOKUP(B854,'[1]Zebrik W'!$B$7:$M$1000,11,0)))</f>
        <v/>
      </c>
    </row>
    <row r="855" spans="2:14" x14ac:dyDescent="0.2">
      <c r="B855"/>
      <c r="C855"/>
      <c r="D855"/>
      <c r="E855"/>
      <c r="F855"/>
      <c r="G855"/>
      <c r="H855"/>
      <c r="J855"/>
      <c r="N855" t="str">
        <f>IF(ISERROR(VLOOKUP(B855,'[1]Zebrik W'!$B$7:$M$1000,11,0)),"",IF(VLOOKUP(B855,'[1]Zebrik W'!$B$7:$M$1000,11,0)=0,"--",VLOOKUP(B855,'[1]Zebrik W'!$B$7:$M$1000,11,0)))</f>
        <v/>
      </c>
    </row>
    <row r="856" spans="2:14" x14ac:dyDescent="0.2">
      <c r="B856"/>
      <c r="C856"/>
      <c r="D856"/>
      <c r="E856"/>
      <c r="F856"/>
      <c r="G856"/>
      <c r="H856"/>
      <c r="J856"/>
      <c r="N856" t="str">
        <f>IF(ISERROR(VLOOKUP(B856,'[1]Zebrik W'!$B$7:$M$1000,11,0)),"",IF(VLOOKUP(B856,'[1]Zebrik W'!$B$7:$M$1000,11,0)=0,"--",VLOOKUP(B856,'[1]Zebrik W'!$B$7:$M$1000,11,0)))</f>
        <v/>
      </c>
    </row>
    <row r="857" spans="2:14" x14ac:dyDescent="0.2">
      <c r="B857"/>
      <c r="C857"/>
      <c r="D857"/>
      <c r="E857"/>
      <c r="F857"/>
      <c r="G857"/>
      <c r="H857"/>
      <c r="J857"/>
      <c r="N857" t="str">
        <f>IF(ISERROR(VLOOKUP(B857,'[1]Zebrik W'!$B$7:$M$1000,11,0)),"",IF(VLOOKUP(B857,'[1]Zebrik W'!$B$7:$M$1000,11,0)=0,"--",VLOOKUP(B857,'[1]Zebrik W'!$B$7:$M$1000,11,0)))</f>
        <v/>
      </c>
    </row>
    <row r="858" spans="2:14" x14ac:dyDescent="0.2">
      <c r="B858"/>
      <c r="C858"/>
      <c r="D858"/>
      <c r="E858"/>
      <c r="F858"/>
      <c r="G858"/>
      <c r="H858"/>
      <c r="J858"/>
      <c r="N858" t="str">
        <f>IF(ISERROR(VLOOKUP(B858,'[1]Zebrik W'!$B$7:$M$1000,11,0)),"",IF(VLOOKUP(B858,'[1]Zebrik W'!$B$7:$M$1000,11,0)=0,"--",VLOOKUP(B858,'[1]Zebrik W'!$B$7:$M$1000,11,0)))</f>
        <v/>
      </c>
    </row>
    <row r="859" spans="2:14" x14ac:dyDescent="0.2">
      <c r="B859"/>
      <c r="C859"/>
      <c r="D859"/>
      <c r="E859"/>
      <c r="F859"/>
      <c r="G859"/>
      <c r="H859"/>
      <c r="J859"/>
      <c r="N859" t="str">
        <f>IF(ISERROR(VLOOKUP(B859,'[1]Zebrik W'!$B$7:$M$1000,11,0)),"",IF(VLOOKUP(B859,'[1]Zebrik W'!$B$7:$M$1000,11,0)=0,"--",VLOOKUP(B859,'[1]Zebrik W'!$B$7:$M$1000,11,0)))</f>
        <v/>
      </c>
    </row>
    <row r="860" spans="2:14" x14ac:dyDescent="0.2">
      <c r="B860"/>
      <c r="C860"/>
      <c r="D860"/>
      <c r="E860"/>
      <c r="F860"/>
      <c r="G860"/>
      <c r="H860"/>
      <c r="J860"/>
      <c r="N860" t="str">
        <f>IF(ISERROR(VLOOKUP(B860,'[1]Zebrik W'!$B$7:$M$1000,11,0)),"",IF(VLOOKUP(B860,'[1]Zebrik W'!$B$7:$M$1000,11,0)=0,"--",VLOOKUP(B860,'[1]Zebrik W'!$B$7:$M$1000,11,0)))</f>
        <v/>
      </c>
    </row>
    <row r="861" spans="2:14" x14ac:dyDescent="0.2">
      <c r="B861"/>
      <c r="C861"/>
      <c r="D861"/>
      <c r="E861"/>
      <c r="F861"/>
      <c r="G861"/>
      <c r="H861"/>
      <c r="J861"/>
      <c r="N861" t="str">
        <f>IF(ISERROR(VLOOKUP(B861,'[1]Zebrik W'!$B$7:$M$1000,11,0)),"",IF(VLOOKUP(B861,'[1]Zebrik W'!$B$7:$M$1000,11,0)=0,"--",VLOOKUP(B861,'[1]Zebrik W'!$B$7:$M$1000,11,0)))</f>
        <v/>
      </c>
    </row>
    <row r="862" spans="2:14" x14ac:dyDescent="0.2">
      <c r="B862"/>
      <c r="C862"/>
      <c r="D862"/>
      <c r="E862"/>
      <c r="F862"/>
      <c r="G862"/>
      <c r="H862"/>
      <c r="J862"/>
      <c r="N862" t="str">
        <f>IF(ISERROR(VLOOKUP(B862,'[1]Zebrik W'!$B$7:$M$1000,11,0)),"",IF(VLOOKUP(B862,'[1]Zebrik W'!$B$7:$M$1000,11,0)=0,"--",VLOOKUP(B862,'[1]Zebrik W'!$B$7:$M$1000,11,0)))</f>
        <v/>
      </c>
    </row>
    <row r="863" spans="2:14" x14ac:dyDescent="0.2">
      <c r="B863"/>
      <c r="C863"/>
      <c r="D863"/>
      <c r="E863"/>
      <c r="F863"/>
      <c r="G863"/>
      <c r="H863"/>
      <c r="J863"/>
      <c r="N863" t="str">
        <f>IF(ISERROR(VLOOKUP(B863,'[1]Zebrik W'!$B$7:$M$1000,11,0)),"",IF(VLOOKUP(B863,'[1]Zebrik W'!$B$7:$M$1000,11,0)=0,"--",VLOOKUP(B863,'[1]Zebrik W'!$B$7:$M$1000,11,0)))</f>
        <v/>
      </c>
    </row>
    <row r="864" spans="2:14" x14ac:dyDescent="0.2">
      <c r="B864"/>
      <c r="C864"/>
      <c r="D864"/>
      <c r="E864"/>
      <c r="F864"/>
      <c r="G864"/>
      <c r="H864"/>
      <c r="J864"/>
      <c r="N864" t="str">
        <f>IF(ISERROR(VLOOKUP(B864,'[1]Zebrik W'!$B$7:$M$1000,11,0)),"",IF(VLOOKUP(B864,'[1]Zebrik W'!$B$7:$M$1000,11,0)=0,"--",VLOOKUP(B864,'[1]Zebrik W'!$B$7:$M$1000,11,0)))</f>
        <v/>
      </c>
    </row>
    <row r="865" spans="2:14" x14ac:dyDescent="0.2">
      <c r="B865"/>
      <c r="C865"/>
      <c r="D865"/>
      <c r="E865"/>
      <c r="F865"/>
      <c r="G865"/>
      <c r="H865"/>
      <c r="J865"/>
      <c r="N865" t="str">
        <f>IF(ISERROR(VLOOKUP(B865,'[1]Zebrik W'!$B$7:$M$1000,11,0)),"",IF(VLOOKUP(B865,'[1]Zebrik W'!$B$7:$M$1000,11,0)=0,"--",VLOOKUP(B865,'[1]Zebrik W'!$B$7:$M$1000,11,0)))</f>
        <v/>
      </c>
    </row>
    <row r="866" spans="2:14" x14ac:dyDescent="0.2">
      <c r="B866"/>
      <c r="C866"/>
      <c r="D866"/>
      <c r="E866"/>
      <c r="F866"/>
      <c r="G866"/>
      <c r="H866"/>
      <c r="J866"/>
      <c r="N866" t="str">
        <f>IF(ISERROR(VLOOKUP(B866,'[1]Zebrik W'!$B$7:$M$1000,11,0)),"",IF(VLOOKUP(B866,'[1]Zebrik W'!$B$7:$M$1000,11,0)=0,"--",VLOOKUP(B866,'[1]Zebrik W'!$B$7:$M$1000,11,0)))</f>
        <v/>
      </c>
    </row>
    <row r="867" spans="2:14" x14ac:dyDescent="0.2">
      <c r="B867"/>
      <c r="C867"/>
      <c r="D867"/>
      <c r="E867"/>
      <c r="F867"/>
      <c r="G867"/>
      <c r="H867"/>
      <c r="J867"/>
      <c r="N867" t="str">
        <f>IF(ISERROR(VLOOKUP(B867,'[1]Zebrik W'!$B$7:$M$1000,11,0)),"",IF(VLOOKUP(B867,'[1]Zebrik W'!$B$7:$M$1000,11,0)=0,"--",VLOOKUP(B867,'[1]Zebrik W'!$B$7:$M$1000,11,0)))</f>
        <v/>
      </c>
    </row>
    <row r="868" spans="2:14" x14ac:dyDescent="0.2">
      <c r="B868"/>
      <c r="C868"/>
      <c r="D868"/>
      <c r="E868"/>
      <c r="F868"/>
      <c r="G868"/>
      <c r="H868"/>
      <c r="J868"/>
      <c r="N868" t="str">
        <f>IF(ISERROR(VLOOKUP(B868,'[1]Zebrik W'!$B$7:$M$1000,11,0)),"",IF(VLOOKUP(B868,'[1]Zebrik W'!$B$7:$M$1000,11,0)=0,"--",VLOOKUP(B868,'[1]Zebrik W'!$B$7:$M$1000,11,0)))</f>
        <v/>
      </c>
    </row>
    <row r="869" spans="2:14" x14ac:dyDescent="0.2">
      <c r="B869"/>
      <c r="C869"/>
      <c r="D869"/>
      <c r="E869"/>
      <c r="F869"/>
      <c r="G869"/>
      <c r="H869"/>
      <c r="J869"/>
      <c r="N869" t="str">
        <f>IF(ISERROR(VLOOKUP(B869,'[1]Zebrik W'!$B$7:$M$1000,11,0)),"",IF(VLOOKUP(B869,'[1]Zebrik W'!$B$7:$M$1000,11,0)=0,"--",VLOOKUP(B869,'[1]Zebrik W'!$B$7:$M$1000,11,0)))</f>
        <v/>
      </c>
    </row>
    <row r="870" spans="2:14" x14ac:dyDescent="0.2">
      <c r="B870"/>
      <c r="C870"/>
      <c r="D870"/>
      <c r="E870"/>
      <c r="F870"/>
      <c r="G870"/>
      <c r="H870"/>
      <c r="J870"/>
      <c r="N870" t="str">
        <f>IF(ISERROR(VLOOKUP(B870,'[1]Zebrik W'!$B$7:$M$1000,11,0)),"",IF(VLOOKUP(B870,'[1]Zebrik W'!$B$7:$M$1000,11,0)=0,"--",VLOOKUP(B870,'[1]Zebrik W'!$B$7:$M$1000,11,0)))</f>
        <v/>
      </c>
    </row>
    <row r="871" spans="2:14" x14ac:dyDescent="0.2">
      <c r="B871"/>
      <c r="C871"/>
      <c r="D871"/>
      <c r="E871"/>
      <c r="F871"/>
      <c r="G871"/>
      <c r="H871"/>
      <c r="J871"/>
      <c r="N871" t="str">
        <f>IF(ISERROR(VLOOKUP(B871,'[1]Zebrik W'!$B$7:$M$1000,11,0)),"",IF(VLOOKUP(B871,'[1]Zebrik W'!$B$7:$M$1000,11,0)=0,"--",VLOOKUP(B871,'[1]Zebrik W'!$B$7:$M$1000,11,0)))</f>
        <v/>
      </c>
    </row>
    <row r="872" spans="2:14" x14ac:dyDescent="0.2">
      <c r="B872"/>
      <c r="C872"/>
      <c r="D872"/>
      <c r="E872"/>
      <c r="F872"/>
      <c r="G872"/>
      <c r="H872"/>
      <c r="J872"/>
      <c r="N872" t="str">
        <f>IF(ISERROR(VLOOKUP(B872,'[1]Zebrik W'!$B$7:$M$1000,11,0)),"",IF(VLOOKUP(B872,'[1]Zebrik W'!$B$7:$M$1000,11,0)=0,"--",VLOOKUP(B872,'[1]Zebrik W'!$B$7:$M$1000,11,0)))</f>
        <v/>
      </c>
    </row>
    <row r="873" spans="2:14" x14ac:dyDescent="0.2">
      <c r="B873"/>
      <c r="C873"/>
      <c r="D873"/>
      <c r="E873"/>
      <c r="F873"/>
      <c r="G873"/>
      <c r="H873"/>
      <c r="J873"/>
      <c r="N873" t="str">
        <f>IF(ISERROR(VLOOKUP(B873,'[1]Zebrik W'!$B$7:$M$1000,11,0)),"",IF(VLOOKUP(B873,'[1]Zebrik W'!$B$7:$M$1000,11,0)=0,"--",VLOOKUP(B873,'[1]Zebrik W'!$B$7:$M$1000,11,0)))</f>
        <v/>
      </c>
    </row>
    <row r="874" spans="2:14" x14ac:dyDescent="0.2">
      <c r="B874"/>
      <c r="C874"/>
      <c r="D874"/>
      <c r="E874"/>
      <c r="F874"/>
      <c r="G874"/>
      <c r="H874"/>
      <c r="J874"/>
      <c r="N874" t="str">
        <f>IF(ISERROR(VLOOKUP(B874,'[1]Zebrik W'!$B$7:$M$1000,11,0)),"",IF(VLOOKUP(B874,'[1]Zebrik W'!$B$7:$M$1000,11,0)=0,"--",VLOOKUP(B874,'[1]Zebrik W'!$B$7:$M$1000,11,0)))</f>
        <v/>
      </c>
    </row>
    <row r="875" spans="2:14" x14ac:dyDescent="0.2">
      <c r="B875"/>
      <c r="C875"/>
      <c r="D875"/>
      <c r="E875"/>
      <c r="F875"/>
      <c r="G875"/>
      <c r="H875"/>
      <c r="J875"/>
      <c r="N875" t="str">
        <f>IF(ISERROR(VLOOKUP(B875,'[1]Zebrik W'!$B$7:$M$1000,11,0)),"",IF(VLOOKUP(B875,'[1]Zebrik W'!$B$7:$M$1000,11,0)=0,"--",VLOOKUP(B875,'[1]Zebrik W'!$B$7:$M$1000,11,0)))</f>
        <v/>
      </c>
    </row>
    <row r="876" spans="2:14" x14ac:dyDescent="0.2">
      <c r="B876"/>
      <c r="C876"/>
      <c r="D876"/>
      <c r="E876"/>
      <c r="F876"/>
      <c r="G876"/>
      <c r="H876"/>
      <c r="J876"/>
      <c r="N876" t="str">
        <f>IF(ISERROR(VLOOKUP(B876,'[1]Zebrik W'!$B$7:$M$1000,11,0)),"",IF(VLOOKUP(B876,'[1]Zebrik W'!$B$7:$M$1000,11,0)=0,"--",VLOOKUP(B876,'[1]Zebrik W'!$B$7:$M$1000,11,0)))</f>
        <v/>
      </c>
    </row>
    <row r="877" spans="2:14" x14ac:dyDescent="0.2">
      <c r="B877"/>
      <c r="C877"/>
      <c r="D877"/>
      <c r="E877"/>
      <c r="F877"/>
      <c r="G877"/>
      <c r="H877"/>
      <c r="J877"/>
      <c r="N877" t="str">
        <f>IF(ISERROR(VLOOKUP(B877,'[1]Zebrik W'!$B$7:$M$1000,11,0)),"",IF(VLOOKUP(B877,'[1]Zebrik W'!$B$7:$M$1000,11,0)=0,"--",VLOOKUP(B877,'[1]Zebrik W'!$B$7:$M$1000,11,0)))</f>
        <v/>
      </c>
    </row>
    <row r="878" spans="2:14" x14ac:dyDescent="0.2">
      <c r="B878"/>
      <c r="C878"/>
      <c r="D878"/>
      <c r="E878"/>
      <c r="F878"/>
      <c r="G878"/>
      <c r="H878"/>
      <c r="J878"/>
      <c r="N878" t="str">
        <f>IF(ISERROR(VLOOKUP(B878,'[1]Zebrik W'!$B$7:$M$1000,11,0)),"",IF(VLOOKUP(B878,'[1]Zebrik W'!$B$7:$M$1000,11,0)=0,"--",VLOOKUP(B878,'[1]Zebrik W'!$B$7:$M$1000,11,0)))</f>
        <v/>
      </c>
    </row>
    <row r="879" spans="2:14" x14ac:dyDescent="0.2">
      <c r="B879"/>
      <c r="C879"/>
      <c r="D879"/>
      <c r="E879"/>
      <c r="F879"/>
      <c r="G879"/>
      <c r="H879"/>
      <c r="J879"/>
      <c r="N879" t="str">
        <f>IF(ISERROR(VLOOKUP(B879,'[1]Zebrik W'!$B$7:$M$1000,11,0)),"",IF(VLOOKUP(B879,'[1]Zebrik W'!$B$7:$M$1000,11,0)=0,"--",VLOOKUP(B879,'[1]Zebrik W'!$B$7:$M$1000,11,0)))</f>
        <v/>
      </c>
    </row>
    <row r="880" spans="2:14" x14ac:dyDescent="0.2">
      <c r="B880"/>
      <c r="C880"/>
      <c r="D880"/>
      <c r="E880"/>
      <c r="F880"/>
      <c r="G880"/>
      <c r="H880"/>
      <c r="J880"/>
      <c r="N880" t="str">
        <f>IF(ISERROR(VLOOKUP(B880,'[1]Zebrik W'!$B$7:$M$1000,11,0)),"",IF(VLOOKUP(B880,'[1]Zebrik W'!$B$7:$M$1000,11,0)=0,"--",VLOOKUP(B880,'[1]Zebrik W'!$B$7:$M$1000,11,0)))</f>
        <v/>
      </c>
    </row>
    <row r="881" spans="2:14" x14ac:dyDescent="0.2">
      <c r="B881"/>
      <c r="C881"/>
      <c r="D881"/>
      <c r="E881"/>
      <c r="F881"/>
      <c r="G881"/>
      <c r="H881"/>
      <c r="J881"/>
      <c r="N881" t="str">
        <f>IF(ISERROR(VLOOKUP(B881,'[1]Zebrik W'!$B$7:$M$1000,11,0)),"",IF(VLOOKUP(B881,'[1]Zebrik W'!$B$7:$M$1000,11,0)=0,"--",VLOOKUP(B881,'[1]Zebrik W'!$B$7:$M$1000,11,0)))</f>
        <v/>
      </c>
    </row>
    <row r="882" spans="2:14" x14ac:dyDescent="0.2">
      <c r="B882"/>
      <c r="C882"/>
      <c r="D882"/>
      <c r="E882"/>
      <c r="F882"/>
      <c r="G882"/>
      <c r="H882"/>
      <c r="J882"/>
      <c r="N882" t="str">
        <f>IF(ISERROR(VLOOKUP(B882,'[1]Zebrik W'!$B$7:$M$1000,11,0)),"",IF(VLOOKUP(B882,'[1]Zebrik W'!$B$7:$M$1000,11,0)=0,"--",VLOOKUP(B882,'[1]Zebrik W'!$B$7:$M$1000,11,0)))</f>
        <v/>
      </c>
    </row>
    <row r="883" spans="2:14" x14ac:dyDescent="0.2">
      <c r="B883"/>
      <c r="C883"/>
      <c r="D883"/>
      <c r="E883"/>
      <c r="F883"/>
      <c r="G883"/>
      <c r="H883"/>
      <c r="J883"/>
      <c r="N883" t="str">
        <f>IF(ISERROR(VLOOKUP(B883,'[1]Zebrik W'!$B$7:$M$1000,11,0)),"",IF(VLOOKUP(B883,'[1]Zebrik W'!$B$7:$M$1000,11,0)=0,"--",VLOOKUP(B883,'[1]Zebrik W'!$B$7:$M$1000,11,0)))</f>
        <v/>
      </c>
    </row>
    <row r="884" spans="2:14" x14ac:dyDescent="0.2">
      <c r="B884"/>
      <c r="C884"/>
      <c r="D884"/>
      <c r="E884"/>
      <c r="F884"/>
      <c r="G884"/>
      <c r="H884"/>
      <c r="J884"/>
      <c r="N884" t="str">
        <f>IF(ISERROR(VLOOKUP(B884,'[1]Zebrik W'!$B$7:$M$1000,11,0)),"",IF(VLOOKUP(B884,'[1]Zebrik W'!$B$7:$M$1000,11,0)=0,"--",VLOOKUP(B884,'[1]Zebrik W'!$B$7:$M$1000,11,0)))</f>
        <v/>
      </c>
    </row>
    <row r="885" spans="2:14" x14ac:dyDescent="0.2">
      <c r="B885"/>
      <c r="C885"/>
      <c r="D885"/>
      <c r="E885"/>
      <c r="F885"/>
      <c r="G885"/>
      <c r="H885"/>
      <c r="J885"/>
      <c r="N885" t="str">
        <f>IF(ISERROR(VLOOKUP(B885,'[1]Zebrik W'!$B$7:$M$1000,11,0)),"",IF(VLOOKUP(B885,'[1]Zebrik W'!$B$7:$M$1000,11,0)=0,"--",VLOOKUP(B885,'[1]Zebrik W'!$B$7:$M$1000,11,0)))</f>
        <v/>
      </c>
    </row>
    <row r="886" spans="2:14" x14ac:dyDescent="0.2">
      <c r="B886"/>
      <c r="C886"/>
      <c r="D886"/>
      <c r="E886"/>
      <c r="F886"/>
      <c r="G886"/>
      <c r="H886"/>
      <c r="J886"/>
      <c r="N886" t="str">
        <f>IF(ISERROR(VLOOKUP(B886,'[1]Zebrik W'!$B$7:$M$1000,11,0)),"",IF(VLOOKUP(B886,'[1]Zebrik W'!$B$7:$M$1000,11,0)=0,"--",VLOOKUP(B886,'[1]Zebrik W'!$B$7:$M$1000,11,0)))</f>
        <v/>
      </c>
    </row>
    <row r="887" spans="2:14" x14ac:dyDescent="0.2">
      <c r="B887"/>
      <c r="C887"/>
      <c r="D887"/>
      <c r="E887"/>
      <c r="F887"/>
      <c r="G887"/>
      <c r="H887"/>
      <c r="J887"/>
      <c r="N887" t="str">
        <f>IF(ISERROR(VLOOKUP(B887,'[1]Zebrik W'!$B$7:$M$1000,11,0)),"",IF(VLOOKUP(B887,'[1]Zebrik W'!$B$7:$M$1000,11,0)=0,"--",VLOOKUP(B887,'[1]Zebrik W'!$B$7:$M$1000,11,0)))</f>
        <v/>
      </c>
    </row>
    <row r="888" spans="2:14" x14ac:dyDescent="0.2">
      <c r="B888"/>
      <c r="C888"/>
      <c r="D888"/>
      <c r="E888"/>
      <c r="F888"/>
      <c r="G888"/>
      <c r="H888"/>
      <c r="J888"/>
      <c r="N888" t="str">
        <f>IF(ISERROR(VLOOKUP(B888,'[1]Zebrik W'!$B$7:$M$1000,11,0)),"",IF(VLOOKUP(B888,'[1]Zebrik W'!$B$7:$M$1000,11,0)=0,"--",VLOOKUP(B888,'[1]Zebrik W'!$B$7:$M$1000,11,0)))</f>
        <v/>
      </c>
    </row>
    <row r="889" spans="2:14" x14ac:dyDescent="0.2">
      <c r="B889"/>
      <c r="C889"/>
      <c r="D889"/>
      <c r="E889"/>
      <c r="F889"/>
      <c r="G889"/>
      <c r="H889"/>
      <c r="J889"/>
      <c r="N889" t="str">
        <f>IF(ISERROR(VLOOKUP(B889,'[1]Zebrik W'!$B$7:$M$1000,11,0)),"",IF(VLOOKUP(B889,'[1]Zebrik W'!$B$7:$M$1000,11,0)=0,"--",VLOOKUP(B889,'[1]Zebrik W'!$B$7:$M$1000,11,0)))</f>
        <v/>
      </c>
    </row>
    <row r="890" spans="2:14" x14ac:dyDescent="0.2">
      <c r="B890"/>
      <c r="C890"/>
      <c r="D890"/>
      <c r="E890"/>
      <c r="F890"/>
      <c r="G890"/>
      <c r="H890"/>
      <c r="J890"/>
      <c r="N890" t="str">
        <f>IF(ISERROR(VLOOKUP(B890,'[1]Zebrik W'!$B$7:$M$1000,11,0)),"",IF(VLOOKUP(B890,'[1]Zebrik W'!$B$7:$M$1000,11,0)=0,"--",VLOOKUP(B890,'[1]Zebrik W'!$B$7:$M$1000,11,0)))</f>
        <v/>
      </c>
    </row>
    <row r="891" spans="2:14" x14ac:dyDescent="0.2">
      <c r="B891"/>
      <c r="C891"/>
      <c r="D891"/>
      <c r="E891"/>
      <c r="F891"/>
      <c r="G891"/>
      <c r="H891"/>
      <c r="J891"/>
      <c r="N891" t="str">
        <f>IF(ISERROR(VLOOKUP(B891,'[1]Zebrik W'!$B$7:$M$1000,11,0)),"",IF(VLOOKUP(B891,'[1]Zebrik W'!$B$7:$M$1000,11,0)=0,"--",VLOOKUP(B891,'[1]Zebrik W'!$B$7:$M$1000,11,0)))</f>
        <v/>
      </c>
    </row>
    <row r="892" spans="2:14" x14ac:dyDescent="0.2">
      <c r="B892"/>
      <c r="C892"/>
      <c r="D892"/>
      <c r="E892"/>
      <c r="F892"/>
      <c r="G892"/>
      <c r="H892"/>
      <c r="J892"/>
      <c r="N892" t="str">
        <f>IF(ISERROR(VLOOKUP(B892,'[1]Zebrik W'!$B$7:$M$1000,11,0)),"",IF(VLOOKUP(B892,'[1]Zebrik W'!$B$7:$M$1000,11,0)=0,"--",VLOOKUP(B892,'[1]Zebrik W'!$B$7:$M$1000,11,0)))</f>
        <v/>
      </c>
    </row>
    <row r="893" spans="2:14" x14ac:dyDescent="0.2">
      <c r="B893"/>
      <c r="C893"/>
      <c r="D893"/>
      <c r="E893"/>
      <c r="F893"/>
      <c r="G893"/>
      <c r="H893"/>
      <c r="J893"/>
      <c r="N893" t="str">
        <f>IF(ISERROR(VLOOKUP(B893,'[1]Zebrik W'!$B$7:$M$1000,11,0)),"",IF(VLOOKUP(B893,'[1]Zebrik W'!$B$7:$M$1000,11,0)=0,"--",VLOOKUP(B893,'[1]Zebrik W'!$B$7:$M$1000,11,0)))</f>
        <v/>
      </c>
    </row>
    <row r="894" spans="2:14" x14ac:dyDescent="0.2">
      <c r="B894"/>
      <c r="C894"/>
      <c r="D894"/>
      <c r="E894"/>
      <c r="F894"/>
      <c r="G894"/>
      <c r="H894"/>
      <c r="J894"/>
      <c r="N894" t="str">
        <f>IF(ISERROR(VLOOKUP(B894,'[1]Zebrik W'!$B$7:$M$1000,11,0)),"",IF(VLOOKUP(B894,'[1]Zebrik W'!$B$7:$M$1000,11,0)=0,"--",VLOOKUP(B894,'[1]Zebrik W'!$B$7:$M$1000,11,0)))</f>
        <v/>
      </c>
    </row>
    <row r="895" spans="2:14" x14ac:dyDescent="0.2">
      <c r="B895"/>
      <c r="C895"/>
      <c r="D895"/>
      <c r="E895"/>
      <c r="F895"/>
      <c r="G895"/>
      <c r="H895"/>
      <c r="J895"/>
      <c r="N895" t="str">
        <f>IF(ISERROR(VLOOKUP(B895,'[1]Zebrik W'!$B$7:$M$1000,11,0)),"",IF(VLOOKUP(B895,'[1]Zebrik W'!$B$7:$M$1000,11,0)=0,"--",VLOOKUP(B895,'[1]Zebrik W'!$B$7:$M$1000,11,0)))</f>
        <v/>
      </c>
    </row>
    <row r="896" spans="2:14" x14ac:dyDescent="0.2">
      <c r="B896"/>
      <c r="C896"/>
      <c r="D896"/>
      <c r="E896"/>
      <c r="F896"/>
      <c r="G896"/>
      <c r="H896"/>
      <c r="J896"/>
      <c r="N896" t="str">
        <f>IF(ISERROR(VLOOKUP(B896,'[1]Zebrik W'!$B$7:$M$1000,11,0)),"",IF(VLOOKUP(B896,'[1]Zebrik W'!$B$7:$M$1000,11,0)=0,"--",VLOOKUP(B896,'[1]Zebrik W'!$B$7:$M$1000,11,0)))</f>
        <v/>
      </c>
    </row>
    <row r="897" spans="2:14" x14ac:dyDescent="0.2">
      <c r="B897"/>
      <c r="C897"/>
      <c r="D897"/>
      <c r="E897"/>
      <c r="F897"/>
      <c r="G897"/>
      <c r="H897"/>
      <c r="J897"/>
      <c r="N897" t="str">
        <f>IF(ISERROR(VLOOKUP(B897,'[1]Zebrik W'!$B$7:$M$1000,11,0)),"",IF(VLOOKUP(B897,'[1]Zebrik W'!$B$7:$M$1000,11,0)=0,"--",VLOOKUP(B897,'[1]Zebrik W'!$B$7:$M$1000,11,0)))</f>
        <v/>
      </c>
    </row>
    <row r="898" spans="2:14" x14ac:dyDescent="0.2">
      <c r="B898"/>
      <c r="C898"/>
      <c r="D898"/>
      <c r="E898"/>
      <c r="F898"/>
      <c r="G898"/>
      <c r="H898"/>
      <c r="J898"/>
      <c r="N898" t="str">
        <f>IF(ISERROR(VLOOKUP(B898,'[1]Zebrik W'!$B$7:$M$1000,11,0)),"",IF(VLOOKUP(B898,'[1]Zebrik W'!$B$7:$M$1000,11,0)=0,"--",VLOOKUP(B898,'[1]Zebrik W'!$B$7:$M$1000,11,0)))</f>
        <v/>
      </c>
    </row>
    <row r="899" spans="2:14" x14ac:dyDescent="0.2">
      <c r="B899"/>
      <c r="C899"/>
      <c r="D899"/>
      <c r="E899"/>
      <c r="F899"/>
      <c r="G899"/>
      <c r="H899"/>
      <c r="J899"/>
      <c r="N899" t="str">
        <f>IF(ISERROR(VLOOKUP(B899,'[1]Zebrik W'!$B$7:$M$1000,11,0)),"",IF(VLOOKUP(B899,'[1]Zebrik W'!$B$7:$M$1000,11,0)=0,"--",VLOOKUP(B899,'[1]Zebrik W'!$B$7:$M$1000,11,0)))</f>
        <v/>
      </c>
    </row>
    <row r="900" spans="2:14" x14ac:dyDescent="0.2">
      <c r="B900"/>
      <c r="C900"/>
      <c r="D900"/>
      <c r="E900"/>
      <c r="F900"/>
      <c r="G900"/>
      <c r="H900"/>
      <c r="J900"/>
      <c r="N900" t="str">
        <f>IF(ISERROR(VLOOKUP(B900,'[1]Zebrik W'!$B$7:$M$1000,11,0)),"",IF(VLOOKUP(B900,'[1]Zebrik W'!$B$7:$M$1000,11,0)=0,"--",VLOOKUP(B900,'[1]Zebrik W'!$B$7:$M$1000,11,0)))</f>
        <v/>
      </c>
    </row>
    <row r="901" spans="2:14" x14ac:dyDescent="0.2">
      <c r="B901"/>
      <c r="C901"/>
      <c r="D901"/>
      <c r="E901"/>
      <c r="F901"/>
      <c r="G901"/>
      <c r="H901"/>
      <c r="J901"/>
      <c r="N901" t="str">
        <f>IF(ISERROR(VLOOKUP(B901,'[1]Zebrik W'!$B$7:$M$1000,11,0)),"",IF(VLOOKUP(B901,'[1]Zebrik W'!$B$7:$M$1000,11,0)=0,"--",VLOOKUP(B901,'[1]Zebrik W'!$B$7:$M$1000,11,0)))</f>
        <v/>
      </c>
    </row>
    <row r="902" spans="2:14" x14ac:dyDescent="0.2">
      <c r="B902"/>
      <c r="C902"/>
      <c r="D902"/>
      <c r="E902"/>
      <c r="F902"/>
      <c r="G902"/>
      <c r="H902"/>
      <c r="J902"/>
      <c r="N902" t="str">
        <f>IF(ISERROR(VLOOKUP(B902,'[1]Zebrik W'!$B$7:$M$1000,11,0)),"",IF(VLOOKUP(B902,'[1]Zebrik W'!$B$7:$M$1000,11,0)=0,"--",VLOOKUP(B902,'[1]Zebrik W'!$B$7:$M$1000,11,0)))</f>
        <v/>
      </c>
    </row>
    <row r="903" spans="2:14" x14ac:dyDescent="0.2">
      <c r="B903"/>
      <c r="C903"/>
      <c r="D903"/>
      <c r="E903"/>
      <c r="F903"/>
      <c r="G903"/>
      <c r="H903"/>
      <c r="J903"/>
      <c r="N903" t="str">
        <f>IF(ISERROR(VLOOKUP(B903,'[1]Zebrik W'!$B$7:$M$1000,11,0)),"",IF(VLOOKUP(B903,'[1]Zebrik W'!$B$7:$M$1000,11,0)=0,"--",VLOOKUP(B903,'[1]Zebrik W'!$B$7:$M$1000,11,0)))</f>
        <v/>
      </c>
    </row>
    <row r="904" spans="2:14" x14ac:dyDescent="0.2">
      <c r="B904"/>
      <c r="C904"/>
      <c r="D904"/>
      <c r="E904"/>
      <c r="F904"/>
      <c r="G904"/>
      <c r="H904"/>
      <c r="J904"/>
      <c r="N904" t="str">
        <f>IF(ISERROR(VLOOKUP(B904,'[1]Zebrik W'!$B$7:$M$1000,11,0)),"",IF(VLOOKUP(B904,'[1]Zebrik W'!$B$7:$M$1000,11,0)=0,"--",VLOOKUP(B904,'[1]Zebrik W'!$B$7:$M$1000,11,0)))</f>
        <v/>
      </c>
    </row>
    <row r="905" spans="2:14" x14ac:dyDescent="0.2">
      <c r="B905"/>
      <c r="C905"/>
      <c r="D905"/>
      <c r="E905"/>
      <c r="F905"/>
      <c r="G905"/>
      <c r="H905"/>
      <c r="J905"/>
      <c r="N905" t="str">
        <f>IF(ISERROR(VLOOKUP(B905,'[1]Zebrik W'!$B$7:$M$1000,11,0)),"",IF(VLOOKUP(B905,'[1]Zebrik W'!$B$7:$M$1000,11,0)=0,"--",VLOOKUP(B905,'[1]Zebrik W'!$B$7:$M$1000,11,0)))</f>
        <v/>
      </c>
    </row>
    <row r="906" spans="2:14" x14ac:dyDescent="0.2">
      <c r="B906"/>
      <c r="C906"/>
      <c r="D906"/>
      <c r="E906"/>
      <c r="F906"/>
      <c r="G906"/>
      <c r="H906"/>
      <c r="J906"/>
      <c r="N906" t="str">
        <f>IF(ISERROR(VLOOKUP(B906,'[1]Zebrik W'!$B$7:$M$1000,11,0)),"",IF(VLOOKUP(B906,'[1]Zebrik W'!$B$7:$M$1000,11,0)=0,"--",VLOOKUP(B906,'[1]Zebrik W'!$B$7:$M$1000,11,0)))</f>
        <v/>
      </c>
    </row>
    <row r="907" spans="2:14" x14ac:dyDescent="0.2">
      <c r="B907"/>
      <c r="C907"/>
      <c r="D907"/>
      <c r="E907"/>
      <c r="F907"/>
      <c r="G907"/>
      <c r="H907"/>
      <c r="J907"/>
      <c r="N907" t="str">
        <f>IF(ISERROR(VLOOKUP(B907,'[1]Zebrik W'!$B$7:$M$1000,11,0)),"",IF(VLOOKUP(B907,'[1]Zebrik W'!$B$7:$M$1000,11,0)=0,"--",VLOOKUP(B907,'[1]Zebrik W'!$B$7:$M$1000,11,0)))</f>
        <v/>
      </c>
    </row>
    <row r="908" spans="2:14" x14ac:dyDescent="0.2">
      <c r="B908"/>
      <c r="C908"/>
      <c r="D908"/>
      <c r="E908"/>
      <c r="F908"/>
      <c r="G908"/>
      <c r="H908"/>
      <c r="J908"/>
      <c r="N908" t="str">
        <f>IF(ISERROR(VLOOKUP(B908,'[1]Zebrik W'!$B$7:$M$1000,11,0)),"",IF(VLOOKUP(B908,'[1]Zebrik W'!$B$7:$M$1000,11,0)=0,"--",VLOOKUP(B908,'[1]Zebrik W'!$B$7:$M$1000,11,0)))</f>
        <v/>
      </c>
    </row>
    <row r="909" spans="2:14" x14ac:dyDescent="0.2">
      <c r="B909"/>
      <c r="C909"/>
      <c r="D909"/>
      <c r="E909"/>
      <c r="F909"/>
      <c r="G909"/>
      <c r="H909"/>
      <c r="J909"/>
      <c r="N909" t="str">
        <f>IF(ISERROR(VLOOKUP(B909,'[1]Zebrik W'!$B$7:$M$1000,11,0)),"",IF(VLOOKUP(B909,'[1]Zebrik W'!$B$7:$M$1000,11,0)=0,"--",VLOOKUP(B909,'[1]Zebrik W'!$B$7:$M$1000,11,0)))</f>
        <v/>
      </c>
    </row>
    <row r="910" spans="2:14" x14ac:dyDescent="0.2">
      <c r="B910"/>
      <c r="C910"/>
      <c r="D910"/>
      <c r="E910"/>
      <c r="F910"/>
      <c r="G910"/>
      <c r="H910"/>
      <c r="J910"/>
      <c r="N910" t="str">
        <f>IF(ISERROR(VLOOKUP(B910,'[1]Zebrik W'!$B$7:$M$1000,11,0)),"",IF(VLOOKUP(B910,'[1]Zebrik W'!$B$7:$M$1000,11,0)=0,"--",VLOOKUP(B910,'[1]Zebrik W'!$B$7:$M$1000,11,0)))</f>
        <v/>
      </c>
    </row>
    <row r="911" spans="2:14" x14ac:dyDescent="0.2">
      <c r="B911"/>
      <c r="C911"/>
      <c r="D911"/>
      <c r="E911"/>
      <c r="F911"/>
      <c r="G911"/>
      <c r="H911"/>
      <c r="J911"/>
      <c r="N911" t="str">
        <f>IF(ISERROR(VLOOKUP(B911,'[1]Zebrik W'!$B$7:$M$1000,11,0)),"",IF(VLOOKUP(B911,'[1]Zebrik W'!$B$7:$M$1000,11,0)=0,"--",VLOOKUP(B911,'[1]Zebrik W'!$B$7:$M$1000,11,0)))</f>
        <v/>
      </c>
    </row>
    <row r="912" spans="2:14" x14ac:dyDescent="0.2">
      <c r="B912"/>
      <c r="C912"/>
      <c r="D912"/>
      <c r="E912"/>
      <c r="F912"/>
      <c r="G912"/>
      <c r="H912"/>
      <c r="J912"/>
      <c r="N912" t="str">
        <f>IF(ISERROR(VLOOKUP(B912,'[1]Zebrik W'!$B$7:$M$1000,11,0)),"",IF(VLOOKUP(B912,'[1]Zebrik W'!$B$7:$M$1000,11,0)=0,"--",VLOOKUP(B912,'[1]Zebrik W'!$B$7:$M$1000,11,0)))</f>
        <v/>
      </c>
    </row>
    <row r="913" spans="2:14" x14ac:dyDescent="0.2">
      <c r="B913"/>
      <c r="C913"/>
      <c r="D913"/>
      <c r="E913"/>
      <c r="F913"/>
      <c r="G913"/>
      <c r="H913"/>
      <c r="J913"/>
      <c r="N913" t="str">
        <f>IF(ISERROR(VLOOKUP(B913,'[1]Zebrik W'!$B$7:$M$1000,11,0)),"",IF(VLOOKUP(B913,'[1]Zebrik W'!$B$7:$M$1000,11,0)=0,"--",VLOOKUP(B913,'[1]Zebrik W'!$B$7:$M$1000,11,0)))</f>
        <v/>
      </c>
    </row>
    <row r="914" spans="2:14" x14ac:dyDescent="0.2">
      <c r="B914"/>
      <c r="C914"/>
      <c r="D914"/>
      <c r="E914"/>
      <c r="F914"/>
      <c r="G914"/>
      <c r="H914"/>
      <c r="J914"/>
      <c r="N914" t="str">
        <f>IF(ISERROR(VLOOKUP(B914,'[1]Zebrik W'!$B$7:$M$1000,11,0)),"",IF(VLOOKUP(B914,'[1]Zebrik W'!$B$7:$M$1000,11,0)=0,"--",VLOOKUP(B914,'[1]Zebrik W'!$B$7:$M$1000,11,0)))</f>
        <v/>
      </c>
    </row>
    <row r="915" spans="2:14" x14ac:dyDescent="0.2">
      <c r="B915"/>
      <c r="C915"/>
      <c r="D915"/>
      <c r="E915"/>
      <c r="F915"/>
      <c r="G915"/>
      <c r="H915"/>
      <c r="J915"/>
      <c r="N915" t="str">
        <f>IF(ISERROR(VLOOKUP(B915,'[1]Zebrik W'!$B$7:$M$1000,11,0)),"",IF(VLOOKUP(B915,'[1]Zebrik W'!$B$7:$M$1000,11,0)=0,"--",VLOOKUP(B915,'[1]Zebrik W'!$B$7:$M$1000,11,0)))</f>
        <v/>
      </c>
    </row>
    <row r="916" spans="2:14" x14ac:dyDescent="0.2">
      <c r="B916"/>
      <c r="C916"/>
      <c r="D916"/>
      <c r="E916"/>
      <c r="F916"/>
      <c r="G916"/>
      <c r="H916"/>
      <c r="J916"/>
      <c r="N916" t="str">
        <f>IF(ISERROR(VLOOKUP(B916,'[1]Zebrik W'!$B$7:$M$1000,11,0)),"",IF(VLOOKUP(B916,'[1]Zebrik W'!$B$7:$M$1000,11,0)=0,"--",VLOOKUP(B916,'[1]Zebrik W'!$B$7:$M$1000,11,0)))</f>
        <v/>
      </c>
    </row>
    <row r="917" spans="2:14" x14ac:dyDescent="0.2">
      <c r="B917"/>
      <c r="C917"/>
      <c r="D917"/>
      <c r="E917"/>
      <c r="F917"/>
      <c r="G917"/>
      <c r="H917"/>
      <c r="J917"/>
      <c r="N917" t="str">
        <f>IF(ISERROR(VLOOKUP(B917,'[1]Zebrik W'!$B$7:$M$1000,11,0)),"",IF(VLOOKUP(B917,'[1]Zebrik W'!$B$7:$M$1000,11,0)=0,"--",VLOOKUP(B917,'[1]Zebrik W'!$B$7:$M$1000,11,0)))</f>
        <v/>
      </c>
    </row>
    <row r="918" spans="2:14" x14ac:dyDescent="0.2">
      <c r="B918"/>
      <c r="C918"/>
      <c r="D918"/>
      <c r="E918"/>
      <c r="F918"/>
      <c r="G918"/>
      <c r="H918"/>
      <c r="J918"/>
      <c r="N918" t="str">
        <f>IF(ISERROR(VLOOKUP(B918,'[1]Zebrik W'!$B$7:$M$1000,11,0)),"",IF(VLOOKUP(B918,'[1]Zebrik W'!$B$7:$M$1000,11,0)=0,"--",VLOOKUP(B918,'[1]Zebrik W'!$B$7:$M$1000,11,0)))</f>
        <v/>
      </c>
    </row>
    <row r="919" spans="2:14" x14ac:dyDescent="0.2">
      <c r="B919"/>
      <c r="C919"/>
      <c r="D919"/>
      <c r="E919"/>
      <c r="F919"/>
      <c r="G919"/>
      <c r="H919"/>
      <c r="J919"/>
      <c r="N919" t="str">
        <f>IF(ISERROR(VLOOKUP(B919,'[1]Zebrik W'!$B$7:$M$1000,11,0)),"",IF(VLOOKUP(B919,'[1]Zebrik W'!$B$7:$M$1000,11,0)=0,"--",VLOOKUP(B919,'[1]Zebrik W'!$B$7:$M$1000,11,0)))</f>
        <v/>
      </c>
    </row>
    <row r="920" spans="2:14" x14ac:dyDescent="0.2">
      <c r="B920"/>
      <c r="C920"/>
      <c r="D920"/>
      <c r="E920"/>
      <c r="F920"/>
      <c r="G920"/>
      <c r="H920"/>
      <c r="J920"/>
      <c r="N920" t="str">
        <f>IF(ISERROR(VLOOKUP(B920,'[1]Zebrik W'!$B$7:$M$1000,11,0)),"",IF(VLOOKUP(B920,'[1]Zebrik W'!$B$7:$M$1000,11,0)=0,"--",VLOOKUP(B920,'[1]Zebrik W'!$B$7:$M$1000,11,0)))</f>
        <v/>
      </c>
    </row>
    <row r="921" spans="2:14" x14ac:dyDescent="0.2">
      <c r="B921"/>
      <c r="C921"/>
      <c r="D921"/>
      <c r="E921"/>
      <c r="F921"/>
      <c r="G921"/>
      <c r="H921"/>
      <c r="J921"/>
      <c r="N921" t="str">
        <f>IF(ISERROR(VLOOKUP(B921,'[1]Zebrik W'!$B$7:$M$1000,11,0)),"",IF(VLOOKUP(B921,'[1]Zebrik W'!$B$7:$M$1000,11,0)=0,"--",VLOOKUP(B921,'[1]Zebrik W'!$B$7:$M$1000,11,0)))</f>
        <v/>
      </c>
    </row>
    <row r="922" spans="2:14" x14ac:dyDescent="0.2">
      <c r="B922"/>
      <c r="C922"/>
      <c r="D922"/>
      <c r="E922"/>
      <c r="F922"/>
      <c r="G922"/>
      <c r="H922"/>
      <c r="J922"/>
      <c r="N922" t="str">
        <f>IF(ISERROR(VLOOKUP(B922,'[1]Zebrik W'!$B$7:$M$1000,11,0)),"",IF(VLOOKUP(B922,'[1]Zebrik W'!$B$7:$M$1000,11,0)=0,"--",VLOOKUP(B922,'[1]Zebrik W'!$B$7:$M$1000,11,0)))</f>
        <v/>
      </c>
    </row>
    <row r="923" spans="2:14" x14ac:dyDescent="0.2">
      <c r="B923"/>
      <c r="C923"/>
      <c r="D923"/>
      <c r="E923"/>
      <c r="F923"/>
      <c r="G923"/>
      <c r="H923"/>
      <c r="J923"/>
      <c r="N923" t="str">
        <f>IF(ISERROR(VLOOKUP(B923,'[1]Zebrik W'!$B$7:$M$1000,11,0)),"",IF(VLOOKUP(B923,'[1]Zebrik W'!$B$7:$M$1000,11,0)=0,"--",VLOOKUP(B923,'[1]Zebrik W'!$B$7:$M$1000,11,0)))</f>
        <v/>
      </c>
    </row>
    <row r="924" spans="2:14" x14ac:dyDescent="0.2">
      <c r="B924"/>
      <c r="C924"/>
      <c r="D924"/>
      <c r="E924"/>
      <c r="F924"/>
      <c r="G924"/>
      <c r="H924"/>
      <c r="J924"/>
      <c r="N924" t="str">
        <f>IF(ISERROR(VLOOKUP(B924,'[1]Zebrik W'!$B$7:$M$1000,11,0)),"",IF(VLOOKUP(B924,'[1]Zebrik W'!$B$7:$M$1000,11,0)=0,"--",VLOOKUP(B924,'[1]Zebrik W'!$B$7:$M$1000,11,0)))</f>
        <v/>
      </c>
    </row>
    <row r="925" spans="2:14" x14ac:dyDescent="0.2">
      <c r="B925"/>
      <c r="C925"/>
      <c r="D925"/>
      <c r="E925"/>
      <c r="F925"/>
      <c r="G925"/>
      <c r="H925"/>
      <c r="J925"/>
      <c r="N925" t="str">
        <f>IF(ISERROR(VLOOKUP(B925,'[1]Zebrik W'!$B$7:$M$1000,11,0)),"",IF(VLOOKUP(B925,'[1]Zebrik W'!$B$7:$M$1000,11,0)=0,"--",VLOOKUP(B925,'[1]Zebrik W'!$B$7:$M$1000,11,0)))</f>
        <v/>
      </c>
    </row>
    <row r="926" spans="2:14" x14ac:dyDescent="0.2">
      <c r="B926"/>
      <c r="C926"/>
      <c r="D926"/>
      <c r="E926"/>
      <c r="F926"/>
      <c r="G926"/>
      <c r="H926"/>
      <c r="J926"/>
      <c r="N926" t="str">
        <f>IF(ISERROR(VLOOKUP(B926,'[1]Zebrik W'!$B$7:$M$1000,11,0)),"",IF(VLOOKUP(B926,'[1]Zebrik W'!$B$7:$M$1000,11,0)=0,"--",VLOOKUP(B926,'[1]Zebrik W'!$B$7:$M$1000,11,0)))</f>
        <v/>
      </c>
    </row>
    <row r="927" spans="2:14" x14ac:dyDescent="0.2">
      <c r="B927"/>
      <c r="C927"/>
      <c r="D927"/>
      <c r="E927"/>
      <c r="F927"/>
      <c r="G927"/>
      <c r="H927"/>
      <c r="J927"/>
      <c r="N927" t="str">
        <f>IF(ISERROR(VLOOKUP(B927,'[1]Zebrik W'!$B$7:$M$1000,11,0)),"",IF(VLOOKUP(B927,'[1]Zebrik W'!$B$7:$M$1000,11,0)=0,"--",VLOOKUP(B927,'[1]Zebrik W'!$B$7:$M$1000,11,0)))</f>
        <v/>
      </c>
    </row>
    <row r="928" spans="2:14" x14ac:dyDescent="0.2">
      <c r="B928"/>
      <c r="C928"/>
      <c r="D928"/>
      <c r="E928"/>
      <c r="F928"/>
      <c r="G928"/>
      <c r="H928"/>
      <c r="J928"/>
      <c r="N928" t="str">
        <f>IF(ISERROR(VLOOKUP(B928,'[1]Zebrik W'!$B$7:$M$1000,11,0)),"",IF(VLOOKUP(B928,'[1]Zebrik W'!$B$7:$M$1000,11,0)=0,"--",VLOOKUP(B928,'[1]Zebrik W'!$B$7:$M$1000,11,0)))</f>
        <v/>
      </c>
    </row>
    <row r="929" spans="2:14" x14ac:dyDescent="0.2">
      <c r="B929"/>
      <c r="C929"/>
      <c r="D929"/>
      <c r="E929"/>
      <c r="F929"/>
      <c r="G929"/>
      <c r="H929"/>
      <c r="J929"/>
      <c r="N929" t="str">
        <f>IF(ISERROR(VLOOKUP(B929,'[1]Zebrik W'!$B$7:$M$1000,11,0)),"",IF(VLOOKUP(B929,'[1]Zebrik W'!$B$7:$M$1000,11,0)=0,"--",VLOOKUP(B929,'[1]Zebrik W'!$B$7:$M$1000,11,0)))</f>
        <v/>
      </c>
    </row>
    <row r="930" spans="2:14" x14ac:dyDescent="0.2">
      <c r="B930"/>
      <c r="C930"/>
      <c r="D930"/>
      <c r="E930"/>
      <c r="F930"/>
      <c r="G930"/>
      <c r="H930"/>
      <c r="J930"/>
      <c r="N930" t="str">
        <f>IF(ISERROR(VLOOKUP(B930,'[1]Zebrik W'!$B$7:$M$1000,11,0)),"",IF(VLOOKUP(B930,'[1]Zebrik W'!$B$7:$M$1000,11,0)=0,"--",VLOOKUP(B930,'[1]Zebrik W'!$B$7:$M$1000,11,0)))</f>
        <v/>
      </c>
    </row>
    <row r="931" spans="2:14" x14ac:dyDescent="0.2">
      <c r="B931"/>
      <c r="C931"/>
      <c r="D931"/>
      <c r="E931"/>
      <c r="F931"/>
      <c r="G931"/>
      <c r="H931"/>
      <c r="J931"/>
      <c r="N931" t="str">
        <f>IF(ISERROR(VLOOKUP(B931,'[1]Zebrik W'!$B$7:$M$1000,11,0)),"",IF(VLOOKUP(B931,'[1]Zebrik W'!$B$7:$M$1000,11,0)=0,"--",VLOOKUP(B931,'[1]Zebrik W'!$B$7:$M$1000,11,0)))</f>
        <v/>
      </c>
    </row>
    <row r="932" spans="2:14" x14ac:dyDescent="0.2">
      <c r="B932"/>
      <c r="C932"/>
      <c r="D932"/>
      <c r="E932"/>
      <c r="F932"/>
      <c r="G932"/>
      <c r="H932"/>
      <c r="J932"/>
      <c r="N932" t="str">
        <f>IF(ISERROR(VLOOKUP(B932,'[1]Zebrik W'!$B$7:$M$1000,11,0)),"",IF(VLOOKUP(B932,'[1]Zebrik W'!$B$7:$M$1000,11,0)=0,"--",VLOOKUP(B932,'[1]Zebrik W'!$B$7:$M$1000,11,0)))</f>
        <v/>
      </c>
    </row>
    <row r="933" spans="2:14" x14ac:dyDescent="0.2">
      <c r="B933"/>
      <c r="C933"/>
      <c r="D933"/>
      <c r="E933"/>
      <c r="F933"/>
      <c r="G933"/>
      <c r="H933"/>
      <c r="J933"/>
      <c r="N933" t="str">
        <f>IF(ISERROR(VLOOKUP(B933,'[1]Zebrik W'!$B$7:$M$1000,11,0)),"",IF(VLOOKUP(B933,'[1]Zebrik W'!$B$7:$M$1000,11,0)=0,"--",VLOOKUP(B933,'[1]Zebrik W'!$B$7:$M$1000,11,0)))</f>
        <v/>
      </c>
    </row>
    <row r="934" spans="2:14" x14ac:dyDescent="0.2">
      <c r="B934"/>
      <c r="C934"/>
      <c r="D934"/>
      <c r="E934"/>
      <c r="F934"/>
      <c r="G934"/>
      <c r="H934"/>
      <c r="J934"/>
      <c r="N934" t="str">
        <f>IF(ISERROR(VLOOKUP(B934,'[1]Zebrik W'!$B$7:$M$1000,11,0)),"",IF(VLOOKUP(B934,'[1]Zebrik W'!$B$7:$M$1000,11,0)=0,"--",VLOOKUP(B934,'[1]Zebrik W'!$B$7:$M$1000,11,0)))</f>
        <v/>
      </c>
    </row>
    <row r="935" spans="2:14" x14ac:dyDescent="0.2">
      <c r="B935"/>
      <c r="C935"/>
      <c r="D935"/>
      <c r="E935"/>
      <c r="F935"/>
      <c r="G935"/>
      <c r="H935"/>
      <c r="J935"/>
      <c r="N935" t="str">
        <f>IF(ISERROR(VLOOKUP(B935,'[1]Zebrik W'!$B$7:$M$1000,11,0)),"",IF(VLOOKUP(B935,'[1]Zebrik W'!$B$7:$M$1000,11,0)=0,"--",VLOOKUP(B935,'[1]Zebrik W'!$B$7:$M$1000,11,0)))</f>
        <v/>
      </c>
    </row>
    <row r="936" spans="2:14" x14ac:dyDescent="0.2">
      <c r="B936"/>
      <c r="C936"/>
      <c r="D936"/>
      <c r="E936"/>
      <c r="F936"/>
      <c r="G936"/>
      <c r="H936"/>
      <c r="J936"/>
      <c r="N936" t="str">
        <f>IF(ISERROR(VLOOKUP(B936,'[1]Zebrik W'!$B$7:$M$1000,11,0)),"",IF(VLOOKUP(B936,'[1]Zebrik W'!$B$7:$M$1000,11,0)=0,"--",VLOOKUP(B936,'[1]Zebrik W'!$B$7:$M$1000,11,0)))</f>
        <v/>
      </c>
    </row>
    <row r="937" spans="2:14" x14ac:dyDescent="0.2">
      <c r="B937"/>
      <c r="C937"/>
      <c r="D937"/>
      <c r="E937"/>
      <c r="F937"/>
      <c r="G937"/>
      <c r="H937"/>
      <c r="J937"/>
      <c r="N937" t="str">
        <f>IF(ISERROR(VLOOKUP(B937,'[1]Zebrik W'!$B$7:$M$1000,11,0)),"",IF(VLOOKUP(B937,'[1]Zebrik W'!$B$7:$M$1000,11,0)=0,"--",VLOOKUP(B937,'[1]Zebrik W'!$B$7:$M$1000,11,0)))</f>
        <v/>
      </c>
    </row>
    <row r="938" spans="2:14" x14ac:dyDescent="0.2">
      <c r="B938"/>
      <c r="C938"/>
      <c r="D938"/>
      <c r="E938"/>
      <c r="F938"/>
      <c r="G938"/>
      <c r="H938"/>
      <c r="J938"/>
      <c r="N938" t="str">
        <f>IF(ISERROR(VLOOKUP(B938,'[1]Zebrik W'!$B$7:$M$1000,11,0)),"",IF(VLOOKUP(B938,'[1]Zebrik W'!$B$7:$M$1000,11,0)=0,"--",VLOOKUP(B938,'[1]Zebrik W'!$B$7:$M$1000,11,0)))</f>
        <v/>
      </c>
    </row>
    <row r="939" spans="2:14" x14ac:dyDescent="0.2">
      <c r="B939"/>
      <c r="C939"/>
      <c r="D939"/>
      <c r="E939"/>
      <c r="F939"/>
      <c r="G939"/>
      <c r="H939"/>
      <c r="J939"/>
      <c r="N939" t="str">
        <f>IF(ISERROR(VLOOKUP(B939,'[1]Zebrik W'!$B$7:$M$1000,11,0)),"",IF(VLOOKUP(B939,'[1]Zebrik W'!$B$7:$M$1000,11,0)=0,"--",VLOOKUP(B939,'[1]Zebrik W'!$B$7:$M$1000,11,0)))</f>
        <v/>
      </c>
    </row>
    <row r="940" spans="2:14" x14ac:dyDescent="0.2">
      <c r="B940"/>
      <c r="C940"/>
      <c r="D940"/>
      <c r="E940"/>
      <c r="F940"/>
      <c r="G940"/>
      <c r="H940"/>
      <c r="J940"/>
      <c r="N940" t="str">
        <f>IF(ISERROR(VLOOKUP(B940,'[1]Zebrik W'!$B$7:$M$1000,11,0)),"",IF(VLOOKUP(B940,'[1]Zebrik W'!$B$7:$M$1000,11,0)=0,"--",VLOOKUP(B940,'[1]Zebrik W'!$B$7:$M$1000,11,0)))</f>
        <v/>
      </c>
    </row>
    <row r="941" spans="2:14" x14ac:dyDescent="0.2">
      <c r="B941"/>
      <c r="C941"/>
      <c r="D941"/>
      <c r="E941"/>
      <c r="F941"/>
      <c r="G941"/>
      <c r="H941"/>
      <c r="J941"/>
      <c r="N941" t="str">
        <f>IF(ISERROR(VLOOKUP(B941,'[1]Zebrik W'!$B$7:$M$1000,11,0)),"",IF(VLOOKUP(B941,'[1]Zebrik W'!$B$7:$M$1000,11,0)=0,"--",VLOOKUP(B941,'[1]Zebrik W'!$B$7:$M$1000,11,0)))</f>
        <v/>
      </c>
    </row>
    <row r="942" spans="2:14" x14ac:dyDescent="0.2">
      <c r="B942"/>
      <c r="C942"/>
      <c r="D942"/>
      <c r="E942"/>
      <c r="F942"/>
      <c r="G942"/>
      <c r="H942"/>
      <c r="J942"/>
      <c r="N942" t="str">
        <f>IF(ISERROR(VLOOKUP(B942,'[1]Zebrik W'!$B$7:$M$1000,11,0)),"",IF(VLOOKUP(B942,'[1]Zebrik W'!$B$7:$M$1000,11,0)=0,"--",VLOOKUP(B942,'[1]Zebrik W'!$B$7:$M$1000,11,0)))</f>
        <v/>
      </c>
    </row>
    <row r="943" spans="2:14" x14ac:dyDescent="0.2">
      <c r="B943"/>
      <c r="C943"/>
      <c r="D943"/>
      <c r="E943"/>
      <c r="F943"/>
      <c r="G943"/>
      <c r="H943"/>
      <c r="J943"/>
      <c r="N943" t="str">
        <f>IF(ISERROR(VLOOKUP(B943,'[1]Zebrik W'!$B$7:$M$1000,11,0)),"",IF(VLOOKUP(B943,'[1]Zebrik W'!$B$7:$M$1000,11,0)=0,"--",VLOOKUP(B943,'[1]Zebrik W'!$B$7:$M$1000,11,0)))</f>
        <v/>
      </c>
    </row>
    <row r="944" spans="2:14" x14ac:dyDescent="0.2">
      <c r="B944"/>
      <c r="C944"/>
      <c r="D944"/>
      <c r="E944"/>
      <c r="F944"/>
      <c r="G944"/>
      <c r="H944"/>
      <c r="J944"/>
      <c r="N944" t="str">
        <f>IF(ISERROR(VLOOKUP(B944,'[1]Zebrik W'!$B$7:$M$1000,11,0)),"",IF(VLOOKUP(B944,'[1]Zebrik W'!$B$7:$M$1000,11,0)=0,"--",VLOOKUP(B944,'[1]Zebrik W'!$B$7:$M$1000,11,0)))</f>
        <v/>
      </c>
    </row>
    <row r="945" spans="2:14" x14ac:dyDescent="0.2">
      <c r="B945"/>
      <c r="C945"/>
      <c r="D945"/>
      <c r="E945"/>
      <c r="F945"/>
      <c r="G945"/>
      <c r="H945"/>
      <c r="J945"/>
      <c r="N945" t="str">
        <f>IF(ISERROR(VLOOKUP(B945,'[1]Zebrik W'!$B$7:$M$1000,11,0)),"",IF(VLOOKUP(B945,'[1]Zebrik W'!$B$7:$M$1000,11,0)=0,"--",VLOOKUP(B945,'[1]Zebrik W'!$B$7:$M$1000,11,0)))</f>
        <v/>
      </c>
    </row>
    <row r="946" spans="2:14" x14ac:dyDescent="0.2">
      <c r="B946"/>
      <c r="C946"/>
      <c r="D946"/>
      <c r="E946"/>
      <c r="F946"/>
      <c r="G946"/>
      <c r="H946"/>
      <c r="J946"/>
      <c r="N946" t="str">
        <f>IF(ISERROR(VLOOKUP(B946,'[1]Zebrik W'!$B$7:$M$1000,11,0)),"",IF(VLOOKUP(B946,'[1]Zebrik W'!$B$7:$M$1000,11,0)=0,"--",VLOOKUP(B946,'[1]Zebrik W'!$B$7:$M$1000,11,0)))</f>
        <v/>
      </c>
    </row>
    <row r="947" spans="2:14" x14ac:dyDescent="0.2">
      <c r="B947"/>
      <c r="C947"/>
      <c r="D947"/>
      <c r="E947"/>
      <c r="F947"/>
      <c r="G947"/>
      <c r="H947"/>
      <c r="J947"/>
      <c r="N947" t="str">
        <f>IF(ISERROR(VLOOKUP(B947,'[1]Zebrik W'!$B$7:$M$1000,11,0)),"",IF(VLOOKUP(B947,'[1]Zebrik W'!$B$7:$M$1000,11,0)=0,"--",VLOOKUP(B947,'[1]Zebrik W'!$B$7:$M$1000,11,0)))</f>
        <v/>
      </c>
    </row>
    <row r="948" spans="2:14" x14ac:dyDescent="0.2">
      <c r="B948"/>
      <c r="C948"/>
      <c r="D948"/>
      <c r="E948"/>
      <c r="F948"/>
      <c r="G948"/>
      <c r="H948"/>
      <c r="J948"/>
      <c r="N948" t="str">
        <f>IF(ISERROR(VLOOKUP(B948,'[1]Zebrik W'!$B$7:$M$1000,11,0)),"",IF(VLOOKUP(B948,'[1]Zebrik W'!$B$7:$M$1000,11,0)=0,"--",VLOOKUP(B948,'[1]Zebrik W'!$B$7:$M$1000,11,0)))</f>
        <v/>
      </c>
    </row>
    <row r="949" spans="2:14" x14ac:dyDescent="0.2">
      <c r="B949"/>
      <c r="C949"/>
      <c r="D949"/>
      <c r="E949"/>
      <c r="F949"/>
      <c r="G949"/>
      <c r="H949"/>
      <c r="J949"/>
      <c r="N949" t="str">
        <f>IF(ISERROR(VLOOKUP(B949,'[1]Zebrik W'!$B$7:$M$1000,11,0)),"",IF(VLOOKUP(B949,'[1]Zebrik W'!$B$7:$M$1000,11,0)=0,"--",VLOOKUP(B949,'[1]Zebrik W'!$B$7:$M$1000,11,0)))</f>
        <v/>
      </c>
    </row>
    <row r="950" spans="2:14" x14ac:dyDescent="0.2">
      <c r="B950"/>
      <c r="C950"/>
      <c r="D950"/>
      <c r="E950"/>
      <c r="F950"/>
      <c r="G950"/>
      <c r="H950"/>
      <c r="J950"/>
      <c r="N950" t="str">
        <f>IF(ISERROR(VLOOKUP(B950,'[1]Zebrik W'!$B$7:$M$1000,11,0)),"",IF(VLOOKUP(B950,'[1]Zebrik W'!$B$7:$M$1000,11,0)=0,"--",VLOOKUP(B950,'[1]Zebrik W'!$B$7:$M$1000,11,0)))</f>
        <v/>
      </c>
    </row>
    <row r="951" spans="2:14" x14ac:dyDescent="0.2">
      <c r="B951"/>
      <c r="C951"/>
      <c r="D951"/>
      <c r="E951"/>
      <c r="F951"/>
      <c r="G951"/>
      <c r="H951"/>
      <c r="J951"/>
      <c r="N951" t="str">
        <f>IF(ISERROR(VLOOKUP(B951,'[1]Zebrik W'!$B$7:$M$1000,11,0)),"",IF(VLOOKUP(B951,'[1]Zebrik W'!$B$7:$M$1000,11,0)=0,"--",VLOOKUP(B951,'[1]Zebrik W'!$B$7:$M$1000,11,0)))</f>
        <v/>
      </c>
    </row>
    <row r="952" spans="2:14" x14ac:dyDescent="0.2">
      <c r="B952"/>
      <c r="C952"/>
      <c r="D952"/>
      <c r="E952"/>
      <c r="F952"/>
      <c r="G952"/>
      <c r="H952"/>
      <c r="J952"/>
      <c r="N952" t="str">
        <f>IF(ISERROR(VLOOKUP(B952,'[1]Zebrik W'!$B$7:$M$1000,11,0)),"",IF(VLOOKUP(B952,'[1]Zebrik W'!$B$7:$M$1000,11,0)=0,"--",VLOOKUP(B952,'[1]Zebrik W'!$B$7:$M$1000,11,0)))</f>
        <v/>
      </c>
    </row>
    <row r="953" spans="2:14" x14ac:dyDescent="0.2">
      <c r="B953"/>
      <c r="C953"/>
      <c r="D953"/>
      <c r="E953"/>
      <c r="F953"/>
      <c r="G953"/>
      <c r="H953"/>
      <c r="J953"/>
      <c r="N953" t="str">
        <f>IF(ISERROR(VLOOKUP(B953,'[1]Zebrik W'!$B$7:$M$1000,11,0)),"",IF(VLOOKUP(B953,'[1]Zebrik W'!$B$7:$M$1000,11,0)=0,"--",VLOOKUP(B953,'[1]Zebrik W'!$B$7:$M$1000,11,0)))</f>
        <v/>
      </c>
    </row>
    <row r="954" spans="2:14" x14ac:dyDescent="0.2">
      <c r="B954"/>
      <c r="C954"/>
      <c r="D954"/>
      <c r="E954"/>
      <c r="F954"/>
      <c r="G954"/>
      <c r="H954"/>
      <c r="J954"/>
      <c r="N954" t="str">
        <f>IF(ISERROR(VLOOKUP(B954,'[1]Zebrik W'!$B$7:$M$1000,11,0)),"",IF(VLOOKUP(B954,'[1]Zebrik W'!$B$7:$M$1000,11,0)=0,"--",VLOOKUP(B954,'[1]Zebrik W'!$B$7:$M$1000,11,0)))</f>
        <v/>
      </c>
    </row>
    <row r="955" spans="2:14" x14ac:dyDescent="0.2">
      <c r="B955"/>
      <c r="C955"/>
      <c r="D955"/>
      <c r="E955"/>
      <c r="F955"/>
      <c r="G955"/>
      <c r="H955"/>
      <c r="J955"/>
      <c r="N955" t="str">
        <f>IF(ISERROR(VLOOKUP(B955,'[1]Zebrik W'!$B$7:$M$1000,11,0)),"",IF(VLOOKUP(B955,'[1]Zebrik W'!$B$7:$M$1000,11,0)=0,"--",VLOOKUP(B955,'[1]Zebrik W'!$B$7:$M$1000,11,0)))</f>
        <v/>
      </c>
    </row>
    <row r="956" spans="2:14" x14ac:dyDescent="0.2">
      <c r="B956"/>
      <c r="C956"/>
      <c r="D956"/>
      <c r="E956"/>
      <c r="F956"/>
      <c r="G956"/>
      <c r="H956"/>
      <c r="J956"/>
      <c r="N956" t="str">
        <f>IF(ISERROR(VLOOKUP(B956,'[1]Zebrik W'!$B$7:$M$1000,11,0)),"",IF(VLOOKUP(B956,'[1]Zebrik W'!$B$7:$M$1000,11,0)=0,"--",VLOOKUP(B956,'[1]Zebrik W'!$B$7:$M$1000,11,0)))</f>
        <v/>
      </c>
    </row>
    <row r="957" spans="2:14" x14ac:dyDescent="0.2">
      <c r="B957"/>
      <c r="C957"/>
      <c r="D957"/>
      <c r="E957"/>
      <c r="F957"/>
      <c r="G957"/>
      <c r="H957"/>
      <c r="J957"/>
      <c r="N957" t="str">
        <f>IF(ISERROR(VLOOKUP(B957,'[1]Zebrik W'!$B$7:$M$1000,11,0)),"",IF(VLOOKUP(B957,'[1]Zebrik W'!$B$7:$M$1000,11,0)=0,"--",VLOOKUP(B957,'[1]Zebrik W'!$B$7:$M$1000,11,0)))</f>
        <v/>
      </c>
    </row>
    <row r="958" spans="2:14" x14ac:dyDescent="0.2">
      <c r="B958"/>
      <c r="C958"/>
      <c r="D958"/>
      <c r="E958"/>
      <c r="F958"/>
      <c r="G958"/>
      <c r="H958"/>
      <c r="J958"/>
      <c r="N958" t="str">
        <f>IF(ISERROR(VLOOKUP(B958,'[1]Zebrik W'!$B$7:$M$1000,11,0)),"",IF(VLOOKUP(B958,'[1]Zebrik W'!$B$7:$M$1000,11,0)=0,"--",VLOOKUP(B958,'[1]Zebrik W'!$B$7:$M$1000,11,0)))</f>
        <v/>
      </c>
    </row>
    <row r="959" spans="2:14" x14ac:dyDescent="0.2">
      <c r="B959"/>
      <c r="C959"/>
      <c r="D959"/>
      <c r="E959"/>
      <c r="F959"/>
      <c r="G959"/>
      <c r="H959"/>
      <c r="J959"/>
      <c r="N959" t="str">
        <f>IF(ISERROR(VLOOKUP(B959,'[1]Zebrik W'!$B$7:$M$1000,11,0)),"",IF(VLOOKUP(B959,'[1]Zebrik W'!$B$7:$M$1000,11,0)=0,"--",VLOOKUP(B959,'[1]Zebrik W'!$B$7:$M$1000,11,0)))</f>
        <v/>
      </c>
    </row>
    <row r="960" spans="2:14" x14ac:dyDescent="0.2">
      <c r="B960"/>
      <c r="C960"/>
      <c r="D960"/>
      <c r="E960"/>
      <c r="F960"/>
      <c r="G960"/>
      <c r="H960"/>
      <c r="J960"/>
      <c r="N960" t="str">
        <f>IF(ISERROR(VLOOKUP(B960,'[1]Zebrik W'!$B$7:$M$1000,11,0)),"",IF(VLOOKUP(B960,'[1]Zebrik W'!$B$7:$M$1000,11,0)=0,"--",VLOOKUP(B960,'[1]Zebrik W'!$B$7:$M$1000,11,0)))</f>
        <v/>
      </c>
    </row>
    <row r="961" spans="2:14" x14ac:dyDescent="0.2">
      <c r="B961"/>
      <c r="C961"/>
      <c r="D961"/>
      <c r="E961"/>
      <c r="F961"/>
      <c r="G961"/>
      <c r="H961"/>
      <c r="J961"/>
      <c r="N961" t="str">
        <f>IF(ISERROR(VLOOKUP(B961,'[1]Zebrik W'!$B$7:$M$1000,11,0)),"",IF(VLOOKUP(B961,'[1]Zebrik W'!$B$7:$M$1000,11,0)=0,"--",VLOOKUP(B961,'[1]Zebrik W'!$B$7:$M$1000,11,0)))</f>
        <v/>
      </c>
    </row>
    <row r="962" spans="2:14" x14ac:dyDescent="0.2">
      <c r="B962"/>
      <c r="C962"/>
      <c r="D962"/>
      <c r="E962"/>
      <c r="F962"/>
      <c r="G962"/>
      <c r="H962"/>
      <c r="J962"/>
      <c r="N962" t="str">
        <f>IF(ISERROR(VLOOKUP(B962,'[1]Zebrik W'!$B$7:$M$1000,11,0)),"",IF(VLOOKUP(B962,'[1]Zebrik W'!$B$7:$M$1000,11,0)=0,"--",VLOOKUP(B962,'[1]Zebrik W'!$B$7:$M$1000,11,0)))</f>
        <v/>
      </c>
    </row>
    <row r="963" spans="2:14" x14ac:dyDescent="0.2">
      <c r="B963"/>
      <c r="C963"/>
      <c r="D963"/>
      <c r="E963"/>
      <c r="F963"/>
      <c r="G963"/>
      <c r="H963"/>
      <c r="J963"/>
      <c r="N963" t="str">
        <f>IF(ISERROR(VLOOKUP(B963,'[1]Zebrik W'!$B$7:$M$1000,11,0)),"",IF(VLOOKUP(B963,'[1]Zebrik W'!$B$7:$M$1000,11,0)=0,"--",VLOOKUP(B963,'[1]Zebrik W'!$B$7:$M$1000,11,0)))</f>
        <v/>
      </c>
    </row>
    <row r="964" spans="2:14" x14ac:dyDescent="0.2">
      <c r="B964"/>
      <c r="C964"/>
      <c r="D964"/>
      <c r="E964"/>
      <c r="F964"/>
      <c r="G964"/>
      <c r="H964"/>
      <c r="J964"/>
      <c r="N964" t="str">
        <f>IF(ISERROR(VLOOKUP(B964,'[1]Zebrik W'!$B$7:$M$1000,11,0)),"",IF(VLOOKUP(B964,'[1]Zebrik W'!$B$7:$M$1000,11,0)=0,"--",VLOOKUP(B964,'[1]Zebrik W'!$B$7:$M$1000,11,0)))</f>
        <v/>
      </c>
    </row>
    <row r="965" spans="2:14" x14ac:dyDescent="0.2">
      <c r="B965"/>
      <c r="C965"/>
      <c r="D965"/>
      <c r="E965"/>
      <c r="F965"/>
      <c r="G965"/>
      <c r="H965"/>
      <c r="J965"/>
      <c r="N965" t="str">
        <f>IF(ISERROR(VLOOKUP(B965,'[1]Zebrik W'!$B$7:$M$1000,11,0)),"",IF(VLOOKUP(B965,'[1]Zebrik W'!$B$7:$M$1000,11,0)=0,"--",VLOOKUP(B965,'[1]Zebrik W'!$B$7:$M$1000,11,0)))</f>
        <v/>
      </c>
    </row>
    <row r="966" spans="2:14" x14ac:dyDescent="0.2">
      <c r="B966"/>
      <c r="C966"/>
      <c r="D966"/>
      <c r="E966"/>
      <c r="F966"/>
      <c r="G966"/>
      <c r="H966"/>
      <c r="J966"/>
      <c r="N966" t="str">
        <f>IF(ISERROR(VLOOKUP(B966,'[1]Zebrik W'!$B$7:$M$1000,11,0)),"",IF(VLOOKUP(B966,'[1]Zebrik W'!$B$7:$M$1000,11,0)=0,"--",VLOOKUP(B966,'[1]Zebrik W'!$B$7:$M$1000,11,0)))</f>
        <v/>
      </c>
    </row>
    <row r="967" spans="2:14" x14ac:dyDescent="0.2">
      <c r="B967"/>
      <c r="C967"/>
      <c r="D967"/>
      <c r="E967"/>
      <c r="F967"/>
      <c r="G967"/>
      <c r="H967"/>
      <c r="J967"/>
      <c r="N967" t="str">
        <f>IF(ISERROR(VLOOKUP(B967,'[1]Zebrik W'!$B$7:$M$1000,11,0)),"",IF(VLOOKUP(B967,'[1]Zebrik W'!$B$7:$M$1000,11,0)=0,"--",VLOOKUP(B967,'[1]Zebrik W'!$B$7:$M$1000,11,0)))</f>
        <v/>
      </c>
    </row>
    <row r="968" spans="2:14" x14ac:dyDescent="0.2">
      <c r="B968"/>
      <c r="C968"/>
      <c r="D968"/>
      <c r="E968"/>
      <c r="F968"/>
      <c r="G968"/>
      <c r="H968"/>
      <c r="J968"/>
      <c r="N968" t="str">
        <f>IF(ISERROR(VLOOKUP(B968,'[1]Zebrik W'!$B$7:$M$1000,11,0)),"",IF(VLOOKUP(B968,'[1]Zebrik W'!$B$7:$M$1000,11,0)=0,"--",VLOOKUP(B968,'[1]Zebrik W'!$B$7:$M$1000,11,0)))</f>
        <v/>
      </c>
    </row>
    <row r="969" spans="2:14" x14ac:dyDescent="0.2">
      <c r="B969"/>
      <c r="C969"/>
      <c r="D969"/>
      <c r="E969"/>
      <c r="F969"/>
      <c r="G969"/>
      <c r="H969"/>
      <c r="J969"/>
      <c r="N969" t="str">
        <f>IF(ISERROR(VLOOKUP(B969,'[1]Zebrik W'!$B$7:$M$1000,11,0)),"",IF(VLOOKUP(B969,'[1]Zebrik W'!$B$7:$M$1000,11,0)=0,"--",VLOOKUP(B969,'[1]Zebrik W'!$B$7:$M$1000,11,0)))</f>
        <v/>
      </c>
    </row>
    <row r="970" spans="2:14" x14ac:dyDescent="0.2">
      <c r="B970"/>
      <c r="C970"/>
      <c r="D970"/>
      <c r="E970"/>
      <c r="F970"/>
      <c r="G970"/>
      <c r="H970"/>
      <c r="J970"/>
      <c r="N970" t="str">
        <f>IF(ISERROR(VLOOKUP(B970,'[1]Zebrik W'!$B$7:$M$1000,11,0)),"",IF(VLOOKUP(B970,'[1]Zebrik W'!$B$7:$M$1000,11,0)=0,"--",VLOOKUP(B970,'[1]Zebrik W'!$B$7:$M$1000,11,0)))</f>
        <v/>
      </c>
    </row>
    <row r="971" spans="2:14" x14ac:dyDescent="0.2">
      <c r="B971"/>
      <c r="C971"/>
      <c r="D971"/>
      <c r="E971"/>
      <c r="F971"/>
      <c r="G971"/>
      <c r="H971"/>
      <c r="J971"/>
      <c r="N971" t="str">
        <f>IF(ISERROR(VLOOKUP(B971,'[1]Zebrik W'!$B$7:$M$1000,11,0)),"",IF(VLOOKUP(B971,'[1]Zebrik W'!$B$7:$M$1000,11,0)=0,"--",VLOOKUP(B971,'[1]Zebrik W'!$B$7:$M$1000,11,0)))</f>
        <v/>
      </c>
    </row>
    <row r="972" spans="2:14" x14ac:dyDescent="0.2">
      <c r="B972"/>
      <c r="C972"/>
      <c r="D972"/>
      <c r="E972"/>
      <c r="F972"/>
      <c r="G972"/>
      <c r="H972"/>
      <c r="J972"/>
      <c r="N972" t="str">
        <f>IF(ISERROR(VLOOKUP(B972,'[1]Zebrik W'!$B$7:$M$1000,11,0)),"",IF(VLOOKUP(B972,'[1]Zebrik W'!$B$7:$M$1000,11,0)=0,"--",VLOOKUP(B972,'[1]Zebrik W'!$B$7:$M$1000,11,0)))</f>
        <v/>
      </c>
    </row>
    <row r="973" spans="2:14" x14ac:dyDescent="0.2">
      <c r="B973"/>
      <c r="C973"/>
      <c r="D973"/>
      <c r="E973"/>
      <c r="F973"/>
      <c r="G973"/>
      <c r="H973"/>
      <c r="J973"/>
      <c r="N973" t="str">
        <f>IF(ISERROR(VLOOKUP(B973,'[1]Zebrik W'!$B$7:$M$1000,11,0)),"",IF(VLOOKUP(B973,'[1]Zebrik W'!$B$7:$M$1000,11,0)=0,"--",VLOOKUP(B973,'[1]Zebrik W'!$B$7:$M$1000,11,0)))</f>
        <v/>
      </c>
    </row>
    <row r="974" spans="2:14" x14ac:dyDescent="0.2">
      <c r="B974"/>
      <c r="C974"/>
      <c r="D974"/>
      <c r="E974"/>
      <c r="F974"/>
      <c r="G974"/>
      <c r="H974"/>
      <c r="J974"/>
      <c r="N974" t="str">
        <f>IF(ISERROR(VLOOKUP(B974,'[1]Zebrik W'!$B$7:$M$1000,11,0)),"",IF(VLOOKUP(B974,'[1]Zebrik W'!$B$7:$M$1000,11,0)=0,"--",VLOOKUP(B974,'[1]Zebrik W'!$B$7:$M$1000,11,0)))</f>
        <v/>
      </c>
    </row>
    <row r="975" spans="2:14" x14ac:dyDescent="0.2">
      <c r="B975"/>
      <c r="C975"/>
      <c r="D975"/>
      <c r="E975"/>
      <c r="F975"/>
      <c r="G975"/>
      <c r="H975"/>
      <c r="J975"/>
      <c r="N975" t="str">
        <f>IF(ISERROR(VLOOKUP(B975,'[1]Zebrik W'!$B$7:$M$1000,11,0)),"",IF(VLOOKUP(B975,'[1]Zebrik W'!$B$7:$M$1000,11,0)=0,"--",VLOOKUP(B975,'[1]Zebrik W'!$B$7:$M$1000,11,0)))</f>
        <v/>
      </c>
    </row>
    <row r="976" spans="2:14" x14ac:dyDescent="0.2">
      <c r="B976"/>
      <c r="C976"/>
      <c r="D976"/>
      <c r="E976"/>
      <c r="F976"/>
      <c r="G976"/>
      <c r="H976"/>
      <c r="J976"/>
      <c r="N976" t="str">
        <f>IF(ISERROR(VLOOKUP(B976,'[1]Zebrik W'!$B$7:$M$1000,11,0)),"",IF(VLOOKUP(B976,'[1]Zebrik W'!$B$7:$M$1000,11,0)=0,"--",VLOOKUP(B976,'[1]Zebrik W'!$B$7:$M$1000,11,0)))</f>
        <v/>
      </c>
    </row>
    <row r="977" spans="2:14" x14ac:dyDescent="0.2">
      <c r="B977"/>
      <c r="C977"/>
      <c r="D977"/>
      <c r="E977"/>
      <c r="F977"/>
      <c r="G977"/>
      <c r="H977"/>
      <c r="J977"/>
      <c r="N977" t="str">
        <f>IF(ISERROR(VLOOKUP(B977,'[1]Zebrik W'!$B$7:$M$1000,11,0)),"",IF(VLOOKUP(B977,'[1]Zebrik W'!$B$7:$M$1000,11,0)=0,"--",VLOOKUP(B977,'[1]Zebrik W'!$B$7:$M$1000,11,0)))</f>
        <v/>
      </c>
    </row>
    <row r="978" spans="2:14" x14ac:dyDescent="0.2">
      <c r="B978"/>
      <c r="C978"/>
      <c r="D978"/>
      <c r="E978"/>
      <c r="F978"/>
      <c r="G978"/>
      <c r="H978"/>
      <c r="J978"/>
      <c r="N978" t="str">
        <f>IF(ISERROR(VLOOKUP(B978,'[1]Zebrik W'!$B$7:$M$1000,11,0)),"",IF(VLOOKUP(B978,'[1]Zebrik W'!$B$7:$M$1000,11,0)=0,"--",VLOOKUP(B978,'[1]Zebrik W'!$B$7:$M$1000,11,0)))</f>
        <v/>
      </c>
    </row>
    <row r="979" spans="2:14" x14ac:dyDescent="0.2">
      <c r="B979"/>
      <c r="C979"/>
      <c r="D979"/>
      <c r="E979"/>
      <c r="F979"/>
      <c r="G979"/>
      <c r="H979"/>
      <c r="J979"/>
      <c r="N979" t="str">
        <f>IF(ISERROR(VLOOKUP(B979,'[1]Zebrik W'!$B$7:$M$1000,11,0)),"",IF(VLOOKUP(B979,'[1]Zebrik W'!$B$7:$M$1000,11,0)=0,"--",VLOOKUP(B979,'[1]Zebrik W'!$B$7:$M$1000,11,0)))</f>
        <v/>
      </c>
    </row>
    <row r="980" spans="2:14" x14ac:dyDescent="0.2">
      <c r="B980"/>
      <c r="C980"/>
      <c r="D980"/>
      <c r="E980"/>
      <c r="F980"/>
      <c r="G980"/>
      <c r="H980"/>
      <c r="J980"/>
      <c r="N980" t="str">
        <f>IF(ISERROR(VLOOKUP(B980,'[1]Zebrik W'!$B$7:$M$1000,11,0)),"",IF(VLOOKUP(B980,'[1]Zebrik W'!$B$7:$M$1000,11,0)=0,"--",VLOOKUP(B980,'[1]Zebrik W'!$B$7:$M$1000,11,0)))</f>
        <v/>
      </c>
    </row>
    <row r="981" spans="2:14" x14ac:dyDescent="0.2">
      <c r="B981"/>
      <c r="C981"/>
      <c r="D981"/>
      <c r="E981"/>
      <c r="F981"/>
      <c r="G981"/>
      <c r="H981"/>
      <c r="J981"/>
      <c r="N981" t="str">
        <f>IF(ISERROR(VLOOKUP(B981,'[1]Zebrik W'!$B$7:$M$1000,11,0)),"",IF(VLOOKUP(B981,'[1]Zebrik W'!$B$7:$M$1000,11,0)=0,"--",VLOOKUP(B981,'[1]Zebrik W'!$B$7:$M$1000,11,0)))</f>
        <v/>
      </c>
    </row>
    <row r="982" spans="2:14" x14ac:dyDescent="0.2">
      <c r="B982"/>
      <c r="C982"/>
      <c r="D982"/>
      <c r="E982"/>
      <c r="F982"/>
      <c r="G982"/>
      <c r="H982"/>
      <c r="J982"/>
      <c r="N982" t="str">
        <f>IF(ISERROR(VLOOKUP(B982,'[1]Zebrik W'!$B$7:$M$1000,11,0)),"",IF(VLOOKUP(B982,'[1]Zebrik W'!$B$7:$M$1000,11,0)=0,"--",VLOOKUP(B982,'[1]Zebrik W'!$B$7:$M$1000,11,0)))</f>
        <v/>
      </c>
    </row>
    <row r="983" spans="2:14" x14ac:dyDescent="0.2">
      <c r="B983"/>
      <c r="C983"/>
      <c r="D983"/>
      <c r="E983"/>
      <c r="F983"/>
      <c r="G983"/>
      <c r="H983"/>
      <c r="J983"/>
      <c r="N983" t="str">
        <f>IF(ISERROR(VLOOKUP(B983,'[1]Zebrik W'!$B$7:$M$1000,11,0)),"",IF(VLOOKUP(B983,'[1]Zebrik W'!$B$7:$M$1000,11,0)=0,"--",VLOOKUP(B983,'[1]Zebrik W'!$B$7:$M$1000,11,0)))</f>
        <v/>
      </c>
    </row>
    <row r="984" spans="2:14" x14ac:dyDescent="0.2">
      <c r="B984"/>
      <c r="C984"/>
      <c r="D984"/>
      <c r="E984"/>
      <c r="F984"/>
      <c r="G984"/>
      <c r="H984"/>
      <c r="J984"/>
      <c r="N984" t="str">
        <f>IF(ISERROR(VLOOKUP(B984,'[1]Zebrik W'!$B$7:$M$1000,11,0)),"",IF(VLOOKUP(B984,'[1]Zebrik W'!$B$7:$M$1000,11,0)=0,"--",VLOOKUP(B984,'[1]Zebrik W'!$B$7:$M$1000,11,0)))</f>
        <v/>
      </c>
    </row>
    <row r="985" spans="2:14" x14ac:dyDescent="0.2">
      <c r="B985"/>
      <c r="C985"/>
      <c r="D985"/>
      <c r="E985"/>
      <c r="F985"/>
      <c r="G985"/>
      <c r="H985"/>
      <c r="J985"/>
      <c r="N985" t="str">
        <f>IF(ISERROR(VLOOKUP(B985,'[1]Zebrik W'!$B$7:$M$1000,11,0)),"",IF(VLOOKUP(B985,'[1]Zebrik W'!$B$7:$M$1000,11,0)=0,"--",VLOOKUP(B985,'[1]Zebrik W'!$B$7:$M$1000,11,0)))</f>
        <v/>
      </c>
    </row>
    <row r="986" spans="2:14" x14ac:dyDescent="0.2">
      <c r="B986"/>
      <c r="C986"/>
      <c r="D986"/>
      <c r="E986"/>
      <c r="F986"/>
      <c r="G986"/>
      <c r="H986"/>
      <c r="J986"/>
      <c r="N986" t="str">
        <f>IF(ISERROR(VLOOKUP(B986,'[1]Zebrik W'!$B$7:$M$1000,11,0)),"",IF(VLOOKUP(B986,'[1]Zebrik W'!$B$7:$M$1000,11,0)=0,"--",VLOOKUP(B986,'[1]Zebrik W'!$B$7:$M$1000,11,0)))</f>
        <v/>
      </c>
    </row>
    <row r="987" spans="2:14" x14ac:dyDescent="0.2">
      <c r="B987"/>
      <c r="C987"/>
      <c r="D987"/>
      <c r="E987"/>
      <c r="F987"/>
      <c r="G987"/>
      <c r="H987"/>
      <c r="J987"/>
      <c r="N987" t="str">
        <f>IF(ISERROR(VLOOKUP(B987,'[1]Zebrik W'!$B$7:$M$1000,11,0)),"",IF(VLOOKUP(B987,'[1]Zebrik W'!$B$7:$M$1000,11,0)=0,"--",VLOOKUP(B987,'[1]Zebrik W'!$B$7:$M$1000,11,0)))</f>
        <v/>
      </c>
    </row>
    <row r="988" spans="2:14" x14ac:dyDescent="0.2">
      <c r="B988"/>
      <c r="C988"/>
      <c r="D988"/>
      <c r="E988"/>
      <c r="F988"/>
      <c r="G988"/>
      <c r="H988"/>
      <c r="J988"/>
      <c r="N988" t="str">
        <f>IF(ISERROR(VLOOKUP(B988,'[1]Zebrik W'!$B$7:$M$1000,11,0)),"",IF(VLOOKUP(B988,'[1]Zebrik W'!$B$7:$M$1000,11,0)=0,"--",VLOOKUP(B988,'[1]Zebrik W'!$B$7:$M$1000,11,0)))</f>
        <v/>
      </c>
    </row>
    <row r="989" spans="2:14" x14ac:dyDescent="0.2">
      <c r="B989"/>
      <c r="C989"/>
      <c r="D989"/>
      <c r="E989"/>
      <c r="F989"/>
      <c r="G989"/>
      <c r="H989"/>
      <c r="J989"/>
      <c r="N989" t="str">
        <f>IF(ISERROR(VLOOKUP(B989,'[1]Zebrik W'!$B$7:$M$1000,11,0)),"",IF(VLOOKUP(B989,'[1]Zebrik W'!$B$7:$M$1000,11,0)=0,"--",VLOOKUP(B989,'[1]Zebrik W'!$B$7:$M$1000,11,0)))</f>
        <v/>
      </c>
    </row>
    <row r="990" spans="2:14" x14ac:dyDescent="0.2">
      <c r="B990"/>
      <c r="C990"/>
      <c r="D990"/>
      <c r="E990"/>
      <c r="F990"/>
      <c r="G990"/>
      <c r="H990"/>
      <c r="J990"/>
      <c r="N990" t="str">
        <f>IF(ISERROR(VLOOKUP(B990,'[1]Zebrik W'!$B$7:$M$1000,11,0)),"",IF(VLOOKUP(B990,'[1]Zebrik W'!$B$7:$M$1000,11,0)=0,"--",VLOOKUP(B990,'[1]Zebrik W'!$B$7:$M$1000,11,0)))</f>
        <v/>
      </c>
    </row>
    <row r="991" spans="2:14" x14ac:dyDescent="0.2">
      <c r="B991"/>
      <c r="C991"/>
      <c r="D991"/>
      <c r="E991"/>
      <c r="F991"/>
      <c r="G991"/>
      <c r="H991"/>
      <c r="J991"/>
      <c r="N991" t="str">
        <f>IF(ISERROR(VLOOKUP(B991,'[1]Zebrik W'!$B$7:$M$1000,11,0)),"",IF(VLOOKUP(B991,'[1]Zebrik W'!$B$7:$M$1000,11,0)=0,"--",VLOOKUP(B991,'[1]Zebrik W'!$B$7:$M$1000,11,0)))</f>
        <v/>
      </c>
    </row>
    <row r="992" spans="2:14" x14ac:dyDescent="0.2">
      <c r="B992"/>
      <c r="C992"/>
      <c r="D992"/>
      <c r="E992"/>
      <c r="F992"/>
      <c r="G992"/>
      <c r="H992"/>
      <c r="J992"/>
      <c r="N992" t="str">
        <f>IF(ISERROR(VLOOKUP(B992,'[1]Zebrik W'!$B$7:$M$1000,11,0)),"",IF(VLOOKUP(B992,'[1]Zebrik W'!$B$7:$M$1000,11,0)=0,"--",VLOOKUP(B992,'[1]Zebrik W'!$B$7:$M$1000,11,0)))</f>
        <v/>
      </c>
    </row>
    <row r="993" spans="2:14" x14ac:dyDescent="0.2">
      <c r="B993"/>
      <c r="C993"/>
      <c r="D993"/>
      <c r="E993"/>
      <c r="F993"/>
      <c r="G993"/>
      <c r="H993"/>
      <c r="J993"/>
      <c r="N993" t="str">
        <f>IF(ISERROR(VLOOKUP(B993,'[1]Zebrik W'!$B$7:$M$1000,11,0)),"",IF(VLOOKUP(B993,'[1]Zebrik W'!$B$7:$M$1000,11,0)=0,"--",VLOOKUP(B993,'[1]Zebrik W'!$B$7:$M$1000,11,0)))</f>
        <v/>
      </c>
    </row>
    <row r="994" spans="2:14" x14ac:dyDescent="0.2">
      <c r="B994"/>
      <c r="C994"/>
      <c r="D994"/>
      <c r="E994"/>
      <c r="F994"/>
      <c r="G994"/>
      <c r="H994"/>
      <c r="J994"/>
      <c r="N994" t="str">
        <f>IF(ISERROR(VLOOKUP(B994,'[1]Zebrik W'!$B$7:$M$1000,11,0)),"",IF(VLOOKUP(B994,'[1]Zebrik W'!$B$7:$M$1000,11,0)=0,"--",VLOOKUP(B994,'[1]Zebrik W'!$B$7:$M$1000,11,0)))</f>
        <v/>
      </c>
    </row>
    <row r="995" spans="2:14" x14ac:dyDescent="0.2">
      <c r="B995"/>
      <c r="C995"/>
      <c r="D995"/>
      <c r="E995"/>
      <c r="F995"/>
      <c r="G995"/>
      <c r="H995"/>
      <c r="J995"/>
      <c r="N995" t="str">
        <f>IF(ISERROR(VLOOKUP(B995,'[1]Zebrik W'!$B$7:$M$1000,11,0)),"",IF(VLOOKUP(B995,'[1]Zebrik W'!$B$7:$M$1000,11,0)=0,"--",VLOOKUP(B995,'[1]Zebrik W'!$B$7:$M$1000,11,0)))</f>
        <v/>
      </c>
    </row>
    <row r="996" spans="2:14" x14ac:dyDescent="0.2">
      <c r="B996"/>
      <c r="C996"/>
      <c r="D996"/>
      <c r="E996"/>
      <c r="F996"/>
      <c r="G996"/>
      <c r="H996"/>
      <c r="J996"/>
      <c r="N996" t="str">
        <f>IF(ISERROR(VLOOKUP(B996,'[1]Zebrik W'!$B$7:$M$1000,11,0)),"",IF(VLOOKUP(B996,'[1]Zebrik W'!$B$7:$M$1000,11,0)=0,"--",VLOOKUP(B996,'[1]Zebrik W'!$B$7:$M$1000,11,0)))</f>
        <v/>
      </c>
    </row>
    <row r="997" spans="2:14" x14ac:dyDescent="0.2">
      <c r="B997"/>
      <c r="C997"/>
      <c r="D997"/>
      <c r="E997"/>
      <c r="F997"/>
      <c r="G997"/>
      <c r="H997"/>
      <c r="J997"/>
      <c r="N997" t="str">
        <f>IF(ISERROR(VLOOKUP(B997,'[1]Zebrik W'!$B$7:$M$1000,11,0)),"",IF(VLOOKUP(B997,'[1]Zebrik W'!$B$7:$M$1000,11,0)=0,"--",VLOOKUP(B997,'[1]Zebrik W'!$B$7:$M$1000,11,0)))</f>
        <v/>
      </c>
    </row>
    <row r="998" spans="2:14" x14ac:dyDescent="0.2">
      <c r="B998"/>
      <c r="C998"/>
      <c r="D998"/>
      <c r="E998"/>
      <c r="F998"/>
      <c r="G998"/>
      <c r="H998"/>
      <c r="J998"/>
      <c r="N998" t="str">
        <f>IF(ISERROR(VLOOKUP(B998,'[1]Zebrik W'!$B$7:$M$1000,11,0)),"",IF(VLOOKUP(B998,'[1]Zebrik W'!$B$7:$M$1000,11,0)=0,"--",VLOOKUP(B998,'[1]Zebrik W'!$B$7:$M$1000,11,0)))</f>
        <v/>
      </c>
    </row>
    <row r="999" spans="2:14" x14ac:dyDescent="0.2">
      <c r="B999"/>
      <c r="C999"/>
      <c r="D999"/>
      <c r="E999"/>
      <c r="F999"/>
      <c r="G999"/>
      <c r="H999"/>
      <c r="J999"/>
      <c r="N999" t="str">
        <f>IF(ISERROR(VLOOKUP(B999,'[1]Zebrik W'!$B$7:$M$1000,11,0)),"",IF(VLOOKUP(B999,'[1]Zebrik W'!$B$7:$M$1000,11,0)=0,"--",VLOOKUP(B999,'[1]Zebrik W'!$B$7:$M$1000,11,0)))</f>
        <v/>
      </c>
    </row>
    <row r="1000" spans="2:14" x14ac:dyDescent="0.2">
      <c r="B1000"/>
      <c r="C1000"/>
      <c r="D1000"/>
      <c r="E1000"/>
      <c r="F1000"/>
      <c r="G1000"/>
      <c r="H1000"/>
      <c r="J1000"/>
      <c r="N1000" t="str">
        <f>IF(ISERROR(VLOOKUP(B1000,'[1]Zebrik W'!$B$7:$M$1000,11,0)),"",IF(VLOOKUP(B1000,'[1]Zebrik W'!$B$7:$M$1000,11,0)=0,"--",VLOOKUP(B1000,'[1]Zebrik W'!$B$7:$M$1000,11,0)))</f>
        <v/>
      </c>
    </row>
    <row r="1001" spans="2:14" x14ac:dyDescent="0.2">
      <c r="B1001"/>
      <c r="C1001"/>
      <c r="D1001"/>
      <c r="E1001"/>
      <c r="F1001"/>
      <c r="G1001"/>
      <c r="H1001"/>
      <c r="J1001"/>
    </row>
    <row r="1002" spans="2:14" x14ac:dyDescent="0.2">
      <c r="B1002"/>
      <c r="C1002"/>
      <c r="D1002"/>
      <c r="E1002"/>
      <c r="F1002"/>
      <c r="G1002"/>
      <c r="H1002"/>
      <c r="J1002"/>
    </row>
    <row r="1003" spans="2:14" x14ac:dyDescent="0.2">
      <c r="B1003"/>
      <c r="C1003"/>
      <c r="D1003"/>
      <c r="E1003"/>
      <c r="F1003"/>
      <c r="G1003"/>
      <c r="H1003"/>
      <c r="J1003"/>
    </row>
    <row r="1004" spans="2:14" x14ac:dyDescent="0.2">
      <c r="B1004"/>
      <c r="C1004"/>
      <c r="D1004"/>
      <c r="E1004"/>
      <c r="F1004"/>
      <c r="G1004"/>
      <c r="H1004"/>
      <c r="J1004"/>
    </row>
    <row r="1005" spans="2:14" x14ac:dyDescent="0.2">
      <c r="B1005"/>
      <c r="C1005"/>
      <c r="D1005"/>
      <c r="E1005"/>
      <c r="F1005"/>
      <c r="G1005"/>
      <c r="H1005"/>
      <c r="J1005"/>
    </row>
    <row r="1006" spans="2:14" x14ac:dyDescent="0.2">
      <c r="B1006"/>
      <c r="C1006"/>
      <c r="D1006"/>
      <c r="E1006"/>
      <c r="F1006"/>
      <c r="G1006"/>
      <c r="H1006"/>
      <c r="J1006"/>
    </row>
    <row r="1007" spans="2:14" x14ac:dyDescent="0.2">
      <c r="B1007"/>
      <c r="C1007"/>
      <c r="D1007"/>
      <c r="E1007"/>
      <c r="F1007"/>
      <c r="G1007"/>
      <c r="H1007"/>
      <c r="J1007"/>
    </row>
    <row r="1008" spans="2:14" x14ac:dyDescent="0.2">
      <c r="B1008"/>
      <c r="C1008"/>
      <c r="D1008"/>
      <c r="E1008"/>
      <c r="F1008"/>
      <c r="G1008"/>
      <c r="H1008"/>
      <c r="J1008"/>
    </row>
    <row r="1009" spans="2:10" x14ac:dyDescent="0.2">
      <c r="B1009"/>
      <c r="C1009"/>
      <c r="D1009"/>
      <c r="E1009"/>
      <c r="F1009"/>
      <c r="G1009"/>
      <c r="H1009"/>
      <c r="J1009"/>
    </row>
    <row r="1010" spans="2:10" x14ac:dyDescent="0.2">
      <c r="B1010"/>
      <c r="C1010"/>
      <c r="D1010"/>
      <c r="E1010"/>
      <c r="F1010"/>
      <c r="G1010"/>
      <c r="H1010"/>
      <c r="J1010"/>
    </row>
    <row r="1011" spans="2:10" x14ac:dyDescent="0.2">
      <c r="B1011"/>
      <c r="C1011"/>
      <c r="D1011"/>
      <c r="E1011"/>
      <c r="F1011"/>
      <c r="G1011"/>
      <c r="H1011"/>
      <c r="J1011"/>
    </row>
    <row r="1012" spans="2:10" x14ac:dyDescent="0.2">
      <c r="B1012"/>
      <c r="C1012"/>
      <c r="D1012"/>
      <c r="E1012"/>
      <c r="F1012"/>
      <c r="G1012"/>
      <c r="H1012"/>
      <c r="J1012"/>
    </row>
    <row r="1013" spans="2:10" x14ac:dyDescent="0.2">
      <c r="B1013"/>
      <c r="C1013"/>
      <c r="D1013"/>
      <c r="E1013"/>
      <c r="F1013"/>
      <c r="G1013"/>
      <c r="H1013"/>
      <c r="J1013"/>
    </row>
    <row r="1014" spans="2:10" x14ac:dyDescent="0.2">
      <c r="B1014"/>
      <c r="C1014"/>
      <c r="D1014"/>
      <c r="E1014"/>
      <c r="F1014"/>
      <c r="G1014"/>
      <c r="H1014"/>
      <c r="J1014"/>
    </row>
    <row r="1015" spans="2:10" x14ac:dyDescent="0.2">
      <c r="B1015"/>
      <c r="C1015"/>
      <c r="D1015"/>
      <c r="E1015"/>
      <c r="F1015"/>
      <c r="G1015"/>
      <c r="H1015"/>
      <c r="J1015"/>
    </row>
    <row r="1016" spans="2:10" x14ac:dyDescent="0.2">
      <c r="B1016"/>
      <c r="C1016"/>
      <c r="D1016"/>
      <c r="E1016"/>
      <c r="F1016"/>
      <c r="G1016"/>
      <c r="H1016"/>
      <c r="J1016"/>
    </row>
    <row r="1017" spans="2:10" x14ac:dyDescent="0.2">
      <c r="B1017"/>
      <c r="C1017"/>
      <c r="D1017"/>
      <c r="E1017"/>
      <c r="F1017"/>
      <c r="G1017"/>
      <c r="H1017"/>
      <c r="J1017"/>
    </row>
    <row r="1018" spans="2:10" x14ac:dyDescent="0.2">
      <c r="B1018"/>
      <c r="C1018"/>
      <c r="D1018"/>
      <c r="E1018"/>
      <c r="F1018"/>
      <c r="G1018"/>
      <c r="H1018"/>
      <c r="J1018"/>
    </row>
    <row r="1019" spans="2:10" x14ac:dyDescent="0.2">
      <c r="B1019"/>
      <c r="C1019"/>
      <c r="D1019"/>
      <c r="E1019"/>
      <c r="F1019"/>
      <c r="G1019"/>
      <c r="H1019"/>
      <c r="J1019"/>
    </row>
    <row r="1020" spans="2:10" x14ac:dyDescent="0.2">
      <c r="B1020"/>
      <c r="C1020"/>
      <c r="D1020"/>
      <c r="E1020"/>
      <c r="F1020"/>
      <c r="G1020"/>
      <c r="H1020"/>
      <c r="J1020"/>
    </row>
    <row r="1021" spans="2:10" x14ac:dyDescent="0.2">
      <c r="B1021"/>
      <c r="C1021"/>
      <c r="D1021"/>
      <c r="E1021"/>
      <c r="F1021"/>
      <c r="G1021"/>
      <c r="H1021"/>
      <c r="J1021"/>
    </row>
    <row r="1022" spans="2:10" x14ac:dyDescent="0.2">
      <c r="B1022"/>
      <c r="C1022"/>
      <c r="D1022"/>
      <c r="E1022"/>
      <c r="F1022"/>
      <c r="G1022"/>
      <c r="H1022"/>
      <c r="J1022"/>
    </row>
    <row r="1023" spans="2:10" x14ac:dyDescent="0.2">
      <c r="B1023"/>
      <c r="C1023"/>
      <c r="D1023"/>
      <c r="E1023"/>
      <c r="F1023"/>
      <c r="G1023"/>
      <c r="H1023"/>
      <c r="J1023"/>
    </row>
    <row r="1024" spans="2:10" x14ac:dyDescent="0.2">
      <c r="B1024"/>
      <c r="C1024"/>
      <c r="D1024"/>
      <c r="E1024"/>
      <c r="F1024"/>
      <c r="G1024"/>
      <c r="H1024"/>
      <c r="J1024"/>
    </row>
    <row r="1025" spans="2:10" x14ac:dyDescent="0.2">
      <c r="B1025"/>
      <c r="C1025"/>
      <c r="D1025"/>
      <c r="E1025"/>
      <c r="F1025"/>
      <c r="G1025"/>
      <c r="H1025"/>
      <c r="J1025"/>
    </row>
    <row r="1026" spans="2:10" x14ac:dyDescent="0.2">
      <c r="B1026"/>
      <c r="C1026"/>
      <c r="D1026"/>
      <c r="E1026"/>
      <c r="F1026"/>
      <c r="G1026"/>
      <c r="H1026"/>
      <c r="J1026"/>
    </row>
    <row r="1027" spans="2:10" x14ac:dyDescent="0.2">
      <c r="B1027"/>
      <c r="C1027"/>
      <c r="D1027"/>
      <c r="E1027"/>
      <c r="F1027"/>
      <c r="G1027"/>
      <c r="H1027"/>
      <c r="J1027"/>
    </row>
    <row r="1028" spans="2:10" x14ac:dyDescent="0.2">
      <c r="B1028"/>
      <c r="C1028"/>
      <c r="D1028"/>
      <c r="E1028"/>
      <c r="F1028"/>
      <c r="G1028"/>
      <c r="H1028"/>
      <c r="J1028"/>
    </row>
    <row r="1029" spans="2:10" x14ac:dyDescent="0.2">
      <c r="B1029"/>
      <c r="C1029"/>
      <c r="D1029"/>
      <c r="E1029"/>
      <c r="F1029"/>
      <c r="G1029"/>
      <c r="H1029"/>
      <c r="J1029"/>
    </row>
    <row r="1030" spans="2:10" x14ac:dyDescent="0.2">
      <c r="B1030"/>
      <c r="C1030"/>
      <c r="D1030"/>
      <c r="E1030"/>
      <c r="F1030"/>
      <c r="G1030"/>
      <c r="H1030"/>
      <c r="J1030"/>
    </row>
    <row r="1031" spans="2:10" x14ac:dyDescent="0.2">
      <c r="B1031"/>
      <c r="C1031"/>
      <c r="D1031"/>
      <c r="E1031"/>
      <c r="F1031"/>
      <c r="G1031"/>
      <c r="H1031"/>
      <c r="J1031"/>
    </row>
    <row r="1032" spans="2:10" x14ac:dyDescent="0.2">
      <c r="B1032"/>
      <c r="C1032"/>
      <c r="D1032"/>
      <c r="E1032"/>
      <c r="F1032"/>
      <c r="G1032"/>
      <c r="H1032"/>
      <c r="J1032"/>
    </row>
    <row r="1033" spans="2:10" x14ac:dyDescent="0.2">
      <c r="B1033"/>
      <c r="C1033"/>
      <c r="D1033"/>
      <c r="E1033"/>
      <c r="F1033"/>
      <c r="G1033"/>
      <c r="H1033"/>
      <c r="J1033"/>
    </row>
    <row r="1034" spans="2:10" x14ac:dyDescent="0.2">
      <c r="B1034"/>
      <c r="C1034"/>
      <c r="D1034"/>
      <c r="E1034"/>
      <c r="F1034"/>
      <c r="G1034"/>
      <c r="H1034"/>
      <c r="J1034"/>
    </row>
    <row r="1035" spans="2:10" x14ac:dyDescent="0.2">
      <c r="B1035"/>
      <c r="C1035"/>
      <c r="D1035"/>
      <c r="E1035"/>
      <c r="F1035"/>
      <c r="G1035"/>
      <c r="H1035"/>
      <c r="J1035"/>
    </row>
    <row r="1036" spans="2:10" x14ac:dyDescent="0.2">
      <c r="B1036"/>
      <c r="C1036"/>
      <c r="D1036"/>
      <c r="E1036"/>
      <c r="F1036"/>
      <c r="G1036"/>
      <c r="H1036"/>
      <c r="J1036"/>
    </row>
    <row r="1037" spans="2:10" x14ac:dyDescent="0.2">
      <c r="B1037"/>
      <c r="C1037"/>
      <c r="D1037"/>
      <c r="E1037"/>
      <c r="F1037"/>
      <c r="G1037"/>
      <c r="H1037"/>
      <c r="J1037"/>
    </row>
    <row r="1038" spans="2:10" x14ac:dyDescent="0.2">
      <c r="B1038"/>
      <c r="C1038"/>
      <c r="D1038"/>
      <c r="E1038"/>
      <c r="F1038"/>
      <c r="G1038"/>
      <c r="H1038"/>
      <c r="J1038"/>
    </row>
    <row r="1039" spans="2:10" x14ac:dyDescent="0.2">
      <c r="B1039"/>
      <c r="C1039"/>
      <c r="D1039"/>
      <c r="E1039"/>
      <c r="F1039"/>
      <c r="G1039"/>
      <c r="H1039"/>
      <c r="J1039"/>
    </row>
    <row r="1040" spans="2:10" x14ac:dyDescent="0.2">
      <c r="B1040"/>
      <c r="C1040"/>
      <c r="D1040"/>
      <c r="E1040"/>
      <c r="F1040"/>
      <c r="G1040"/>
      <c r="H1040"/>
      <c r="J1040"/>
    </row>
    <row r="1041" spans="2:10" x14ac:dyDescent="0.2">
      <c r="B1041"/>
      <c r="C1041"/>
      <c r="D1041"/>
      <c r="E1041"/>
      <c r="F1041"/>
      <c r="G1041"/>
      <c r="H1041"/>
      <c r="J1041"/>
    </row>
    <row r="1042" spans="2:10" x14ac:dyDescent="0.2">
      <c r="B1042"/>
      <c r="C1042"/>
      <c r="D1042"/>
      <c r="E1042"/>
      <c r="F1042"/>
      <c r="G1042"/>
      <c r="H1042"/>
      <c r="J1042"/>
    </row>
    <row r="1043" spans="2:10" x14ac:dyDescent="0.2">
      <c r="B1043"/>
      <c r="C1043"/>
      <c r="D1043"/>
      <c r="E1043"/>
      <c r="F1043"/>
      <c r="G1043"/>
      <c r="H1043"/>
      <c r="J1043"/>
    </row>
    <row r="1044" spans="2:10" x14ac:dyDescent="0.2">
      <c r="B1044"/>
      <c r="C1044"/>
      <c r="D1044"/>
      <c r="E1044"/>
      <c r="F1044"/>
      <c r="G1044"/>
      <c r="H1044"/>
      <c r="J1044"/>
    </row>
    <row r="1045" spans="2:10" x14ac:dyDescent="0.2">
      <c r="B1045"/>
      <c r="C1045"/>
      <c r="D1045"/>
      <c r="E1045"/>
      <c r="F1045"/>
      <c r="G1045"/>
      <c r="H1045"/>
      <c r="J1045"/>
    </row>
    <row r="1046" spans="2:10" x14ac:dyDescent="0.2">
      <c r="B1046"/>
      <c r="C1046"/>
      <c r="D1046"/>
      <c r="E1046"/>
      <c r="F1046"/>
      <c r="G1046"/>
      <c r="H1046"/>
      <c r="J1046"/>
    </row>
    <row r="1047" spans="2:10" x14ac:dyDescent="0.2">
      <c r="B1047"/>
      <c r="C1047"/>
      <c r="D1047"/>
      <c r="E1047"/>
      <c r="F1047"/>
      <c r="G1047"/>
      <c r="H1047"/>
      <c r="J1047"/>
    </row>
    <row r="1048" spans="2:10" x14ac:dyDescent="0.2">
      <c r="B1048"/>
      <c r="C1048"/>
      <c r="D1048"/>
      <c r="E1048"/>
      <c r="F1048"/>
      <c r="G1048"/>
      <c r="H1048"/>
      <c r="J1048"/>
    </row>
    <row r="1049" spans="2:10" x14ac:dyDescent="0.2">
      <c r="B1049"/>
      <c r="C1049"/>
      <c r="D1049"/>
      <c r="E1049"/>
      <c r="F1049"/>
      <c r="G1049"/>
      <c r="H1049"/>
      <c r="J1049"/>
    </row>
    <row r="1050" spans="2:10" x14ac:dyDescent="0.2">
      <c r="B1050"/>
      <c r="C1050"/>
      <c r="D1050"/>
      <c r="E1050"/>
      <c r="F1050"/>
      <c r="G1050"/>
      <c r="H1050"/>
      <c r="J1050"/>
    </row>
    <row r="1051" spans="2:10" x14ac:dyDescent="0.2">
      <c r="B1051"/>
      <c r="C1051"/>
      <c r="D1051"/>
      <c r="E1051"/>
      <c r="F1051"/>
      <c r="G1051"/>
      <c r="H1051"/>
      <c r="J1051"/>
    </row>
    <row r="1052" spans="2:10" x14ac:dyDescent="0.2">
      <c r="B1052"/>
      <c r="C1052"/>
      <c r="D1052"/>
      <c r="E1052"/>
      <c r="F1052"/>
      <c r="G1052"/>
      <c r="H1052"/>
      <c r="J1052"/>
    </row>
    <row r="1053" spans="2:10" x14ac:dyDescent="0.2">
      <c r="B1053"/>
      <c r="C1053"/>
      <c r="D1053"/>
      <c r="E1053"/>
      <c r="F1053"/>
      <c r="G1053"/>
      <c r="H1053"/>
      <c r="J1053"/>
    </row>
    <row r="1054" spans="2:10" x14ac:dyDescent="0.2">
      <c r="B1054"/>
      <c r="C1054"/>
      <c r="D1054"/>
      <c r="E1054"/>
      <c r="F1054"/>
      <c r="G1054"/>
      <c r="H1054"/>
      <c r="J1054"/>
    </row>
    <row r="1055" spans="2:10" x14ac:dyDescent="0.2">
      <c r="B1055"/>
      <c r="C1055"/>
      <c r="D1055"/>
      <c r="E1055"/>
      <c r="F1055"/>
      <c r="G1055"/>
      <c r="H1055"/>
      <c r="J1055"/>
    </row>
    <row r="1056" spans="2:10" x14ac:dyDescent="0.2">
      <c r="B1056"/>
      <c r="C1056"/>
      <c r="D1056"/>
      <c r="E1056"/>
      <c r="F1056"/>
      <c r="G1056"/>
      <c r="H1056"/>
      <c r="J1056"/>
    </row>
    <row r="1057" spans="2:10" x14ac:dyDescent="0.2">
      <c r="B1057"/>
      <c r="C1057"/>
      <c r="D1057"/>
      <c r="E1057"/>
      <c r="F1057"/>
      <c r="G1057"/>
      <c r="H1057"/>
      <c r="J1057"/>
    </row>
    <row r="1058" spans="2:10" x14ac:dyDescent="0.2">
      <c r="B1058"/>
      <c r="C1058"/>
      <c r="D1058"/>
      <c r="E1058"/>
      <c r="F1058"/>
      <c r="G1058"/>
      <c r="H1058"/>
      <c r="J1058"/>
    </row>
    <row r="1059" spans="2:10" x14ac:dyDescent="0.2">
      <c r="B1059"/>
      <c r="C1059"/>
      <c r="D1059"/>
      <c r="E1059"/>
      <c r="F1059"/>
      <c r="G1059"/>
      <c r="H1059"/>
      <c r="J1059"/>
    </row>
    <row r="1060" spans="2:10" x14ac:dyDescent="0.2">
      <c r="B1060"/>
      <c r="C1060"/>
      <c r="D1060"/>
      <c r="E1060"/>
      <c r="F1060"/>
      <c r="G1060"/>
      <c r="H1060"/>
      <c r="J1060"/>
    </row>
    <row r="1061" spans="2:10" x14ac:dyDescent="0.2">
      <c r="B1061"/>
      <c r="C1061"/>
      <c r="D1061"/>
      <c r="E1061"/>
      <c r="F1061"/>
      <c r="G1061"/>
      <c r="H1061"/>
      <c r="J1061"/>
    </row>
    <row r="1062" spans="2:10" x14ac:dyDescent="0.2">
      <c r="B1062"/>
      <c r="C1062"/>
      <c r="D1062"/>
      <c r="E1062"/>
      <c r="F1062"/>
      <c r="G1062"/>
      <c r="H1062"/>
      <c r="J1062"/>
    </row>
    <row r="1063" spans="2:10" x14ac:dyDescent="0.2">
      <c r="B1063"/>
      <c r="C1063"/>
      <c r="D1063"/>
      <c r="E1063"/>
      <c r="F1063"/>
      <c r="G1063"/>
      <c r="H1063"/>
      <c r="J1063"/>
    </row>
    <row r="1064" spans="2:10" x14ac:dyDescent="0.2">
      <c r="B1064"/>
      <c r="C1064"/>
      <c r="D1064"/>
      <c r="E1064"/>
      <c r="F1064"/>
      <c r="G1064"/>
      <c r="H1064"/>
      <c r="J1064"/>
    </row>
    <row r="1065" spans="2:10" x14ac:dyDescent="0.2">
      <c r="B1065"/>
      <c r="C1065"/>
      <c r="D1065"/>
      <c r="E1065"/>
      <c r="F1065"/>
      <c r="G1065"/>
      <c r="H1065"/>
      <c r="J1065"/>
    </row>
    <row r="1066" spans="2:10" x14ac:dyDescent="0.2">
      <c r="B1066"/>
      <c r="C1066"/>
      <c r="D1066"/>
      <c r="E1066"/>
      <c r="F1066"/>
      <c r="G1066"/>
      <c r="H1066"/>
      <c r="J1066"/>
    </row>
    <row r="1067" spans="2:10" x14ac:dyDescent="0.2">
      <c r="B1067"/>
      <c r="C1067"/>
      <c r="D1067"/>
      <c r="E1067"/>
      <c r="F1067"/>
      <c r="G1067"/>
      <c r="H1067"/>
      <c r="J1067"/>
    </row>
    <row r="1068" spans="2:10" x14ac:dyDescent="0.2">
      <c r="B1068"/>
      <c r="C1068"/>
      <c r="D1068"/>
      <c r="E1068"/>
      <c r="F1068"/>
      <c r="G1068"/>
      <c r="H1068"/>
      <c r="J1068"/>
    </row>
    <row r="1069" spans="2:10" x14ac:dyDescent="0.2">
      <c r="B1069"/>
      <c r="C1069"/>
      <c r="D1069"/>
      <c r="E1069"/>
      <c r="F1069"/>
      <c r="G1069"/>
      <c r="H1069"/>
      <c r="J1069"/>
    </row>
    <row r="1070" spans="2:10" x14ac:dyDescent="0.2">
      <c r="B1070"/>
      <c r="C1070"/>
      <c r="D1070"/>
      <c r="E1070"/>
      <c r="F1070"/>
      <c r="G1070"/>
      <c r="H1070"/>
      <c r="J1070"/>
    </row>
    <row r="1071" spans="2:10" x14ac:dyDescent="0.2">
      <c r="B1071"/>
      <c r="C1071"/>
      <c r="D1071"/>
      <c r="E1071"/>
      <c r="F1071"/>
      <c r="G1071"/>
      <c r="H1071"/>
      <c r="J1071"/>
    </row>
    <row r="1072" spans="2:10" x14ac:dyDescent="0.2">
      <c r="B1072"/>
      <c r="C1072"/>
      <c r="D1072"/>
      <c r="E1072"/>
      <c r="F1072"/>
      <c r="G1072"/>
      <c r="H1072"/>
      <c r="J1072"/>
    </row>
    <row r="1073" spans="2:10" x14ac:dyDescent="0.2">
      <c r="B1073"/>
      <c r="C1073"/>
      <c r="D1073"/>
      <c r="E1073"/>
      <c r="F1073"/>
      <c r="G1073"/>
      <c r="H1073"/>
      <c r="J1073"/>
    </row>
    <row r="1074" spans="2:10" x14ac:dyDescent="0.2">
      <c r="B1074"/>
      <c r="C1074"/>
      <c r="D1074"/>
      <c r="E1074"/>
      <c r="F1074"/>
      <c r="G1074"/>
      <c r="H1074"/>
      <c r="J1074"/>
    </row>
    <row r="1075" spans="2:10" x14ac:dyDescent="0.2">
      <c r="B1075"/>
      <c r="C1075"/>
      <c r="D1075"/>
      <c r="E1075"/>
      <c r="F1075"/>
      <c r="G1075"/>
      <c r="H1075"/>
      <c r="J1075"/>
    </row>
    <row r="1076" spans="2:10" x14ac:dyDescent="0.2">
      <c r="B1076"/>
      <c r="C1076"/>
      <c r="D1076"/>
      <c r="E1076"/>
      <c r="F1076"/>
      <c r="G1076"/>
      <c r="H1076"/>
      <c r="J1076"/>
    </row>
    <row r="1077" spans="2:10" x14ac:dyDescent="0.2">
      <c r="B1077"/>
      <c r="C1077"/>
      <c r="D1077"/>
      <c r="E1077"/>
      <c r="F1077"/>
      <c r="G1077"/>
      <c r="H1077"/>
      <c r="J1077"/>
    </row>
    <row r="1078" spans="2:10" x14ac:dyDescent="0.2">
      <c r="B1078"/>
      <c r="C1078"/>
      <c r="D1078"/>
      <c r="E1078"/>
      <c r="F1078"/>
      <c r="G1078"/>
      <c r="H1078"/>
      <c r="J1078"/>
    </row>
    <row r="1079" spans="2:10" x14ac:dyDescent="0.2">
      <c r="B1079"/>
      <c r="C1079"/>
      <c r="D1079"/>
      <c r="E1079"/>
      <c r="F1079"/>
      <c r="G1079"/>
      <c r="H1079"/>
      <c r="J1079"/>
    </row>
    <row r="1080" spans="2:10" x14ac:dyDescent="0.2">
      <c r="B1080"/>
      <c r="C1080"/>
      <c r="D1080"/>
      <c r="E1080"/>
      <c r="F1080"/>
      <c r="G1080"/>
      <c r="H1080"/>
      <c r="J1080"/>
    </row>
    <row r="1081" spans="2:10" x14ac:dyDescent="0.2">
      <c r="B1081"/>
      <c r="C1081"/>
      <c r="D1081"/>
      <c r="E1081"/>
      <c r="F1081"/>
      <c r="G1081"/>
      <c r="H1081"/>
      <c r="J1081"/>
    </row>
    <row r="1082" spans="2:10" x14ac:dyDescent="0.2">
      <c r="B1082"/>
      <c r="C1082"/>
      <c r="D1082"/>
      <c r="E1082"/>
      <c r="F1082"/>
      <c r="G1082"/>
      <c r="H1082"/>
      <c r="J1082"/>
    </row>
    <row r="1083" spans="2:10" x14ac:dyDescent="0.2">
      <c r="B1083"/>
      <c r="C1083"/>
      <c r="D1083"/>
      <c r="E1083"/>
      <c r="F1083"/>
      <c r="G1083"/>
      <c r="H1083"/>
      <c r="J1083"/>
    </row>
    <row r="1084" spans="2:10" x14ac:dyDescent="0.2">
      <c r="B1084"/>
      <c r="C1084"/>
      <c r="D1084"/>
      <c r="E1084"/>
      <c r="F1084"/>
      <c r="G1084"/>
      <c r="H1084"/>
      <c r="J1084"/>
    </row>
    <row r="1085" spans="2:10" x14ac:dyDescent="0.2">
      <c r="B1085"/>
      <c r="C1085"/>
      <c r="D1085"/>
      <c r="E1085"/>
      <c r="F1085"/>
      <c r="G1085"/>
      <c r="H1085"/>
      <c r="J1085"/>
    </row>
    <row r="1086" spans="2:10" x14ac:dyDescent="0.2">
      <c r="B1086"/>
      <c r="C1086"/>
      <c r="D1086"/>
      <c r="E1086"/>
      <c r="F1086"/>
      <c r="G1086"/>
      <c r="H1086"/>
      <c r="J1086"/>
    </row>
    <row r="1087" spans="2:10" x14ac:dyDescent="0.2">
      <c r="B1087"/>
      <c r="C1087"/>
      <c r="D1087"/>
      <c r="E1087"/>
      <c r="F1087"/>
      <c r="G1087"/>
      <c r="H1087"/>
      <c r="J1087"/>
    </row>
    <row r="1088" spans="2:10" x14ac:dyDescent="0.2">
      <c r="B1088"/>
      <c r="C1088"/>
      <c r="D1088"/>
      <c r="E1088"/>
      <c r="F1088"/>
      <c r="G1088"/>
      <c r="H1088"/>
      <c r="J1088"/>
    </row>
    <row r="1089" spans="2:10" x14ac:dyDescent="0.2">
      <c r="B1089"/>
      <c r="C1089"/>
      <c r="D1089"/>
      <c r="E1089"/>
      <c r="F1089"/>
      <c r="G1089"/>
      <c r="H1089"/>
      <c r="J1089"/>
    </row>
    <row r="1090" spans="2:10" x14ac:dyDescent="0.2">
      <c r="B1090"/>
      <c r="C1090"/>
      <c r="D1090"/>
      <c r="E1090"/>
      <c r="F1090"/>
      <c r="G1090"/>
      <c r="H1090"/>
      <c r="J1090"/>
    </row>
    <row r="1091" spans="2:10" x14ac:dyDescent="0.2">
      <c r="B1091"/>
      <c r="C1091"/>
      <c r="D1091"/>
      <c r="E1091"/>
      <c r="F1091"/>
      <c r="G1091"/>
      <c r="H1091"/>
      <c r="J1091"/>
    </row>
    <row r="1092" spans="2:10" x14ac:dyDescent="0.2">
      <c r="B1092"/>
      <c r="C1092"/>
      <c r="D1092"/>
      <c r="E1092"/>
      <c r="F1092"/>
      <c r="G1092"/>
      <c r="H1092"/>
      <c r="J1092"/>
    </row>
    <row r="1093" spans="2:10" x14ac:dyDescent="0.2">
      <c r="B1093"/>
      <c r="C1093"/>
      <c r="D1093"/>
      <c r="E1093"/>
      <c r="F1093"/>
      <c r="G1093"/>
      <c r="H1093"/>
      <c r="J1093"/>
    </row>
    <row r="1094" spans="2:10" x14ac:dyDescent="0.2">
      <c r="B1094"/>
      <c r="C1094"/>
      <c r="D1094"/>
      <c r="E1094"/>
      <c r="F1094"/>
      <c r="G1094"/>
      <c r="H1094"/>
      <c r="J1094"/>
    </row>
    <row r="1095" spans="2:10" x14ac:dyDescent="0.2">
      <c r="B1095"/>
      <c r="C1095"/>
      <c r="D1095"/>
      <c r="E1095"/>
      <c r="F1095"/>
      <c r="G1095"/>
      <c r="H1095"/>
      <c r="J1095"/>
    </row>
    <row r="1096" spans="2:10" x14ac:dyDescent="0.2">
      <c r="B1096"/>
      <c r="C1096"/>
      <c r="D1096"/>
      <c r="E1096"/>
      <c r="F1096"/>
      <c r="G1096"/>
      <c r="H1096"/>
      <c r="J1096"/>
    </row>
    <row r="1097" spans="2:10" x14ac:dyDescent="0.2">
      <c r="B1097"/>
      <c r="C1097"/>
      <c r="D1097"/>
      <c r="E1097"/>
      <c r="F1097"/>
      <c r="G1097"/>
      <c r="H1097"/>
      <c r="J1097"/>
    </row>
    <row r="1098" spans="2:10" x14ac:dyDescent="0.2">
      <c r="B1098"/>
      <c r="C1098"/>
      <c r="D1098"/>
      <c r="E1098"/>
      <c r="F1098"/>
      <c r="G1098"/>
      <c r="H1098"/>
      <c r="J1098"/>
    </row>
    <row r="1099" spans="2:10" x14ac:dyDescent="0.2">
      <c r="B1099"/>
      <c r="C1099"/>
      <c r="D1099"/>
      <c r="E1099"/>
      <c r="F1099"/>
      <c r="G1099"/>
      <c r="H1099"/>
      <c r="J1099"/>
    </row>
    <row r="1100" spans="2:10" x14ac:dyDescent="0.2">
      <c r="B1100"/>
      <c r="C1100"/>
      <c r="D1100"/>
      <c r="E1100"/>
      <c r="F1100"/>
      <c r="G1100"/>
      <c r="H1100"/>
      <c r="J1100"/>
    </row>
    <row r="1101" spans="2:10" x14ac:dyDescent="0.2">
      <c r="B1101"/>
      <c r="C1101"/>
      <c r="D1101"/>
      <c r="E1101"/>
      <c r="F1101"/>
      <c r="G1101"/>
      <c r="H1101"/>
      <c r="J1101"/>
    </row>
    <row r="1102" spans="2:10" x14ac:dyDescent="0.2">
      <c r="B1102"/>
      <c r="C1102"/>
      <c r="D1102"/>
      <c r="E1102"/>
      <c r="F1102"/>
      <c r="G1102"/>
      <c r="H1102"/>
      <c r="J1102"/>
    </row>
    <row r="1103" spans="2:10" x14ac:dyDescent="0.2">
      <c r="B1103"/>
      <c r="C1103"/>
      <c r="D1103"/>
      <c r="E1103"/>
      <c r="F1103"/>
      <c r="G1103"/>
      <c r="H1103"/>
      <c r="J1103"/>
    </row>
    <row r="1104" spans="2:10" x14ac:dyDescent="0.2">
      <c r="B1104"/>
      <c r="C1104"/>
      <c r="D1104"/>
      <c r="E1104"/>
      <c r="F1104"/>
      <c r="G1104"/>
      <c r="H1104"/>
      <c r="J1104"/>
    </row>
    <row r="1105" spans="2:10" x14ac:dyDescent="0.2">
      <c r="B1105"/>
      <c r="C1105"/>
      <c r="D1105"/>
      <c r="E1105"/>
      <c r="F1105"/>
      <c r="G1105"/>
      <c r="H1105"/>
      <c r="J1105"/>
    </row>
    <row r="1106" spans="2:10" x14ac:dyDescent="0.2">
      <c r="B1106"/>
      <c r="C1106"/>
      <c r="D1106"/>
      <c r="E1106"/>
      <c r="F1106"/>
      <c r="G1106"/>
      <c r="H1106"/>
      <c r="J1106"/>
    </row>
    <row r="1107" spans="2:10" x14ac:dyDescent="0.2">
      <c r="B1107"/>
      <c r="C1107"/>
      <c r="D1107"/>
      <c r="E1107"/>
      <c r="F1107"/>
      <c r="G1107"/>
      <c r="H1107"/>
      <c r="J1107"/>
    </row>
    <row r="1108" spans="2:10" x14ac:dyDescent="0.2">
      <c r="B1108"/>
      <c r="C1108"/>
      <c r="D1108"/>
      <c r="E1108"/>
      <c r="F1108"/>
      <c r="G1108"/>
      <c r="H1108"/>
      <c r="J1108"/>
    </row>
    <row r="1109" spans="2:10" x14ac:dyDescent="0.2">
      <c r="B1109"/>
      <c r="C1109"/>
      <c r="D1109"/>
      <c r="E1109"/>
      <c r="F1109"/>
      <c r="G1109"/>
      <c r="H1109"/>
      <c r="J1109"/>
    </row>
    <row r="1110" spans="2:10" x14ac:dyDescent="0.2">
      <c r="B1110"/>
      <c r="C1110"/>
      <c r="D1110"/>
      <c r="E1110"/>
      <c r="F1110"/>
      <c r="G1110"/>
      <c r="H1110"/>
      <c r="J1110"/>
    </row>
    <row r="1111" spans="2:10" x14ac:dyDescent="0.2">
      <c r="B1111"/>
      <c r="C1111"/>
      <c r="D1111"/>
      <c r="E1111"/>
      <c r="F1111"/>
      <c r="G1111"/>
      <c r="H1111"/>
      <c r="J1111"/>
    </row>
    <row r="1112" spans="2:10" x14ac:dyDescent="0.2">
      <c r="B1112"/>
      <c r="C1112"/>
      <c r="D1112"/>
      <c r="E1112"/>
      <c r="F1112"/>
      <c r="G1112"/>
      <c r="H1112"/>
      <c r="J1112"/>
    </row>
    <row r="1113" spans="2:10" x14ac:dyDescent="0.2">
      <c r="B1113"/>
      <c r="C1113"/>
      <c r="D1113"/>
      <c r="E1113"/>
      <c r="F1113"/>
      <c r="G1113"/>
      <c r="H1113"/>
      <c r="J1113"/>
    </row>
    <row r="1114" spans="2:10" x14ac:dyDescent="0.2">
      <c r="B1114"/>
      <c r="C1114"/>
      <c r="D1114"/>
      <c r="E1114"/>
      <c r="F1114"/>
      <c r="G1114"/>
      <c r="H1114"/>
      <c r="J1114"/>
    </row>
    <row r="1115" spans="2:10" x14ac:dyDescent="0.2">
      <c r="B1115"/>
      <c r="C1115"/>
      <c r="D1115"/>
      <c r="E1115"/>
      <c r="F1115"/>
      <c r="G1115"/>
      <c r="H1115"/>
      <c r="J1115"/>
    </row>
    <row r="1116" spans="2:10" x14ac:dyDescent="0.2">
      <c r="B1116"/>
      <c r="C1116"/>
      <c r="D1116"/>
      <c r="E1116"/>
      <c r="F1116"/>
      <c r="G1116"/>
      <c r="H1116"/>
      <c r="J1116"/>
    </row>
    <row r="1117" spans="2:10" x14ac:dyDescent="0.2">
      <c r="B1117"/>
      <c r="C1117"/>
      <c r="D1117"/>
      <c r="E1117"/>
      <c r="F1117"/>
      <c r="G1117"/>
      <c r="H1117"/>
      <c r="J1117"/>
    </row>
    <row r="1118" spans="2:10" x14ac:dyDescent="0.2">
      <c r="B1118"/>
      <c r="C1118"/>
      <c r="D1118"/>
      <c r="E1118"/>
      <c r="F1118"/>
      <c r="G1118"/>
      <c r="H1118"/>
      <c r="J1118"/>
    </row>
    <row r="1119" spans="2:10" x14ac:dyDescent="0.2">
      <c r="B1119"/>
      <c r="C1119"/>
      <c r="D1119"/>
      <c r="E1119"/>
      <c r="F1119"/>
      <c r="G1119"/>
      <c r="H1119"/>
      <c r="J1119"/>
    </row>
    <row r="1120" spans="2:10" x14ac:dyDescent="0.2">
      <c r="B1120"/>
      <c r="C1120"/>
      <c r="D1120"/>
      <c r="E1120"/>
      <c r="F1120"/>
      <c r="G1120"/>
      <c r="H1120"/>
      <c r="J1120"/>
    </row>
    <row r="1121" spans="2:10" x14ac:dyDescent="0.2">
      <c r="B1121"/>
      <c r="C1121"/>
      <c r="D1121"/>
      <c r="E1121"/>
      <c r="F1121"/>
      <c r="G1121"/>
      <c r="H1121"/>
      <c r="J1121"/>
    </row>
    <row r="1122" spans="2:10" x14ac:dyDescent="0.2">
      <c r="B1122"/>
      <c r="C1122"/>
      <c r="D1122"/>
      <c r="E1122"/>
      <c r="F1122"/>
      <c r="G1122"/>
      <c r="H1122"/>
      <c r="J1122"/>
    </row>
    <row r="1123" spans="2:10" x14ac:dyDescent="0.2">
      <c r="B1123"/>
      <c r="C1123"/>
      <c r="D1123"/>
      <c r="E1123"/>
      <c r="F1123"/>
      <c r="G1123"/>
      <c r="H1123"/>
      <c r="J1123"/>
    </row>
    <row r="1124" spans="2:10" x14ac:dyDescent="0.2">
      <c r="B1124"/>
      <c r="C1124"/>
      <c r="D1124"/>
      <c r="E1124"/>
      <c r="F1124"/>
      <c r="G1124"/>
      <c r="H1124"/>
      <c r="J1124"/>
    </row>
    <row r="1125" spans="2:10" x14ac:dyDescent="0.2">
      <c r="B1125"/>
      <c r="C1125"/>
      <c r="D1125"/>
      <c r="E1125"/>
      <c r="F1125"/>
      <c r="G1125"/>
      <c r="H1125"/>
      <c r="J1125"/>
    </row>
    <row r="1126" spans="2:10" x14ac:dyDescent="0.2">
      <c r="B1126"/>
      <c r="C1126"/>
      <c r="D1126"/>
      <c r="E1126"/>
      <c r="F1126"/>
      <c r="G1126"/>
      <c r="H1126"/>
      <c r="J1126"/>
    </row>
    <row r="1127" spans="2:10" x14ac:dyDescent="0.2">
      <c r="B1127"/>
      <c r="C1127"/>
      <c r="D1127"/>
      <c r="E1127"/>
      <c r="F1127"/>
      <c r="G1127"/>
      <c r="H1127"/>
      <c r="J1127"/>
    </row>
    <row r="1128" spans="2:10" x14ac:dyDescent="0.2">
      <c r="B1128"/>
      <c r="C1128"/>
      <c r="D1128"/>
      <c r="E1128"/>
      <c r="F1128"/>
      <c r="G1128"/>
      <c r="H1128"/>
      <c r="J1128"/>
    </row>
    <row r="1129" spans="2:10" x14ac:dyDescent="0.2">
      <c r="B1129"/>
      <c r="C1129"/>
      <c r="D1129"/>
      <c r="E1129"/>
      <c r="F1129"/>
      <c r="G1129"/>
      <c r="H1129"/>
      <c r="J1129"/>
    </row>
    <row r="1130" spans="2:10" x14ac:dyDescent="0.2">
      <c r="B1130"/>
      <c r="C1130"/>
      <c r="D1130"/>
      <c r="E1130"/>
      <c r="F1130"/>
      <c r="G1130"/>
      <c r="H1130"/>
      <c r="J1130"/>
    </row>
    <row r="1131" spans="2:10" x14ac:dyDescent="0.2">
      <c r="B1131"/>
      <c r="C1131"/>
      <c r="D1131"/>
      <c r="E1131"/>
      <c r="F1131"/>
      <c r="G1131"/>
      <c r="H1131"/>
      <c r="J1131"/>
    </row>
    <row r="1132" spans="2:10" x14ac:dyDescent="0.2">
      <c r="B1132"/>
      <c r="C1132"/>
      <c r="D1132"/>
      <c r="E1132"/>
      <c r="F1132"/>
      <c r="G1132"/>
      <c r="H1132"/>
      <c r="J1132"/>
    </row>
    <row r="1133" spans="2:10" x14ac:dyDescent="0.2">
      <c r="B1133"/>
      <c r="C1133"/>
      <c r="D1133"/>
      <c r="E1133"/>
      <c r="F1133"/>
      <c r="G1133"/>
      <c r="H1133"/>
      <c r="J1133"/>
    </row>
    <row r="1134" spans="2:10" x14ac:dyDescent="0.2">
      <c r="B1134"/>
      <c r="C1134"/>
      <c r="D1134"/>
      <c r="E1134"/>
      <c r="F1134"/>
      <c r="G1134"/>
      <c r="H1134"/>
      <c r="J1134"/>
    </row>
    <row r="1135" spans="2:10" x14ac:dyDescent="0.2">
      <c r="B1135"/>
      <c r="C1135"/>
      <c r="D1135"/>
      <c r="E1135"/>
      <c r="F1135"/>
      <c r="G1135"/>
      <c r="H1135"/>
      <c r="J1135"/>
    </row>
    <row r="1136" spans="2:10" x14ac:dyDescent="0.2">
      <c r="B1136"/>
      <c r="C1136"/>
      <c r="D1136"/>
      <c r="E1136"/>
      <c r="F1136"/>
      <c r="G1136"/>
      <c r="H1136"/>
      <c r="J1136"/>
    </row>
    <row r="1137" spans="2:10" x14ac:dyDescent="0.2">
      <c r="B1137"/>
      <c r="C1137"/>
      <c r="D1137"/>
      <c r="E1137"/>
      <c r="F1137"/>
      <c r="G1137"/>
      <c r="H1137"/>
      <c r="J1137"/>
    </row>
    <row r="1138" spans="2:10" x14ac:dyDescent="0.2">
      <c r="B1138"/>
      <c r="C1138"/>
      <c r="D1138"/>
      <c r="E1138"/>
      <c r="F1138"/>
      <c r="G1138"/>
      <c r="H1138"/>
      <c r="J1138"/>
    </row>
    <row r="1139" spans="2:10" x14ac:dyDescent="0.2">
      <c r="B1139"/>
      <c r="C1139"/>
      <c r="D1139"/>
      <c r="E1139"/>
      <c r="F1139"/>
      <c r="G1139"/>
      <c r="H1139"/>
      <c r="J1139"/>
    </row>
    <row r="1140" spans="2:10" x14ac:dyDescent="0.2">
      <c r="B1140"/>
      <c r="C1140"/>
      <c r="D1140"/>
      <c r="E1140"/>
      <c r="F1140"/>
      <c r="G1140"/>
      <c r="H1140"/>
      <c r="J1140"/>
    </row>
    <row r="1141" spans="2:10" x14ac:dyDescent="0.2">
      <c r="B1141"/>
      <c r="C1141"/>
      <c r="D1141"/>
      <c r="E1141"/>
      <c r="F1141"/>
      <c r="G1141"/>
      <c r="H1141"/>
      <c r="J1141"/>
    </row>
    <row r="1142" spans="2:10" x14ac:dyDescent="0.2">
      <c r="B1142"/>
      <c r="C1142"/>
      <c r="D1142"/>
      <c r="E1142"/>
      <c r="F1142"/>
      <c r="G1142"/>
      <c r="H1142"/>
      <c r="J1142"/>
    </row>
    <row r="1143" spans="2:10" x14ac:dyDescent="0.2">
      <c r="B1143"/>
      <c r="C1143"/>
      <c r="D1143"/>
      <c r="E1143"/>
      <c r="F1143"/>
      <c r="G1143"/>
      <c r="H1143"/>
      <c r="J1143"/>
    </row>
    <row r="1144" spans="2:10" x14ac:dyDescent="0.2">
      <c r="B1144"/>
      <c r="C1144"/>
      <c r="D1144"/>
      <c r="E1144"/>
      <c r="F1144"/>
      <c r="G1144"/>
      <c r="H1144"/>
      <c r="J1144"/>
    </row>
    <row r="1145" spans="2:10" x14ac:dyDescent="0.2">
      <c r="B1145"/>
      <c r="C1145"/>
      <c r="D1145"/>
      <c r="E1145"/>
      <c r="F1145"/>
      <c r="G1145"/>
      <c r="H1145"/>
      <c r="J1145"/>
    </row>
    <row r="1146" spans="2:10" x14ac:dyDescent="0.2">
      <c r="B1146"/>
      <c r="C1146"/>
      <c r="D1146"/>
      <c r="E1146"/>
      <c r="F1146"/>
      <c r="G1146"/>
      <c r="H1146"/>
      <c r="J1146"/>
    </row>
    <row r="1147" spans="2:10" x14ac:dyDescent="0.2">
      <c r="B1147"/>
      <c r="C1147"/>
      <c r="D1147"/>
      <c r="E1147"/>
      <c r="F1147"/>
      <c r="G1147"/>
      <c r="H1147"/>
      <c r="J1147"/>
    </row>
    <row r="1148" spans="2:10" x14ac:dyDescent="0.2">
      <c r="B1148"/>
      <c r="C1148"/>
      <c r="D1148"/>
      <c r="E1148"/>
      <c r="F1148"/>
      <c r="G1148"/>
      <c r="H1148"/>
      <c r="J1148"/>
    </row>
    <row r="1149" spans="2:10" x14ac:dyDescent="0.2">
      <c r="B1149"/>
      <c r="C1149"/>
      <c r="D1149"/>
      <c r="E1149"/>
      <c r="F1149"/>
      <c r="G1149"/>
      <c r="H1149"/>
      <c r="J1149"/>
    </row>
    <row r="1150" spans="2:10" x14ac:dyDescent="0.2">
      <c r="B1150"/>
      <c r="C1150"/>
      <c r="D1150"/>
      <c r="E1150"/>
      <c r="F1150"/>
      <c r="G1150"/>
      <c r="H1150"/>
      <c r="J1150"/>
    </row>
    <row r="1151" spans="2:10" x14ac:dyDescent="0.2">
      <c r="B1151"/>
      <c r="C1151"/>
      <c r="D1151"/>
      <c r="E1151"/>
      <c r="F1151"/>
      <c r="G1151"/>
      <c r="H1151"/>
      <c r="J1151"/>
    </row>
    <row r="1152" spans="2:10" x14ac:dyDescent="0.2">
      <c r="B1152"/>
      <c r="C1152"/>
      <c r="D1152"/>
      <c r="E1152"/>
      <c r="F1152"/>
      <c r="G1152"/>
      <c r="H1152"/>
      <c r="J1152"/>
    </row>
    <row r="1153" spans="2:10" x14ac:dyDescent="0.2">
      <c r="B1153"/>
      <c r="C1153"/>
      <c r="D1153"/>
      <c r="E1153"/>
      <c r="F1153"/>
      <c r="G1153"/>
      <c r="H1153"/>
      <c r="J1153"/>
    </row>
    <row r="1154" spans="2:10" x14ac:dyDescent="0.2">
      <c r="B1154"/>
      <c r="C1154"/>
      <c r="D1154"/>
      <c r="E1154"/>
      <c r="F1154"/>
      <c r="G1154"/>
      <c r="H1154"/>
      <c r="J1154"/>
    </row>
    <row r="1155" spans="2:10" x14ac:dyDescent="0.2">
      <c r="B1155"/>
      <c r="C1155"/>
      <c r="D1155"/>
      <c r="E1155"/>
      <c r="F1155"/>
      <c r="G1155"/>
      <c r="H1155"/>
      <c r="J1155"/>
    </row>
    <row r="1156" spans="2:10" x14ac:dyDescent="0.2">
      <c r="B1156"/>
      <c r="C1156"/>
      <c r="D1156"/>
      <c r="E1156"/>
      <c r="F1156"/>
      <c r="G1156"/>
      <c r="H1156"/>
      <c r="J1156"/>
    </row>
    <row r="1157" spans="2:10" x14ac:dyDescent="0.2">
      <c r="B1157"/>
      <c r="C1157"/>
      <c r="D1157"/>
      <c r="E1157"/>
      <c r="F1157"/>
      <c r="G1157"/>
      <c r="H1157"/>
      <c r="J1157"/>
    </row>
    <row r="1158" spans="2:10" x14ac:dyDescent="0.2">
      <c r="B1158"/>
      <c r="C1158"/>
      <c r="D1158"/>
      <c r="E1158"/>
      <c r="F1158"/>
      <c r="G1158"/>
      <c r="H1158"/>
      <c r="J1158"/>
    </row>
    <row r="1159" spans="2:10" x14ac:dyDescent="0.2">
      <c r="B1159"/>
      <c r="C1159"/>
      <c r="D1159"/>
      <c r="E1159"/>
      <c r="F1159"/>
      <c r="G1159"/>
      <c r="H1159"/>
      <c r="J1159"/>
    </row>
    <row r="1160" spans="2:10" x14ac:dyDescent="0.2">
      <c r="B1160"/>
      <c r="C1160"/>
      <c r="D1160"/>
      <c r="E1160"/>
      <c r="F1160"/>
      <c r="G1160"/>
      <c r="H1160"/>
      <c r="J1160"/>
    </row>
    <row r="1161" spans="2:10" x14ac:dyDescent="0.2">
      <c r="B1161"/>
      <c r="C1161"/>
      <c r="D1161"/>
      <c r="E1161"/>
      <c r="F1161"/>
      <c r="G1161"/>
      <c r="H1161"/>
      <c r="J1161"/>
    </row>
    <row r="1162" spans="2:10" x14ac:dyDescent="0.2">
      <c r="B1162"/>
      <c r="C1162"/>
      <c r="D1162"/>
      <c r="E1162"/>
      <c r="F1162"/>
      <c r="G1162"/>
      <c r="H1162"/>
      <c r="J1162"/>
    </row>
    <row r="1163" spans="2:10" x14ac:dyDescent="0.2">
      <c r="B1163"/>
      <c r="C1163"/>
      <c r="D1163"/>
      <c r="E1163"/>
      <c r="F1163"/>
      <c r="G1163"/>
      <c r="H1163"/>
      <c r="J1163"/>
    </row>
    <row r="1164" spans="2:10" x14ac:dyDescent="0.2">
      <c r="B1164"/>
      <c r="C1164"/>
      <c r="D1164"/>
      <c r="E1164"/>
      <c r="F1164"/>
      <c r="G1164"/>
      <c r="H1164"/>
      <c r="J1164"/>
    </row>
    <row r="1165" spans="2:10" x14ac:dyDescent="0.2">
      <c r="B1165"/>
      <c r="C1165"/>
      <c r="D1165"/>
      <c r="E1165"/>
      <c r="F1165"/>
      <c r="G1165"/>
      <c r="H1165"/>
      <c r="J1165"/>
    </row>
    <row r="1166" spans="2:10" x14ac:dyDescent="0.2">
      <c r="B1166"/>
      <c r="C1166"/>
      <c r="D1166"/>
      <c r="E1166"/>
      <c r="F1166"/>
      <c r="G1166"/>
      <c r="H1166"/>
      <c r="J1166"/>
    </row>
    <row r="1167" spans="2:10" x14ac:dyDescent="0.2">
      <c r="B1167"/>
      <c r="C1167"/>
      <c r="D1167"/>
      <c r="E1167"/>
      <c r="F1167"/>
      <c r="G1167"/>
      <c r="H1167"/>
      <c r="J1167"/>
    </row>
    <row r="1168" spans="2:10" x14ac:dyDescent="0.2">
      <c r="B1168"/>
      <c r="C1168"/>
      <c r="D1168"/>
      <c r="E1168"/>
      <c r="F1168"/>
      <c r="G1168"/>
      <c r="H1168"/>
      <c r="J1168"/>
    </row>
    <row r="1169" spans="2:10" x14ac:dyDescent="0.2">
      <c r="B1169"/>
      <c r="C1169"/>
      <c r="D1169"/>
      <c r="E1169"/>
      <c r="F1169"/>
      <c r="G1169"/>
      <c r="H1169"/>
      <c r="J1169"/>
    </row>
    <row r="1170" spans="2:10" x14ac:dyDescent="0.2">
      <c r="B1170"/>
      <c r="C1170"/>
      <c r="D1170"/>
      <c r="E1170"/>
      <c r="F1170"/>
      <c r="G1170"/>
      <c r="H1170"/>
      <c r="J1170"/>
    </row>
    <row r="1171" spans="2:10" x14ac:dyDescent="0.2">
      <c r="B1171"/>
      <c r="C1171"/>
      <c r="D1171"/>
      <c r="E1171"/>
      <c r="F1171"/>
      <c r="G1171"/>
      <c r="H1171"/>
      <c r="J1171"/>
    </row>
    <row r="1172" spans="2:10" x14ac:dyDescent="0.2">
      <c r="B1172"/>
      <c r="C1172"/>
      <c r="D1172"/>
      <c r="E1172"/>
      <c r="F1172"/>
      <c r="G1172"/>
      <c r="H1172"/>
      <c r="J1172"/>
    </row>
    <row r="1173" spans="2:10" x14ac:dyDescent="0.2">
      <c r="B1173"/>
      <c r="C1173"/>
      <c r="D1173"/>
      <c r="E1173"/>
      <c r="F1173"/>
      <c r="G1173"/>
      <c r="H1173"/>
      <c r="J1173"/>
    </row>
    <row r="1174" spans="2:10" x14ac:dyDescent="0.2">
      <c r="B1174"/>
      <c r="C1174"/>
      <c r="D1174"/>
      <c r="E1174"/>
      <c r="F1174"/>
      <c r="G1174"/>
      <c r="H1174"/>
      <c r="J1174"/>
    </row>
    <row r="1175" spans="2:10" x14ac:dyDescent="0.2">
      <c r="B1175"/>
      <c r="C1175"/>
      <c r="D1175"/>
      <c r="E1175"/>
      <c r="F1175"/>
      <c r="G1175"/>
      <c r="H1175"/>
      <c r="J1175"/>
    </row>
    <row r="1176" spans="2:10" x14ac:dyDescent="0.2">
      <c r="B1176"/>
      <c r="C1176"/>
      <c r="D1176"/>
      <c r="E1176"/>
      <c r="F1176"/>
      <c r="G1176"/>
      <c r="H1176"/>
      <c r="J1176"/>
    </row>
    <row r="1177" spans="2:10" x14ac:dyDescent="0.2">
      <c r="B1177"/>
      <c r="C1177"/>
      <c r="D1177"/>
      <c r="E1177"/>
      <c r="F1177"/>
      <c r="G1177"/>
      <c r="H1177"/>
      <c r="J1177"/>
    </row>
    <row r="1178" spans="2:10" x14ac:dyDescent="0.2">
      <c r="B1178"/>
      <c r="C1178"/>
      <c r="D1178"/>
      <c r="E1178"/>
      <c r="F1178"/>
      <c r="G1178"/>
      <c r="H1178"/>
      <c r="J1178"/>
    </row>
    <row r="1179" spans="2:10" x14ac:dyDescent="0.2">
      <c r="B1179"/>
      <c r="C1179"/>
      <c r="D1179"/>
      <c r="E1179"/>
      <c r="F1179"/>
      <c r="G1179"/>
      <c r="H1179"/>
      <c r="J1179"/>
    </row>
    <row r="1180" spans="2:10" x14ac:dyDescent="0.2">
      <c r="B1180"/>
      <c r="C1180"/>
      <c r="D1180"/>
      <c r="E1180"/>
      <c r="F1180"/>
      <c r="G1180"/>
      <c r="H1180"/>
      <c r="J1180"/>
    </row>
    <row r="1181" spans="2:10" x14ac:dyDescent="0.2">
      <c r="B1181"/>
      <c r="C1181"/>
      <c r="D1181"/>
      <c r="E1181"/>
      <c r="F1181"/>
      <c r="G1181"/>
      <c r="H1181"/>
      <c r="J1181"/>
    </row>
    <row r="1182" spans="2:10" x14ac:dyDescent="0.2">
      <c r="B1182"/>
      <c r="C1182"/>
      <c r="D1182"/>
      <c r="E1182"/>
      <c r="F1182"/>
      <c r="G1182"/>
      <c r="H1182"/>
      <c r="J1182"/>
    </row>
    <row r="1183" spans="2:10" x14ac:dyDescent="0.2">
      <c r="B1183"/>
      <c r="C1183"/>
      <c r="D1183"/>
      <c r="E1183"/>
      <c r="F1183"/>
      <c r="G1183"/>
      <c r="H1183"/>
      <c r="J1183"/>
    </row>
    <row r="1184" spans="2:10" x14ac:dyDescent="0.2">
      <c r="B1184"/>
      <c r="C1184"/>
      <c r="D1184"/>
      <c r="E1184"/>
      <c r="F1184"/>
      <c r="G1184"/>
      <c r="H1184"/>
      <c r="J1184"/>
    </row>
    <row r="1185" spans="2:10" x14ac:dyDescent="0.2">
      <c r="B1185"/>
      <c r="C1185"/>
      <c r="D1185"/>
      <c r="E1185"/>
      <c r="F1185"/>
      <c r="G1185"/>
      <c r="H1185"/>
      <c r="J1185"/>
    </row>
    <row r="1186" spans="2:10" x14ac:dyDescent="0.2">
      <c r="B1186"/>
      <c r="C1186"/>
      <c r="D1186"/>
      <c r="E1186"/>
      <c r="F1186"/>
      <c r="G1186"/>
      <c r="H1186"/>
      <c r="J1186"/>
    </row>
    <row r="1187" spans="2:10" x14ac:dyDescent="0.2">
      <c r="B1187"/>
      <c r="C1187"/>
      <c r="D1187"/>
      <c r="E1187"/>
      <c r="F1187"/>
      <c r="G1187"/>
      <c r="H1187"/>
      <c r="J1187"/>
    </row>
    <row r="1188" spans="2:10" x14ac:dyDescent="0.2">
      <c r="B1188"/>
      <c r="C1188"/>
      <c r="D1188"/>
      <c r="E1188"/>
      <c r="F1188"/>
      <c r="G1188"/>
      <c r="H1188"/>
      <c r="J1188"/>
    </row>
    <row r="1189" spans="2:10" x14ac:dyDescent="0.2">
      <c r="B1189"/>
      <c r="C1189"/>
      <c r="D1189"/>
      <c r="E1189"/>
      <c r="F1189"/>
      <c r="G1189"/>
      <c r="H1189"/>
      <c r="J1189"/>
    </row>
    <row r="1190" spans="2:10" x14ac:dyDescent="0.2">
      <c r="B1190"/>
      <c r="C1190"/>
      <c r="D1190"/>
      <c r="E1190"/>
      <c r="F1190"/>
      <c r="G1190"/>
      <c r="H1190"/>
      <c r="J1190"/>
    </row>
    <row r="1191" spans="2:10" x14ac:dyDescent="0.2">
      <c r="B1191"/>
      <c r="C1191"/>
      <c r="D1191"/>
      <c r="E1191"/>
      <c r="F1191"/>
      <c r="G1191"/>
      <c r="H1191"/>
      <c r="J1191"/>
    </row>
    <row r="1192" spans="2:10" x14ac:dyDescent="0.2">
      <c r="B1192"/>
      <c r="C1192"/>
      <c r="D1192"/>
      <c r="E1192"/>
      <c r="F1192"/>
      <c r="G1192"/>
      <c r="H1192"/>
      <c r="J1192"/>
    </row>
    <row r="1193" spans="2:10" x14ac:dyDescent="0.2">
      <c r="B1193"/>
      <c r="C1193"/>
      <c r="D1193"/>
      <c r="E1193"/>
      <c r="F1193"/>
      <c r="G1193"/>
      <c r="H1193"/>
      <c r="J1193"/>
    </row>
    <row r="1194" spans="2:10" x14ac:dyDescent="0.2">
      <c r="B1194"/>
      <c r="C1194"/>
      <c r="D1194"/>
      <c r="E1194"/>
      <c r="F1194"/>
      <c r="G1194"/>
      <c r="H1194"/>
      <c r="J1194"/>
    </row>
    <row r="1195" spans="2:10" x14ac:dyDescent="0.2">
      <c r="B1195"/>
      <c r="C1195"/>
      <c r="D1195"/>
      <c r="E1195"/>
      <c r="F1195"/>
      <c r="G1195"/>
      <c r="H1195"/>
      <c r="J1195"/>
    </row>
    <row r="1196" spans="2:10" x14ac:dyDescent="0.2">
      <c r="B1196"/>
      <c r="C1196"/>
      <c r="D1196"/>
      <c r="E1196"/>
      <c r="F1196"/>
      <c r="G1196"/>
      <c r="H1196"/>
      <c r="J1196"/>
    </row>
    <row r="1197" spans="2:10" x14ac:dyDescent="0.2">
      <c r="B1197"/>
      <c r="C1197"/>
      <c r="D1197"/>
      <c r="E1197"/>
      <c r="F1197"/>
      <c r="G1197"/>
      <c r="H1197"/>
      <c r="J1197"/>
    </row>
    <row r="1198" spans="2:10" x14ac:dyDescent="0.2">
      <c r="B1198"/>
      <c r="C1198"/>
      <c r="D1198"/>
      <c r="E1198"/>
      <c r="F1198"/>
      <c r="G1198"/>
      <c r="H1198"/>
      <c r="J1198"/>
    </row>
    <row r="1199" spans="2:10" x14ac:dyDescent="0.2">
      <c r="B1199"/>
      <c r="C1199"/>
      <c r="D1199"/>
      <c r="E1199"/>
      <c r="F1199"/>
      <c r="G1199"/>
      <c r="H1199"/>
      <c r="J1199"/>
    </row>
    <row r="1200" spans="2:10" x14ac:dyDescent="0.2">
      <c r="B1200"/>
      <c r="C1200"/>
      <c r="D1200"/>
      <c r="E1200"/>
      <c r="F1200"/>
      <c r="G1200"/>
      <c r="H1200"/>
      <c r="J1200"/>
    </row>
    <row r="1201" spans="2:10" x14ac:dyDescent="0.2">
      <c r="B1201"/>
      <c r="C1201"/>
      <c r="D1201"/>
      <c r="E1201"/>
      <c r="F1201"/>
      <c r="G1201"/>
      <c r="H1201"/>
      <c r="J1201"/>
    </row>
    <row r="1202" spans="2:10" x14ac:dyDescent="0.2">
      <c r="B1202"/>
      <c r="C1202"/>
      <c r="D1202"/>
      <c r="E1202"/>
      <c r="F1202"/>
      <c r="G1202"/>
      <c r="H1202"/>
      <c r="J1202"/>
    </row>
    <row r="1203" spans="2:10" x14ac:dyDescent="0.2">
      <c r="B1203"/>
      <c r="C1203"/>
      <c r="D1203"/>
      <c r="E1203"/>
      <c r="F1203"/>
      <c r="G1203"/>
      <c r="H1203"/>
      <c r="J1203"/>
    </row>
    <row r="1204" spans="2:10" x14ac:dyDescent="0.2">
      <c r="B1204"/>
      <c r="C1204"/>
      <c r="D1204"/>
      <c r="E1204"/>
      <c r="F1204"/>
      <c r="G1204"/>
      <c r="H1204"/>
      <c r="J1204"/>
    </row>
    <row r="1205" spans="2:10" x14ac:dyDescent="0.2">
      <c r="B1205"/>
      <c r="C1205"/>
      <c r="D1205"/>
      <c r="E1205"/>
      <c r="F1205"/>
      <c r="G1205"/>
      <c r="H1205"/>
      <c r="J1205"/>
    </row>
    <row r="1206" spans="2:10" x14ac:dyDescent="0.2">
      <c r="B1206"/>
      <c r="C1206"/>
      <c r="D1206"/>
      <c r="E1206"/>
      <c r="F1206"/>
      <c r="G1206"/>
      <c r="H1206"/>
      <c r="J1206"/>
    </row>
    <row r="1207" spans="2:10" x14ac:dyDescent="0.2">
      <c r="B1207"/>
      <c r="C1207"/>
      <c r="D1207"/>
      <c r="E1207"/>
      <c r="F1207"/>
      <c r="G1207"/>
      <c r="H1207"/>
      <c r="J1207"/>
    </row>
    <row r="1208" spans="2:10" x14ac:dyDescent="0.2">
      <c r="B1208"/>
      <c r="C1208"/>
      <c r="D1208"/>
      <c r="E1208"/>
      <c r="F1208"/>
      <c r="G1208"/>
      <c r="H1208"/>
      <c r="J1208"/>
    </row>
    <row r="1209" spans="2:10" x14ac:dyDescent="0.2">
      <c r="B1209"/>
      <c r="C1209"/>
      <c r="D1209"/>
      <c r="E1209"/>
      <c r="F1209"/>
      <c r="G1209"/>
      <c r="H1209"/>
      <c r="J1209"/>
    </row>
    <row r="1210" spans="2:10" x14ac:dyDescent="0.2">
      <c r="B1210"/>
      <c r="C1210"/>
      <c r="D1210"/>
      <c r="E1210"/>
      <c r="F1210"/>
      <c r="G1210"/>
      <c r="H1210"/>
      <c r="J1210"/>
    </row>
    <row r="1211" spans="2:10" x14ac:dyDescent="0.2">
      <c r="B1211"/>
      <c r="C1211"/>
      <c r="D1211"/>
      <c r="E1211"/>
      <c r="F1211"/>
      <c r="G1211"/>
      <c r="H1211"/>
      <c r="J1211"/>
    </row>
    <row r="1212" spans="2:10" x14ac:dyDescent="0.2">
      <c r="B1212"/>
      <c r="C1212"/>
      <c r="D1212"/>
      <c r="E1212"/>
      <c r="F1212"/>
      <c r="G1212"/>
      <c r="H1212"/>
      <c r="J1212"/>
    </row>
    <row r="1213" spans="2:10" x14ac:dyDescent="0.2">
      <c r="B1213"/>
      <c r="C1213"/>
      <c r="D1213"/>
      <c r="E1213"/>
      <c r="F1213"/>
      <c r="G1213"/>
      <c r="H1213"/>
      <c r="J1213"/>
    </row>
    <row r="1214" spans="2:10" x14ac:dyDescent="0.2">
      <c r="B1214"/>
      <c r="C1214"/>
      <c r="D1214"/>
      <c r="E1214"/>
      <c r="F1214"/>
      <c r="G1214"/>
      <c r="H1214"/>
      <c r="J1214"/>
    </row>
    <row r="1215" spans="2:10" x14ac:dyDescent="0.2">
      <c r="B1215"/>
      <c r="C1215"/>
      <c r="D1215"/>
      <c r="E1215"/>
      <c r="F1215"/>
      <c r="G1215"/>
      <c r="H1215"/>
      <c r="J1215"/>
    </row>
    <row r="1216" spans="2:10" x14ac:dyDescent="0.2">
      <c r="B1216"/>
      <c r="C1216"/>
      <c r="D1216"/>
      <c r="E1216"/>
      <c r="F1216"/>
      <c r="G1216"/>
      <c r="H1216"/>
      <c r="J1216"/>
    </row>
    <row r="1217" spans="2:10" x14ac:dyDescent="0.2">
      <c r="B1217"/>
      <c r="C1217"/>
      <c r="D1217"/>
      <c r="E1217"/>
      <c r="F1217"/>
      <c r="G1217"/>
      <c r="H1217"/>
      <c r="J1217"/>
    </row>
    <row r="1218" spans="2:10" x14ac:dyDescent="0.2">
      <c r="B1218"/>
      <c r="C1218"/>
      <c r="D1218"/>
      <c r="E1218"/>
      <c r="F1218"/>
      <c r="G1218"/>
      <c r="H1218"/>
      <c r="J1218"/>
    </row>
    <row r="1219" spans="2:10" x14ac:dyDescent="0.2">
      <c r="B1219"/>
      <c r="C1219"/>
      <c r="D1219"/>
      <c r="E1219"/>
      <c r="F1219"/>
      <c r="G1219"/>
      <c r="H1219"/>
      <c r="J1219"/>
    </row>
    <row r="1220" spans="2:10" x14ac:dyDescent="0.2">
      <c r="B1220"/>
      <c r="C1220"/>
      <c r="D1220"/>
      <c r="E1220"/>
      <c r="F1220"/>
      <c r="G1220"/>
      <c r="H1220"/>
      <c r="J1220"/>
    </row>
    <row r="1221" spans="2:10" x14ac:dyDescent="0.2">
      <c r="B1221"/>
      <c r="C1221"/>
      <c r="D1221"/>
      <c r="E1221"/>
      <c r="F1221"/>
      <c r="G1221"/>
      <c r="H1221"/>
      <c r="J1221"/>
    </row>
    <row r="1222" spans="2:10" x14ac:dyDescent="0.2">
      <c r="B1222"/>
      <c r="C1222"/>
      <c r="D1222"/>
      <c r="E1222"/>
      <c r="F1222"/>
      <c r="G1222"/>
      <c r="H1222"/>
      <c r="J1222"/>
    </row>
    <row r="1223" spans="2:10" x14ac:dyDescent="0.2">
      <c r="B1223"/>
      <c r="C1223"/>
      <c r="D1223"/>
      <c r="E1223"/>
      <c r="F1223"/>
      <c r="G1223"/>
      <c r="H1223"/>
      <c r="J1223"/>
    </row>
    <row r="1224" spans="2:10" x14ac:dyDescent="0.2">
      <c r="B1224"/>
      <c r="C1224"/>
      <c r="D1224"/>
      <c r="E1224"/>
      <c r="F1224"/>
      <c r="G1224"/>
      <c r="H1224"/>
      <c r="J1224"/>
    </row>
    <row r="1225" spans="2:10" x14ac:dyDescent="0.2">
      <c r="B1225"/>
      <c r="C1225"/>
      <c r="D1225"/>
      <c r="E1225"/>
      <c r="F1225"/>
      <c r="G1225"/>
      <c r="H1225"/>
      <c r="J1225"/>
    </row>
    <row r="1226" spans="2:10" x14ac:dyDescent="0.2">
      <c r="B1226"/>
      <c r="C1226"/>
      <c r="D1226"/>
      <c r="E1226"/>
      <c r="F1226"/>
      <c r="G1226"/>
      <c r="H1226"/>
      <c r="J1226"/>
    </row>
    <row r="1227" spans="2:10" x14ac:dyDescent="0.2">
      <c r="B1227"/>
      <c r="C1227"/>
      <c r="D1227"/>
      <c r="E1227"/>
      <c r="F1227"/>
      <c r="G1227"/>
      <c r="H1227"/>
      <c r="J1227"/>
    </row>
    <row r="1228" spans="2:10" x14ac:dyDescent="0.2">
      <c r="B1228"/>
      <c r="C1228"/>
      <c r="D1228"/>
      <c r="E1228"/>
      <c r="F1228"/>
      <c r="G1228"/>
      <c r="H1228"/>
      <c r="J1228"/>
    </row>
    <row r="1229" spans="2:10" x14ac:dyDescent="0.2">
      <c r="B1229"/>
      <c r="C1229"/>
      <c r="D1229"/>
      <c r="E1229"/>
      <c r="F1229"/>
      <c r="G1229"/>
      <c r="H1229"/>
      <c r="J1229"/>
    </row>
    <row r="1230" spans="2:10" x14ac:dyDescent="0.2">
      <c r="B1230"/>
      <c r="C1230"/>
      <c r="D1230"/>
      <c r="E1230"/>
      <c r="F1230"/>
      <c r="G1230"/>
      <c r="H1230"/>
      <c r="J1230"/>
    </row>
    <row r="1231" spans="2:10" x14ac:dyDescent="0.2">
      <c r="B1231"/>
      <c r="C1231"/>
      <c r="D1231"/>
      <c r="E1231"/>
      <c r="F1231"/>
      <c r="G1231"/>
      <c r="H1231"/>
      <c r="J1231"/>
    </row>
    <row r="1232" spans="2:10" x14ac:dyDescent="0.2">
      <c r="B1232"/>
      <c r="C1232"/>
      <c r="D1232"/>
      <c r="E1232"/>
      <c r="F1232"/>
      <c r="G1232"/>
      <c r="H1232"/>
      <c r="J1232"/>
    </row>
    <row r="1233" spans="2:10" x14ac:dyDescent="0.2">
      <c r="B1233"/>
      <c r="C1233"/>
      <c r="D1233"/>
      <c r="E1233"/>
      <c r="F1233"/>
      <c r="G1233"/>
      <c r="H1233"/>
      <c r="J1233"/>
    </row>
    <row r="1234" spans="2:10" x14ac:dyDescent="0.2">
      <c r="B1234"/>
      <c r="C1234"/>
      <c r="D1234"/>
      <c r="E1234"/>
      <c r="F1234"/>
      <c r="G1234"/>
      <c r="H1234"/>
      <c r="J1234"/>
    </row>
    <row r="1235" spans="2:10" x14ac:dyDescent="0.2">
      <c r="B1235"/>
      <c r="C1235"/>
      <c r="D1235"/>
      <c r="E1235"/>
      <c r="F1235"/>
      <c r="G1235"/>
      <c r="H1235"/>
      <c r="J1235"/>
    </row>
    <row r="1236" spans="2:10" x14ac:dyDescent="0.2">
      <c r="B1236"/>
      <c r="C1236"/>
      <c r="D1236"/>
      <c r="E1236"/>
      <c r="F1236"/>
      <c r="G1236"/>
      <c r="H1236"/>
      <c r="J1236"/>
    </row>
    <row r="1237" spans="2:10" x14ac:dyDescent="0.2">
      <c r="B1237"/>
      <c r="C1237"/>
      <c r="D1237"/>
      <c r="E1237"/>
      <c r="F1237"/>
      <c r="G1237"/>
      <c r="H1237"/>
      <c r="J1237"/>
    </row>
    <row r="1238" spans="2:10" x14ac:dyDescent="0.2">
      <c r="B1238"/>
      <c r="C1238"/>
      <c r="D1238"/>
      <c r="E1238"/>
      <c r="F1238"/>
      <c r="G1238"/>
      <c r="H1238"/>
      <c r="J1238"/>
    </row>
    <row r="1239" spans="2:10" x14ac:dyDescent="0.2">
      <c r="B1239"/>
      <c r="C1239"/>
      <c r="D1239"/>
      <c r="E1239"/>
      <c r="F1239"/>
      <c r="G1239"/>
      <c r="H1239"/>
      <c r="J1239"/>
    </row>
    <row r="1240" spans="2:10" x14ac:dyDescent="0.2">
      <c r="B1240"/>
      <c r="C1240"/>
      <c r="D1240"/>
      <c r="E1240"/>
      <c r="F1240"/>
      <c r="G1240"/>
      <c r="H1240"/>
      <c r="J1240"/>
    </row>
    <row r="1241" spans="2:10" x14ac:dyDescent="0.2">
      <c r="B1241"/>
      <c r="C1241"/>
      <c r="D1241"/>
      <c r="E1241"/>
      <c r="F1241"/>
      <c r="G1241"/>
      <c r="H1241"/>
      <c r="J1241"/>
    </row>
    <row r="1242" spans="2:10" x14ac:dyDescent="0.2">
      <c r="B1242"/>
      <c r="C1242"/>
      <c r="D1242"/>
      <c r="E1242"/>
      <c r="F1242"/>
      <c r="G1242"/>
      <c r="H1242"/>
      <c r="J1242"/>
    </row>
    <row r="1243" spans="2:10" x14ac:dyDescent="0.2">
      <c r="B1243"/>
      <c r="C1243"/>
      <c r="D1243"/>
      <c r="E1243"/>
      <c r="F1243"/>
      <c r="G1243"/>
      <c r="H1243"/>
      <c r="J1243"/>
    </row>
    <row r="1244" spans="2:10" x14ac:dyDescent="0.2">
      <c r="B1244"/>
      <c r="C1244"/>
      <c r="D1244"/>
      <c r="E1244"/>
      <c r="F1244"/>
      <c r="G1244"/>
      <c r="H1244"/>
      <c r="J1244"/>
    </row>
    <row r="1245" spans="2:10" x14ac:dyDescent="0.2">
      <c r="B1245"/>
      <c r="C1245"/>
      <c r="D1245"/>
      <c r="E1245"/>
      <c r="F1245"/>
      <c r="G1245"/>
      <c r="H1245"/>
      <c r="J1245"/>
    </row>
    <row r="1246" spans="2:10" x14ac:dyDescent="0.2">
      <c r="B1246"/>
      <c r="C1246"/>
      <c r="D1246"/>
      <c r="E1246"/>
      <c r="F1246"/>
      <c r="G1246"/>
      <c r="H1246"/>
      <c r="J1246"/>
    </row>
    <row r="1247" spans="2:10" x14ac:dyDescent="0.2">
      <c r="B1247"/>
      <c r="C1247"/>
      <c r="D1247"/>
      <c r="E1247"/>
      <c r="F1247"/>
      <c r="G1247"/>
      <c r="H1247"/>
      <c r="J1247"/>
    </row>
    <row r="1248" spans="2:10" x14ac:dyDescent="0.2">
      <c r="B1248"/>
      <c r="C1248"/>
      <c r="D1248"/>
      <c r="E1248"/>
      <c r="F1248"/>
      <c r="G1248"/>
      <c r="H1248"/>
      <c r="J1248"/>
    </row>
    <row r="1249" spans="2:10" x14ac:dyDescent="0.2">
      <c r="B1249"/>
      <c r="C1249"/>
      <c r="D1249"/>
      <c r="E1249"/>
      <c r="F1249"/>
      <c r="G1249"/>
      <c r="H1249"/>
      <c r="J1249"/>
    </row>
    <row r="1250" spans="2:10" x14ac:dyDescent="0.2">
      <c r="B1250"/>
      <c r="C1250"/>
      <c r="D1250"/>
      <c r="E1250"/>
      <c r="F1250"/>
      <c r="G1250"/>
      <c r="H1250"/>
      <c r="J1250"/>
    </row>
    <row r="1251" spans="2:10" x14ac:dyDescent="0.2">
      <c r="B1251"/>
      <c r="C1251"/>
      <c r="D1251"/>
      <c r="E1251"/>
      <c r="F1251"/>
      <c r="G1251"/>
      <c r="H1251"/>
      <c r="J1251"/>
    </row>
    <row r="1252" spans="2:10" x14ac:dyDescent="0.2">
      <c r="B1252"/>
      <c r="C1252"/>
      <c r="D1252"/>
      <c r="E1252"/>
      <c r="F1252"/>
      <c r="G1252"/>
      <c r="H1252"/>
      <c r="J1252"/>
    </row>
    <row r="1253" spans="2:10" x14ac:dyDescent="0.2">
      <c r="B1253"/>
      <c r="C1253"/>
      <c r="D1253"/>
      <c r="E1253"/>
      <c r="F1253"/>
      <c r="G1253"/>
      <c r="H1253"/>
      <c r="J1253"/>
    </row>
    <row r="1254" spans="2:10" x14ac:dyDescent="0.2">
      <c r="B1254"/>
      <c r="C1254"/>
      <c r="D1254"/>
      <c r="E1254"/>
      <c r="F1254"/>
      <c r="G1254"/>
      <c r="H1254"/>
      <c r="J1254"/>
    </row>
    <row r="1255" spans="2:10" x14ac:dyDescent="0.2">
      <c r="B1255"/>
      <c r="C1255"/>
      <c r="D1255"/>
      <c r="E1255"/>
      <c r="F1255"/>
      <c r="G1255"/>
      <c r="H1255"/>
      <c r="J1255"/>
    </row>
    <row r="1256" spans="2:10" x14ac:dyDescent="0.2">
      <c r="B1256"/>
      <c r="C1256"/>
      <c r="D1256"/>
      <c r="E1256"/>
      <c r="F1256"/>
      <c r="G1256"/>
      <c r="H1256"/>
      <c r="J1256"/>
    </row>
    <row r="1257" spans="2:10" x14ac:dyDescent="0.2">
      <c r="B1257"/>
      <c r="C1257"/>
      <c r="D1257"/>
      <c r="E1257"/>
      <c r="F1257"/>
      <c r="G1257"/>
      <c r="H1257"/>
      <c r="J1257"/>
    </row>
    <row r="1258" spans="2:10" x14ac:dyDescent="0.2">
      <c r="B1258"/>
      <c r="C1258"/>
      <c r="D1258"/>
      <c r="E1258"/>
      <c r="F1258"/>
      <c r="G1258"/>
      <c r="H1258"/>
      <c r="J1258"/>
    </row>
    <row r="1259" spans="2:10" x14ac:dyDescent="0.2">
      <c r="B1259"/>
      <c r="C1259"/>
      <c r="D1259"/>
      <c r="E1259"/>
      <c r="F1259"/>
      <c r="G1259"/>
      <c r="H1259"/>
      <c r="J1259"/>
    </row>
    <row r="1260" spans="2:10" x14ac:dyDescent="0.2">
      <c r="B1260"/>
      <c r="C1260"/>
      <c r="D1260"/>
      <c r="E1260"/>
      <c r="F1260"/>
      <c r="G1260"/>
      <c r="H1260"/>
      <c r="J1260"/>
    </row>
    <row r="1261" spans="2:10" x14ac:dyDescent="0.2">
      <c r="B1261"/>
      <c r="C1261"/>
      <c r="D1261"/>
      <c r="E1261"/>
      <c r="F1261"/>
      <c r="G1261"/>
      <c r="H1261"/>
      <c r="J1261"/>
    </row>
    <row r="1262" spans="2:10" x14ac:dyDescent="0.2">
      <c r="B1262"/>
      <c r="C1262"/>
      <c r="D1262"/>
      <c r="E1262"/>
      <c r="F1262"/>
      <c r="G1262"/>
      <c r="H1262"/>
      <c r="J1262"/>
    </row>
    <row r="1263" spans="2:10" x14ac:dyDescent="0.2">
      <c r="B1263"/>
      <c r="C1263"/>
      <c r="D1263"/>
      <c r="E1263"/>
      <c r="F1263"/>
      <c r="G1263"/>
      <c r="H1263"/>
      <c r="J1263"/>
    </row>
    <row r="1264" spans="2:10" x14ac:dyDescent="0.2">
      <c r="B1264"/>
      <c r="C1264"/>
      <c r="D1264"/>
      <c r="E1264"/>
      <c r="F1264"/>
      <c r="G1264"/>
      <c r="H1264"/>
      <c r="J1264"/>
    </row>
    <row r="1265" spans="2:10" x14ac:dyDescent="0.2">
      <c r="B1265"/>
      <c r="C1265"/>
      <c r="D1265"/>
      <c r="E1265"/>
      <c r="F1265"/>
      <c r="G1265"/>
      <c r="H1265"/>
      <c r="J1265"/>
    </row>
    <row r="1266" spans="2:10" x14ac:dyDescent="0.2">
      <c r="B1266"/>
      <c r="C1266"/>
      <c r="D1266"/>
      <c r="E1266"/>
      <c r="F1266"/>
      <c r="G1266"/>
      <c r="H1266"/>
      <c r="J1266"/>
    </row>
    <row r="1267" spans="2:10" x14ac:dyDescent="0.2">
      <c r="B1267"/>
      <c r="C1267"/>
      <c r="D1267"/>
      <c r="E1267"/>
      <c r="F1267"/>
      <c r="G1267"/>
      <c r="H1267"/>
      <c r="J1267"/>
    </row>
    <row r="1268" spans="2:10" x14ac:dyDescent="0.2">
      <c r="B1268"/>
      <c r="C1268"/>
      <c r="D1268"/>
      <c r="E1268"/>
      <c r="F1268"/>
      <c r="G1268"/>
      <c r="H1268"/>
      <c r="J1268"/>
    </row>
    <row r="1269" spans="2:10" x14ac:dyDescent="0.2">
      <c r="B1269"/>
      <c r="C1269"/>
      <c r="D1269"/>
      <c r="E1269"/>
      <c r="F1269"/>
      <c r="G1269"/>
      <c r="H1269"/>
      <c r="J1269"/>
    </row>
    <row r="1270" spans="2:10" x14ac:dyDescent="0.2">
      <c r="B1270"/>
      <c r="C1270"/>
      <c r="D1270"/>
      <c r="E1270"/>
      <c r="F1270"/>
      <c r="G1270"/>
      <c r="H1270"/>
      <c r="J1270"/>
    </row>
    <row r="1271" spans="2:10" x14ac:dyDescent="0.2">
      <c r="B1271"/>
      <c r="C1271"/>
      <c r="D1271"/>
      <c r="E1271"/>
      <c r="F1271"/>
      <c r="G1271"/>
      <c r="H1271"/>
      <c r="J1271"/>
    </row>
    <row r="1272" spans="2:10" x14ac:dyDescent="0.2">
      <c r="B1272"/>
      <c r="C1272"/>
      <c r="D1272"/>
      <c r="E1272"/>
      <c r="F1272"/>
      <c r="G1272"/>
      <c r="H1272"/>
      <c r="J1272"/>
    </row>
    <row r="1273" spans="2:10" x14ac:dyDescent="0.2">
      <c r="B1273"/>
      <c r="C1273"/>
      <c r="D1273"/>
      <c r="E1273"/>
      <c r="F1273"/>
      <c r="G1273"/>
      <c r="H1273"/>
      <c r="J1273"/>
    </row>
    <row r="1274" spans="2:10" x14ac:dyDescent="0.2">
      <c r="B1274"/>
      <c r="C1274"/>
      <c r="D1274"/>
      <c r="E1274"/>
      <c r="F1274"/>
      <c r="G1274"/>
      <c r="H1274"/>
      <c r="J1274"/>
    </row>
    <row r="1275" spans="2:10" x14ac:dyDescent="0.2">
      <c r="B1275"/>
      <c r="C1275"/>
      <c r="D1275"/>
      <c r="E1275"/>
      <c r="F1275"/>
      <c r="G1275"/>
      <c r="H1275"/>
      <c r="J1275"/>
    </row>
    <row r="1276" spans="2:10" x14ac:dyDescent="0.2">
      <c r="B1276"/>
      <c r="C1276"/>
      <c r="D1276"/>
      <c r="E1276"/>
      <c r="F1276"/>
      <c r="G1276"/>
      <c r="H1276"/>
      <c r="J1276"/>
    </row>
    <row r="1277" spans="2:10" x14ac:dyDescent="0.2">
      <c r="B1277"/>
      <c r="C1277"/>
      <c r="D1277"/>
      <c r="E1277"/>
      <c r="F1277"/>
      <c r="G1277"/>
      <c r="H1277"/>
      <c r="J1277"/>
    </row>
    <row r="1278" spans="2:10" x14ac:dyDescent="0.2">
      <c r="B1278"/>
      <c r="C1278"/>
      <c r="D1278"/>
      <c r="E1278"/>
      <c r="F1278"/>
      <c r="G1278"/>
      <c r="H1278"/>
      <c r="J1278"/>
    </row>
    <row r="1279" spans="2:10" x14ac:dyDescent="0.2">
      <c r="B1279"/>
      <c r="C1279"/>
      <c r="D1279"/>
      <c r="E1279"/>
      <c r="F1279"/>
      <c r="G1279"/>
      <c r="H1279"/>
      <c r="J1279"/>
    </row>
    <row r="1280" spans="2:10" x14ac:dyDescent="0.2">
      <c r="B1280"/>
      <c r="C1280"/>
      <c r="D1280"/>
      <c r="E1280"/>
      <c r="F1280"/>
      <c r="G1280"/>
      <c r="H1280"/>
      <c r="J1280"/>
    </row>
    <row r="1281" spans="2:10" x14ac:dyDescent="0.2">
      <c r="B1281"/>
      <c r="C1281"/>
      <c r="D1281"/>
      <c r="E1281"/>
      <c r="F1281"/>
      <c r="G1281"/>
      <c r="H1281"/>
      <c r="J1281"/>
    </row>
    <row r="1282" spans="2:10" x14ac:dyDescent="0.2">
      <c r="B1282"/>
      <c r="C1282"/>
      <c r="D1282"/>
      <c r="E1282"/>
      <c r="F1282"/>
      <c r="G1282"/>
      <c r="H1282"/>
      <c r="J1282"/>
    </row>
    <row r="1283" spans="2:10" x14ac:dyDescent="0.2">
      <c r="B1283"/>
      <c r="C1283"/>
      <c r="D1283"/>
      <c r="E1283"/>
      <c r="F1283"/>
      <c r="G1283"/>
      <c r="H1283"/>
      <c r="J1283"/>
    </row>
    <row r="1284" spans="2:10" x14ac:dyDescent="0.2">
      <c r="B1284"/>
      <c r="C1284"/>
      <c r="D1284"/>
      <c r="E1284"/>
      <c r="F1284"/>
      <c r="G1284"/>
      <c r="H1284"/>
      <c r="J1284"/>
    </row>
    <row r="1285" spans="2:10" x14ac:dyDescent="0.2">
      <c r="B1285"/>
      <c r="C1285"/>
      <c r="D1285"/>
      <c r="E1285"/>
      <c r="F1285"/>
      <c r="G1285"/>
      <c r="H1285"/>
      <c r="J1285"/>
    </row>
    <row r="1286" spans="2:10" x14ac:dyDescent="0.2">
      <c r="B1286"/>
      <c r="C1286"/>
      <c r="D1286"/>
      <c r="E1286"/>
      <c r="F1286"/>
      <c r="G1286"/>
      <c r="H1286"/>
      <c r="J1286"/>
    </row>
    <row r="1287" spans="2:10" x14ac:dyDescent="0.2">
      <c r="B1287"/>
      <c r="C1287"/>
      <c r="D1287"/>
      <c r="E1287"/>
      <c r="F1287"/>
      <c r="G1287"/>
      <c r="H1287"/>
      <c r="J1287"/>
    </row>
    <row r="1288" spans="2:10" x14ac:dyDescent="0.2">
      <c r="B1288"/>
      <c r="C1288"/>
      <c r="D1288"/>
      <c r="E1288"/>
      <c r="F1288"/>
      <c r="G1288"/>
      <c r="H1288"/>
      <c r="J1288"/>
    </row>
    <row r="1289" spans="2:10" x14ac:dyDescent="0.2">
      <c r="B1289"/>
      <c r="C1289"/>
      <c r="D1289"/>
      <c r="E1289"/>
      <c r="F1289"/>
      <c r="G1289"/>
      <c r="H1289"/>
      <c r="J1289"/>
    </row>
    <row r="1290" spans="2:10" x14ac:dyDescent="0.2">
      <c r="B1290"/>
      <c r="C1290"/>
      <c r="D1290"/>
      <c r="E1290"/>
      <c r="F1290"/>
      <c r="G1290"/>
      <c r="H1290"/>
      <c r="J1290"/>
    </row>
    <row r="1291" spans="2:10" x14ac:dyDescent="0.2">
      <c r="B1291"/>
      <c r="C1291"/>
      <c r="D1291"/>
      <c r="E1291"/>
      <c r="F1291"/>
      <c r="G1291"/>
      <c r="H1291"/>
      <c r="J1291"/>
    </row>
    <row r="1292" spans="2:10" x14ac:dyDescent="0.2">
      <c r="B1292"/>
      <c r="C1292"/>
      <c r="D1292"/>
      <c r="E1292"/>
      <c r="F1292"/>
      <c r="G1292"/>
      <c r="H1292"/>
      <c r="J1292"/>
    </row>
    <row r="1293" spans="2:10" x14ac:dyDescent="0.2">
      <c r="B1293"/>
      <c r="C1293"/>
      <c r="D1293"/>
      <c r="E1293"/>
      <c r="F1293"/>
      <c r="G1293"/>
      <c r="H1293"/>
      <c r="J1293"/>
    </row>
    <row r="1294" spans="2:10" x14ac:dyDescent="0.2">
      <c r="B1294"/>
      <c r="C1294"/>
      <c r="D1294"/>
      <c r="E1294"/>
      <c r="F1294"/>
      <c r="G1294"/>
      <c r="H1294"/>
      <c r="J1294"/>
    </row>
    <row r="1295" spans="2:10" x14ac:dyDescent="0.2">
      <c r="B1295"/>
      <c r="C1295"/>
      <c r="D1295"/>
      <c r="E1295"/>
      <c r="F1295"/>
      <c r="G1295"/>
      <c r="H1295"/>
      <c r="J1295"/>
    </row>
    <row r="1296" spans="2:10" x14ac:dyDescent="0.2">
      <c r="B1296"/>
      <c r="C1296"/>
      <c r="D1296"/>
      <c r="E1296"/>
      <c r="F1296"/>
      <c r="G1296"/>
      <c r="H1296"/>
      <c r="J1296"/>
    </row>
    <row r="1297" spans="2:10" x14ac:dyDescent="0.2">
      <c r="B1297"/>
      <c r="C1297"/>
      <c r="D1297"/>
      <c r="E1297"/>
      <c r="F1297"/>
      <c r="G1297"/>
      <c r="H1297"/>
      <c r="J1297"/>
    </row>
    <row r="1298" spans="2:10" x14ac:dyDescent="0.2">
      <c r="B1298"/>
      <c r="C1298"/>
      <c r="D1298"/>
      <c r="E1298"/>
      <c r="F1298"/>
      <c r="G1298"/>
      <c r="H1298"/>
      <c r="J1298"/>
    </row>
    <row r="1299" spans="2:10" x14ac:dyDescent="0.2">
      <c r="B1299"/>
      <c r="C1299"/>
      <c r="D1299"/>
      <c r="E1299"/>
      <c r="F1299"/>
      <c r="G1299"/>
      <c r="H1299"/>
      <c r="J1299"/>
    </row>
    <row r="1300" spans="2:10" x14ac:dyDescent="0.2">
      <c r="B1300"/>
      <c r="C1300"/>
      <c r="D1300"/>
      <c r="E1300"/>
      <c r="F1300"/>
      <c r="G1300"/>
      <c r="H1300"/>
      <c r="J1300"/>
    </row>
    <row r="1301" spans="2:10" x14ac:dyDescent="0.2">
      <c r="B1301"/>
      <c r="C1301"/>
      <c r="D1301"/>
      <c r="E1301"/>
      <c r="F1301"/>
      <c r="G1301"/>
      <c r="H1301"/>
      <c r="J1301"/>
    </row>
    <row r="1302" spans="2:10" x14ac:dyDescent="0.2">
      <c r="B1302"/>
      <c r="C1302"/>
      <c r="D1302"/>
      <c r="E1302"/>
      <c r="F1302"/>
      <c r="G1302"/>
      <c r="H1302"/>
      <c r="J1302"/>
    </row>
    <row r="1303" spans="2:10" x14ac:dyDescent="0.2">
      <c r="B1303"/>
      <c r="C1303"/>
      <c r="D1303"/>
      <c r="E1303"/>
      <c r="F1303"/>
      <c r="G1303"/>
      <c r="H1303"/>
      <c r="J1303"/>
    </row>
    <row r="1304" spans="2:10" x14ac:dyDescent="0.2">
      <c r="B1304"/>
      <c r="C1304"/>
      <c r="D1304"/>
      <c r="E1304"/>
      <c r="F1304"/>
      <c r="G1304"/>
      <c r="H1304"/>
      <c r="J1304"/>
    </row>
    <row r="1305" spans="2:10" x14ac:dyDescent="0.2">
      <c r="B1305"/>
      <c r="C1305"/>
      <c r="D1305"/>
      <c r="E1305"/>
      <c r="F1305"/>
      <c r="G1305"/>
      <c r="H1305"/>
      <c r="J1305"/>
    </row>
    <row r="1306" spans="2:10" x14ac:dyDescent="0.2">
      <c r="B1306"/>
      <c r="C1306"/>
      <c r="D1306"/>
      <c r="E1306"/>
      <c r="F1306"/>
      <c r="G1306"/>
      <c r="H1306"/>
      <c r="J1306"/>
    </row>
    <row r="1307" spans="2:10" x14ac:dyDescent="0.2">
      <c r="B1307"/>
      <c r="C1307"/>
      <c r="D1307"/>
      <c r="E1307"/>
      <c r="F1307"/>
      <c r="G1307"/>
      <c r="H1307"/>
      <c r="J1307"/>
    </row>
    <row r="1308" spans="2:10" x14ac:dyDescent="0.2">
      <c r="B1308"/>
      <c r="C1308"/>
      <c r="D1308"/>
      <c r="E1308"/>
      <c r="F1308"/>
      <c r="G1308"/>
      <c r="H1308"/>
      <c r="J1308"/>
    </row>
    <row r="1309" spans="2:10" x14ac:dyDescent="0.2">
      <c r="B1309"/>
      <c r="C1309"/>
      <c r="D1309"/>
      <c r="E1309"/>
      <c r="F1309"/>
      <c r="G1309"/>
      <c r="H1309"/>
      <c r="J1309"/>
    </row>
    <row r="1310" spans="2:10" x14ac:dyDescent="0.2">
      <c r="B1310"/>
      <c r="C1310"/>
      <c r="D1310"/>
      <c r="E1310"/>
      <c r="F1310"/>
      <c r="G1310"/>
      <c r="H1310"/>
      <c r="J1310"/>
    </row>
    <row r="1311" spans="2:10" x14ac:dyDescent="0.2">
      <c r="B1311"/>
      <c r="C1311"/>
      <c r="D1311"/>
      <c r="E1311"/>
      <c r="F1311"/>
      <c r="G1311"/>
      <c r="H1311"/>
      <c r="J1311"/>
    </row>
    <row r="1312" spans="2:10" x14ac:dyDescent="0.2">
      <c r="B1312"/>
      <c r="C1312"/>
      <c r="D1312"/>
      <c r="E1312"/>
      <c r="F1312"/>
      <c r="G1312"/>
      <c r="H1312"/>
      <c r="J1312"/>
    </row>
    <row r="1313" spans="2:10" x14ac:dyDescent="0.2">
      <c r="B1313"/>
      <c r="C1313"/>
      <c r="D1313"/>
      <c r="E1313"/>
      <c r="F1313"/>
      <c r="G1313"/>
      <c r="H1313"/>
      <c r="J1313"/>
    </row>
    <row r="1314" spans="2:10" x14ac:dyDescent="0.2">
      <c r="B1314"/>
      <c r="C1314"/>
      <c r="D1314"/>
      <c r="E1314"/>
      <c r="F1314"/>
      <c r="G1314"/>
      <c r="H1314"/>
      <c r="J1314"/>
    </row>
    <row r="1315" spans="2:10" x14ac:dyDescent="0.2">
      <c r="B1315"/>
      <c r="C1315"/>
      <c r="D1315"/>
      <c r="E1315"/>
      <c r="F1315"/>
      <c r="G1315"/>
      <c r="H1315"/>
      <c r="J1315"/>
    </row>
    <row r="1316" spans="2:10" x14ac:dyDescent="0.2">
      <c r="B1316"/>
      <c r="C1316"/>
      <c r="D1316"/>
      <c r="E1316"/>
      <c r="F1316"/>
      <c r="G1316"/>
      <c r="H1316"/>
      <c r="J1316"/>
    </row>
    <row r="1317" spans="2:10" x14ac:dyDescent="0.2">
      <c r="B1317"/>
      <c r="C1317"/>
      <c r="D1317"/>
      <c r="E1317"/>
      <c r="F1317"/>
      <c r="G1317"/>
      <c r="H1317"/>
      <c r="J1317"/>
    </row>
    <row r="1318" spans="2:10" x14ac:dyDescent="0.2">
      <c r="B1318"/>
      <c r="C1318"/>
      <c r="D1318"/>
      <c r="E1318"/>
      <c r="F1318"/>
      <c r="G1318"/>
      <c r="H1318"/>
      <c r="J1318"/>
    </row>
    <row r="1319" spans="2:10" x14ac:dyDescent="0.2">
      <c r="B1319"/>
      <c r="C1319"/>
      <c r="D1319"/>
      <c r="E1319"/>
      <c r="F1319"/>
      <c r="G1319"/>
      <c r="H1319"/>
      <c r="J1319"/>
    </row>
    <row r="1320" spans="2:10" x14ac:dyDescent="0.2">
      <c r="B1320"/>
      <c r="C1320"/>
      <c r="D1320"/>
      <c r="E1320"/>
      <c r="F1320"/>
      <c r="G1320"/>
      <c r="H1320"/>
      <c r="J1320"/>
    </row>
    <row r="1321" spans="2:10" x14ac:dyDescent="0.2">
      <c r="B1321"/>
      <c r="C1321"/>
      <c r="D1321"/>
      <c r="E1321"/>
      <c r="F1321"/>
      <c r="G1321"/>
      <c r="H1321"/>
      <c r="J1321"/>
    </row>
    <row r="1322" spans="2:10" x14ac:dyDescent="0.2">
      <c r="B1322"/>
      <c r="C1322"/>
      <c r="D1322"/>
      <c r="E1322"/>
      <c r="F1322"/>
      <c r="G1322"/>
      <c r="H1322"/>
      <c r="J1322"/>
    </row>
    <row r="1323" spans="2:10" x14ac:dyDescent="0.2">
      <c r="B1323"/>
      <c r="C1323"/>
      <c r="D1323"/>
      <c r="E1323"/>
      <c r="F1323"/>
      <c r="G1323"/>
      <c r="H1323"/>
      <c r="J1323"/>
    </row>
    <row r="1324" spans="2:10" x14ac:dyDescent="0.2">
      <c r="B1324"/>
      <c r="C1324"/>
      <c r="D1324"/>
      <c r="E1324"/>
      <c r="F1324"/>
      <c r="G1324"/>
      <c r="H1324"/>
      <c r="J1324"/>
    </row>
    <row r="1325" spans="2:10" x14ac:dyDescent="0.2">
      <c r="B1325"/>
      <c r="C1325"/>
      <c r="D1325"/>
      <c r="E1325"/>
      <c r="F1325"/>
      <c r="G1325"/>
      <c r="H1325"/>
      <c r="J1325"/>
    </row>
    <row r="1326" spans="2:10" x14ac:dyDescent="0.2">
      <c r="B1326"/>
      <c r="C1326"/>
      <c r="D1326"/>
      <c r="E1326"/>
      <c r="F1326"/>
      <c r="G1326"/>
      <c r="H1326"/>
      <c r="J1326"/>
    </row>
    <row r="1327" spans="2:10" x14ac:dyDescent="0.2">
      <c r="B1327"/>
      <c r="C1327"/>
      <c r="D1327"/>
      <c r="E1327"/>
      <c r="F1327"/>
      <c r="G1327"/>
      <c r="H1327"/>
      <c r="J1327"/>
    </row>
    <row r="1328" spans="2:10" x14ac:dyDescent="0.2">
      <c r="B1328"/>
      <c r="C1328"/>
      <c r="D1328"/>
      <c r="E1328"/>
      <c r="F1328"/>
      <c r="G1328"/>
      <c r="H1328"/>
      <c r="J1328"/>
    </row>
    <row r="1329" spans="2:10" x14ac:dyDescent="0.2">
      <c r="B1329"/>
      <c r="C1329"/>
      <c r="D1329"/>
      <c r="E1329"/>
      <c r="F1329"/>
      <c r="G1329"/>
      <c r="H1329"/>
      <c r="J1329"/>
    </row>
    <row r="1330" spans="2:10" x14ac:dyDescent="0.2">
      <c r="B1330"/>
      <c r="C1330"/>
      <c r="D1330"/>
      <c r="E1330"/>
      <c r="F1330"/>
      <c r="G1330"/>
      <c r="H1330"/>
      <c r="J1330"/>
    </row>
    <row r="1331" spans="2:10" x14ac:dyDescent="0.2">
      <c r="B1331"/>
      <c r="C1331"/>
      <c r="D1331"/>
      <c r="E1331"/>
      <c r="F1331"/>
      <c r="G1331"/>
      <c r="H1331"/>
      <c r="J1331"/>
    </row>
    <row r="1332" spans="2:10" x14ac:dyDescent="0.2">
      <c r="B1332"/>
      <c r="C1332"/>
      <c r="D1332"/>
      <c r="E1332"/>
      <c r="F1332"/>
      <c r="G1332"/>
      <c r="H1332"/>
      <c r="J1332"/>
    </row>
    <row r="1333" spans="2:10" x14ac:dyDescent="0.2">
      <c r="B1333"/>
      <c r="C1333"/>
      <c r="D1333"/>
      <c r="E1333"/>
      <c r="F1333"/>
      <c r="G1333"/>
      <c r="H1333"/>
      <c r="J1333"/>
    </row>
    <row r="1334" spans="2:10" x14ac:dyDescent="0.2">
      <c r="B1334"/>
      <c r="C1334"/>
      <c r="D1334"/>
      <c r="E1334"/>
      <c r="F1334"/>
      <c r="G1334"/>
      <c r="H1334"/>
      <c r="J1334"/>
    </row>
    <row r="1335" spans="2:10" x14ac:dyDescent="0.2">
      <c r="B1335"/>
      <c r="C1335"/>
      <c r="D1335"/>
      <c r="E1335"/>
      <c r="F1335"/>
      <c r="G1335"/>
      <c r="H1335"/>
      <c r="J1335"/>
    </row>
    <row r="1336" spans="2:10" x14ac:dyDescent="0.2">
      <c r="B1336"/>
      <c r="C1336"/>
      <c r="D1336"/>
      <c r="E1336"/>
      <c r="F1336"/>
      <c r="G1336"/>
      <c r="H1336"/>
      <c r="J1336"/>
    </row>
    <row r="1337" spans="2:10" x14ac:dyDescent="0.2">
      <c r="B1337"/>
      <c r="C1337"/>
      <c r="D1337"/>
      <c r="E1337"/>
      <c r="F1337"/>
      <c r="G1337"/>
      <c r="H1337"/>
      <c r="J1337"/>
    </row>
    <row r="1338" spans="2:10" x14ac:dyDescent="0.2">
      <c r="B1338"/>
      <c r="C1338"/>
      <c r="D1338"/>
      <c r="E1338"/>
      <c r="F1338"/>
      <c r="G1338"/>
      <c r="H1338"/>
      <c r="J1338"/>
    </row>
    <row r="1339" spans="2:10" x14ac:dyDescent="0.2">
      <c r="B1339"/>
      <c r="C1339"/>
      <c r="D1339"/>
      <c r="E1339"/>
      <c r="F1339"/>
      <c r="G1339"/>
      <c r="H1339"/>
      <c r="J1339"/>
    </row>
    <row r="1340" spans="2:10" x14ac:dyDescent="0.2">
      <c r="B1340"/>
      <c r="C1340"/>
      <c r="D1340"/>
      <c r="E1340"/>
      <c r="F1340"/>
      <c r="G1340"/>
      <c r="H1340"/>
      <c r="J1340"/>
    </row>
    <row r="1341" spans="2:10" x14ac:dyDescent="0.2">
      <c r="B1341"/>
      <c r="C1341"/>
      <c r="D1341"/>
      <c r="E1341"/>
      <c r="F1341"/>
      <c r="G1341"/>
      <c r="H1341"/>
      <c r="J1341"/>
    </row>
    <row r="1342" spans="2:10" x14ac:dyDescent="0.2">
      <c r="B1342"/>
      <c r="C1342"/>
      <c r="D1342"/>
      <c r="E1342"/>
      <c r="F1342"/>
      <c r="G1342"/>
      <c r="H1342"/>
      <c r="J1342"/>
    </row>
    <row r="1343" spans="2:10" x14ac:dyDescent="0.2">
      <c r="B1343"/>
      <c r="C1343"/>
      <c r="D1343"/>
      <c r="E1343"/>
      <c r="F1343"/>
      <c r="G1343"/>
      <c r="H1343"/>
      <c r="J1343"/>
    </row>
    <row r="1344" spans="2:10" x14ac:dyDescent="0.2">
      <c r="B1344"/>
      <c r="C1344"/>
      <c r="D1344"/>
      <c r="E1344"/>
      <c r="F1344"/>
      <c r="G1344"/>
      <c r="H1344"/>
      <c r="J1344"/>
    </row>
    <row r="1345" spans="2:10" x14ac:dyDescent="0.2">
      <c r="B1345"/>
      <c r="C1345"/>
      <c r="D1345"/>
      <c r="E1345"/>
      <c r="F1345"/>
      <c r="G1345"/>
      <c r="H1345"/>
      <c r="J1345"/>
    </row>
    <row r="1346" spans="2:10" x14ac:dyDescent="0.2">
      <c r="B1346"/>
      <c r="C1346"/>
      <c r="D1346"/>
      <c r="E1346"/>
      <c r="F1346"/>
      <c r="G1346"/>
      <c r="H1346"/>
      <c r="J1346"/>
    </row>
    <row r="1347" spans="2:10" x14ac:dyDescent="0.2">
      <c r="B1347"/>
      <c r="C1347"/>
      <c r="D1347"/>
      <c r="E1347"/>
      <c r="F1347"/>
      <c r="G1347"/>
      <c r="H1347"/>
      <c r="J1347"/>
    </row>
    <row r="1348" spans="2:10" x14ac:dyDescent="0.2">
      <c r="B1348"/>
      <c r="C1348"/>
      <c r="D1348"/>
      <c r="E1348"/>
      <c r="F1348"/>
      <c r="G1348"/>
      <c r="H1348"/>
      <c r="J1348"/>
    </row>
    <row r="1349" spans="2:10" x14ac:dyDescent="0.2">
      <c r="B1349"/>
      <c r="C1349"/>
      <c r="D1349"/>
      <c r="E1349"/>
      <c r="F1349"/>
      <c r="G1349"/>
      <c r="H1349"/>
      <c r="J1349"/>
    </row>
    <row r="1350" spans="2:10" x14ac:dyDescent="0.2">
      <c r="B1350"/>
      <c r="C1350"/>
      <c r="D1350"/>
      <c r="E1350"/>
      <c r="F1350"/>
      <c r="G1350"/>
      <c r="H1350"/>
      <c r="J1350"/>
    </row>
    <row r="1351" spans="2:10" x14ac:dyDescent="0.2">
      <c r="B1351"/>
      <c r="C1351"/>
      <c r="D1351"/>
      <c r="E1351"/>
      <c r="F1351"/>
      <c r="G1351"/>
      <c r="H1351"/>
      <c r="J1351"/>
    </row>
    <row r="1352" spans="2:10" x14ac:dyDescent="0.2">
      <c r="B1352"/>
      <c r="C1352"/>
      <c r="D1352"/>
      <c r="E1352"/>
      <c r="F1352"/>
      <c r="G1352"/>
      <c r="H1352"/>
      <c r="J1352"/>
    </row>
    <row r="1353" spans="2:10" x14ac:dyDescent="0.2">
      <c r="B1353"/>
      <c r="C1353"/>
      <c r="D1353"/>
      <c r="E1353"/>
      <c r="F1353"/>
      <c r="G1353"/>
      <c r="H1353"/>
      <c r="J1353"/>
    </row>
    <row r="1354" spans="2:10" x14ac:dyDescent="0.2">
      <c r="B1354"/>
      <c r="C1354"/>
      <c r="D1354"/>
      <c r="E1354"/>
      <c r="F1354"/>
      <c r="G1354"/>
      <c r="H1354"/>
      <c r="J1354"/>
    </row>
    <row r="1355" spans="2:10" x14ac:dyDescent="0.2">
      <c r="B1355"/>
      <c r="C1355"/>
      <c r="D1355"/>
      <c r="E1355"/>
      <c r="F1355"/>
      <c r="G1355"/>
      <c r="H1355"/>
      <c r="J1355"/>
    </row>
    <row r="1356" spans="2:10" x14ac:dyDescent="0.2">
      <c r="B1356"/>
      <c r="C1356"/>
      <c r="D1356"/>
      <c r="E1356"/>
      <c r="F1356"/>
      <c r="G1356"/>
      <c r="H1356"/>
      <c r="J1356"/>
    </row>
    <row r="1357" spans="2:10" x14ac:dyDescent="0.2">
      <c r="B1357"/>
      <c r="C1357"/>
      <c r="D1357"/>
      <c r="E1357"/>
      <c r="F1357"/>
      <c r="G1357"/>
      <c r="H1357"/>
      <c r="J1357"/>
    </row>
    <row r="1358" spans="2:10" x14ac:dyDescent="0.2">
      <c r="B1358"/>
      <c r="C1358"/>
      <c r="D1358"/>
      <c r="E1358"/>
      <c r="F1358"/>
      <c r="G1358"/>
      <c r="H1358"/>
      <c r="J1358"/>
    </row>
    <row r="1359" spans="2:10" x14ac:dyDescent="0.2">
      <c r="B1359"/>
      <c r="C1359"/>
      <c r="D1359"/>
      <c r="E1359"/>
      <c r="F1359"/>
      <c r="G1359"/>
      <c r="H1359"/>
      <c r="J1359"/>
    </row>
    <row r="1360" spans="2:10" x14ac:dyDescent="0.2">
      <c r="B1360"/>
      <c r="C1360"/>
      <c r="D1360"/>
      <c r="E1360"/>
      <c r="F1360"/>
      <c r="G1360"/>
      <c r="H1360"/>
      <c r="J1360"/>
    </row>
    <row r="1361" spans="2:10" x14ac:dyDescent="0.2">
      <c r="B1361"/>
      <c r="C1361"/>
      <c r="D1361"/>
      <c r="E1361"/>
      <c r="F1361"/>
      <c r="G1361"/>
      <c r="H1361"/>
      <c r="J1361"/>
    </row>
    <row r="1362" spans="2:10" x14ac:dyDescent="0.2">
      <c r="B1362"/>
      <c r="C1362"/>
      <c r="D1362"/>
      <c r="E1362"/>
      <c r="F1362"/>
      <c r="G1362"/>
      <c r="H1362"/>
      <c r="J1362"/>
    </row>
    <row r="1363" spans="2:10" x14ac:dyDescent="0.2">
      <c r="B1363"/>
      <c r="C1363"/>
      <c r="D1363"/>
      <c r="E1363"/>
      <c r="F1363"/>
      <c r="G1363"/>
      <c r="H1363"/>
      <c r="J1363"/>
    </row>
    <row r="1364" spans="2:10" x14ac:dyDescent="0.2">
      <c r="B1364"/>
      <c r="C1364"/>
      <c r="D1364"/>
      <c r="E1364"/>
      <c r="F1364"/>
      <c r="G1364"/>
      <c r="H1364"/>
      <c r="J1364"/>
    </row>
    <row r="1365" spans="2:10" x14ac:dyDescent="0.2">
      <c r="B1365"/>
      <c r="C1365"/>
      <c r="D1365"/>
      <c r="E1365"/>
      <c r="F1365"/>
      <c r="G1365"/>
      <c r="H1365"/>
      <c r="J1365"/>
    </row>
    <row r="1366" spans="2:10" x14ac:dyDescent="0.2">
      <c r="B1366"/>
      <c r="C1366"/>
      <c r="D1366"/>
      <c r="E1366"/>
      <c r="F1366"/>
      <c r="G1366"/>
      <c r="H1366"/>
      <c r="J1366"/>
    </row>
    <row r="1367" spans="2:10" x14ac:dyDescent="0.2">
      <c r="B1367"/>
      <c r="C1367"/>
      <c r="D1367"/>
      <c r="E1367"/>
      <c r="F1367"/>
      <c r="G1367"/>
      <c r="H1367"/>
      <c r="J1367"/>
    </row>
    <row r="1368" spans="2:10" x14ac:dyDescent="0.2">
      <c r="B1368"/>
      <c r="C1368"/>
      <c r="D1368"/>
      <c r="E1368"/>
      <c r="F1368"/>
      <c r="G1368"/>
      <c r="H1368"/>
      <c r="J1368"/>
    </row>
    <row r="1369" spans="2:10" x14ac:dyDescent="0.2">
      <c r="B1369"/>
      <c r="C1369"/>
      <c r="D1369"/>
      <c r="E1369"/>
      <c r="F1369"/>
      <c r="G1369"/>
      <c r="H1369"/>
      <c r="J1369"/>
    </row>
    <row r="1370" spans="2:10" x14ac:dyDescent="0.2">
      <c r="B1370"/>
      <c r="C1370"/>
      <c r="D1370"/>
      <c r="E1370"/>
      <c r="F1370"/>
      <c r="G1370"/>
      <c r="H1370"/>
      <c r="J1370"/>
    </row>
    <row r="1371" spans="2:10" x14ac:dyDescent="0.2">
      <c r="B1371"/>
      <c r="C1371"/>
      <c r="D1371"/>
      <c r="E1371"/>
      <c r="F1371"/>
      <c r="G1371"/>
      <c r="H1371"/>
      <c r="J1371"/>
    </row>
    <row r="1372" spans="2:10" x14ac:dyDescent="0.2">
      <c r="B1372"/>
      <c r="C1372"/>
      <c r="D1372"/>
      <c r="E1372"/>
      <c r="F1372"/>
      <c r="G1372"/>
      <c r="H1372"/>
      <c r="J1372"/>
    </row>
    <row r="1373" spans="2:10" x14ac:dyDescent="0.2">
      <c r="B1373"/>
      <c r="C1373"/>
      <c r="D1373"/>
      <c r="E1373"/>
      <c r="F1373"/>
      <c r="G1373"/>
      <c r="H1373"/>
      <c r="J1373"/>
    </row>
    <row r="1374" spans="2:10" x14ac:dyDescent="0.2">
      <c r="B1374"/>
      <c r="C1374"/>
      <c r="D1374"/>
      <c r="E1374"/>
      <c r="F1374"/>
      <c r="G1374"/>
      <c r="H1374"/>
      <c r="J1374"/>
    </row>
    <row r="1375" spans="2:10" x14ac:dyDescent="0.2">
      <c r="B1375"/>
      <c r="C1375"/>
      <c r="D1375"/>
      <c r="E1375"/>
      <c r="F1375"/>
      <c r="G1375"/>
      <c r="H1375"/>
      <c r="J1375"/>
    </row>
    <row r="1376" spans="2:10" x14ac:dyDescent="0.2">
      <c r="B1376"/>
      <c r="C1376"/>
      <c r="D1376"/>
      <c r="E1376"/>
      <c r="F1376"/>
      <c r="G1376"/>
      <c r="H1376"/>
      <c r="J1376"/>
    </row>
    <row r="1377" spans="2:10" x14ac:dyDescent="0.2">
      <c r="B1377"/>
      <c r="C1377"/>
      <c r="D1377"/>
      <c r="E1377"/>
      <c r="F1377"/>
      <c r="G1377"/>
      <c r="H1377"/>
      <c r="J1377"/>
    </row>
    <row r="1378" spans="2:10" x14ac:dyDescent="0.2">
      <c r="B1378"/>
      <c r="C1378"/>
      <c r="D1378"/>
      <c r="E1378"/>
      <c r="F1378"/>
      <c r="G1378"/>
      <c r="H1378"/>
      <c r="J1378"/>
    </row>
    <row r="1379" spans="2:10" x14ac:dyDescent="0.2">
      <c r="B1379"/>
      <c r="C1379"/>
      <c r="D1379"/>
      <c r="E1379"/>
      <c r="F1379"/>
      <c r="G1379"/>
      <c r="H1379"/>
      <c r="J1379"/>
    </row>
    <row r="1380" spans="2:10" x14ac:dyDescent="0.2">
      <c r="B1380"/>
      <c r="C1380"/>
      <c r="D1380"/>
      <c r="E1380"/>
      <c r="F1380"/>
      <c r="G1380"/>
      <c r="H1380"/>
      <c r="J1380"/>
    </row>
    <row r="1381" spans="2:10" x14ac:dyDescent="0.2">
      <c r="B1381"/>
      <c r="C1381"/>
      <c r="D1381"/>
      <c r="E1381"/>
      <c r="F1381"/>
      <c r="G1381"/>
      <c r="H1381"/>
      <c r="J1381"/>
    </row>
    <row r="1382" spans="2:10" x14ac:dyDescent="0.2">
      <c r="B1382"/>
      <c r="C1382"/>
      <c r="D1382"/>
      <c r="E1382"/>
      <c r="F1382"/>
      <c r="G1382"/>
      <c r="H1382"/>
      <c r="J1382"/>
    </row>
    <row r="1383" spans="2:10" x14ac:dyDescent="0.2">
      <c r="B1383"/>
      <c r="C1383"/>
      <c r="D1383"/>
      <c r="E1383"/>
      <c r="F1383"/>
      <c r="G1383"/>
      <c r="H1383"/>
      <c r="J1383"/>
    </row>
    <row r="1384" spans="2:10" x14ac:dyDescent="0.2">
      <c r="B1384"/>
      <c r="C1384"/>
      <c r="D1384"/>
      <c r="E1384"/>
      <c r="F1384"/>
      <c r="G1384"/>
      <c r="H1384"/>
      <c r="J1384"/>
    </row>
    <row r="1385" spans="2:10" x14ac:dyDescent="0.2">
      <c r="B1385"/>
      <c r="C1385"/>
      <c r="D1385"/>
      <c r="E1385"/>
      <c r="F1385"/>
      <c r="G1385"/>
      <c r="H1385"/>
      <c r="J1385"/>
    </row>
    <row r="1386" spans="2:10" x14ac:dyDescent="0.2">
      <c r="B1386"/>
      <c r="C1386"/>
      <c r="D1386"/>
      <c r="E1386"/>
      <c r="F1386"/>
      <c r="G1386"/>
      <c r="H1386"/>
      <c r="J1386"/>
    </row>
    <row r="1387" spans="2:10" x14ac:dyDescent="0.2">
      <c r="B1387"/>
      <c r="C1387"/>
      <c r="D1387"/>
      <c r="E1387"/>
      <c r="F1387"/>
      <c r="G1387"/>
      <c r="H1387"/>
      <c r="J1387"/>
    </row>
    <row r="1388" spans="2:10" x14ac:dyDescent="0.2">
      <c r="B1388"/>
      <c r="C1388"/>
      <c r="D1388"/>
      <c r="E1388"/>
      <c r="F1388"/>
      <c r="G1388"/>
      <c r="H1388"/>
      <c r="J1388"/>
    </row>
    <row r="1389" spans="2:10" x14ac:dyDescent="0.2">
      <c r="B1389"/>
      <c r="C1389"/>
      <c r="D1389"/>
      <c r="E1389"/>
      <c r="F1389"/>
      <c r="G1389"/>
      <c r="H1389"/>
      <c r="J1389"/>
    </row>
    <row r="1390" spans="2:10" x14ac:dyDescent="0.2">
      <c r="B1390"/>
      <c r="C1390"/>
      <c r="D1390"/>
      <c r="E1390"/>
      <c r="F1390"/>
      <c r="G1390"/>
      <c r="H1390"/>
      <c r="J1390"/>
    </row>
    <row r="1391" spans="2:10" x14ac:dyDescent="0.2">
      <c r="B1391"/>
      <c r="C1391"/>
      <c r="D1391"/>
      <c r="E1391"/>
      <c r="F1391"/>
      <c r="G1391"/>
      <c r="H1391"/>
      <c r="J1391"/>
    </row>
    <row r="1392" spans="2:10" x14ac:dyDescent="0.2">
      <c r="B1392"/>
      <c r="C1392"/>
      <c r="D1392"/>
      <c r="E1392"/>
      <c r="F1392"/>
      <c r="G1392"/>
      <c r="H1392"/>
      <c r="J1392"/>
    </row>
    <row r="1393" spans="2:10" x14ac:dyDescent="0.2">
      <c r="B1393"/>
      <c r="C1393"/>
      <c r="D1393"/>
      <c r="E1393"/>
      <c r="F1393"/>
      <c r="G1393"/>
      <c r="H1393"/>
      <c r="J1393"/>
    </row>
    <row r="1394" spans="2:10" x14ac:dyDescent="0.2">
      <c r="B1394"/>
      <c r="C1394"/>
      <c r="D1394"/>
      <c r="E1394"/>
      <c r="F1394"/>
      <c r="G1394"/>
      <c r="H1394"/>
      <c r="J1394"/>
    </row>
    <row r="1395" spans="2:10" x14ac:dyDescent="0.2">
      <c r="B1395"/>
      <c r="C1395"/>
      <c r="D1395"/>
      <c r="E1395"/>
      <c r="F1395"/>
      <c r="G1395"/>
      <c r="H1395"/>
      <c r="J1395"/>
    </row>
    <row r="1396" spans="2:10" x14ac:dyDescent="0.2">
      <c r="B1396"/>
      <c r="C1396"/>
      <c r="D1396"/>
      <c r="E1396"/>
      <c r="F1396"/>
      <c r="G1396"/>
      <c r="H1396"/>
      <c r="J1396"/>
    </row>
    <row r="1397" spans="2:10" x14ac:dyDescent="0.2">
      <c r="B1397"/>
      <c r="C1397"/>
      <c r="D1397"/>
      <c r="E1397"/>
      <c r="F1397"/>
      <c r="G1397"/>
      <c r="H1397"/>
      <c r="J1397"/>
    </row>
    <row r="1398" spans="2:10" x14ac:dyDescent="0.2">
      <c r="B1398"/>
      <c r="C1398"/>
      <c r="D1398"/>
      <c r="E1398"/>
      <c r="F1398"/>
      <c r="G1398"/>
      <c r="H1398"/>
      <c r="J1398"/>
    </row>
    <row r="1399" spans="2:10" x14ac:dyDescent="0.2">
      <c r="B1399"/>
      <c r="C1399"/>
      <c r="D1399"/>
      <c r="E1399"/>
      <c r="F1399"/>
      <c r="G1399"/>
      <c r="H1399"/>
      <c r="J1399"/>
    </row>
    <row r="1400" spans="2:10" x14ac:dyDescent="0.2">
      <c r="B1400"/>
      <c r="C1400"/>
      <c r="D1400"/>
      <c r="E1400"/>
      <c r="F1400"/>
      <c r="G1400"/>
      <c r="H1400"/>
      <c r="J1400"/>
    </row>
    <row r="1401" spans="2:10" x14ac:dyDescent="0.2">
      <c r="B1401"/>
      <c r="C1401"/>
      <c r="D1401"/>
      <c r="E1401"/>
      <c r="F1401"/>
      <c r="G1401"/>
      <c r="H1401"/>
      <c r="J1401"/>
    </row>
    <row r="1402" spans="2:10" x14ac:dyDescent="0.2">
      <c r="B1402"/>
      <c r="C1402"/>
      <c r="D1402"/>
      <c r="E1402"/>
      <c r="F1402"/>
      <c r="G1402"/>
      <c r="H1402"/>
      <c r="J1402"/>
    </row>
    <row r="1403" spans="2:10" x14ac:dyDescent="0.2">
      <c r="B1403"/>
      <c r="C1403"/>
      <c r="D1403"/>
      <c r="E1403"/>
      <c r="F1403"/>
      <c r="G1403"/>
      <c r="H1403"/>
      <c r="J1403"/>
    </row>
    <row r="1404" spans="2:10" x14ac:dyDescent="0.2">
      <c r="B1404"/>
      <c r="C1404"/>
      <c r="D1404"/>
      <c r="E1404"/>
      <c r="F1404"/>
      <c r="G1404"/>
      <c r="H1404"/>
      <c r="J1404"/>
    </row>
    <row r="1405" spans="2:10" x14ac:dyDescent="0.2">
      <c r="B1405"/>
      <c r="C1405"/>
      <c r="D1405"/>
      <c r="E1405"/>
      <c r="F1405"/>
      <c r="G1405"/>
      <c r="H1405"/>
      <c r="J1405"/>
    </row>
    <row r="1406" spans="2:10" x14ac:dyDescent="0.2">
      <c r="B1406"/>
      <c r="C1406"/>
      <c r="D1406"/>
      <c r="E1406"/>
      <c r="F1406"/>
      <c r="G1406"/>
      <c r="H1406"/>
      <c r="J1406"/>
    </row>
    <row r="1407" spans="2:10" x14ac:dyDescent="0.2">
      <c r="B1407"/>
      <c r="C1407"/>
      <c r="D1407"/>
      <c r="E1407"/>
      <c r="F1407"/>
      <c r="G1407"/>
      <c r="H1407"/>
      <c r="J1407"/>
    </row>
    <row r="1408" spans="2:10" x14ac:dyDescent="0.2">
      <c r="B1408"/>
      <c r="C1408"/>
      <c r="D1408"/>
      <c r="E1408"/>
      <c r="F1408"/>
      <c r="G1408"/>
      <c r="H1408"/>
      <c r="J1408"/>
    </row>
    <row r="1409" spans="2:10" x14ac:dyDescent="0.2">
      <c r="B1409"/>
      <c r="C1409"/>
      <c r="D1409"/>
      <c r="E1409"/>
      <c r="F1409"/>
      <c r="G1409"/>
      <c r="H1409"/>
      <c r="J1409"/>
    </row>
    <row r="1410" spans="2:10" x14ac:dyDescent="0.2">
      <c r="B1410"/>
      <c r="C1410"/>
      <c r="D1410"/>
      <c r="E1410"/>
      <c r="F1410"/>
      <c r="G1410"/>
      <c r="H1410"/>
      <c r="J1410"/>
    </row>
    <row r="1411" spans="2:10" x14ac:dyDescent="0.2">
      <c r="B1411"/>
      <c r="C1411"/>
      <c r="D1411"/>
      <c r="E1411"/>
      <c r="F1411"/>
      <c r="G1411"/>
      <c r="H1411"/>
      <c r="J1411"/>
    </row>
    <row r="1412" spans="2:10" x14ac:dyDescent="0.2">
      <c r="B1412"/>
      <c r="C1412"/>
      <c r="D1412"/>
      <c r="E1412"/>
      <c r="F1412"/>
      <c r="G1412"/>
      <c r="H1412"/>
      <c r="J1412"/>
    </row>
    <row r="1413" spans="2:10" x14ac:dyDescent="0.2">
      <c r="B1413"/>
      <c r="C1413"/>
      <c r="D1413"/>
      <c r="E1413"/>
      <c r="F1413"/>
      <c r="G1413"/>
      <c r="H1413"/>
      <c r="J1413"/>
    </row>
    <row r="1414" spans="2:10" x14ac:dyDescent="0.2">
      <c r="B1414"/>
      <c r="C1414"/>
      <c r="D1414"/>
      <c r="E1414"/>
      <c r="F1414"/>
      <c r="G1414"/>
      <c r="H1414"/>
      <c r="J1414"/>
    </row>
    <row r="1415" spans="2:10" x14ac:dyDescent="0.2">
      <c r="B1415"/>
      <c r="C1415"/>
      <c r="D1415"/>
      <c r="E1415"/>
      <c r="F1415"/>
      <c r="G1415"/>
      <c r="H1415"/>
      <c r="J1415"/>
    </row>
    <row r="1416" spans="2:10" x14ac:dyDescent="0.2">
      <c r="B1416"/>
      <c r="C1416"/>
      <c r="D1416"/>
      <c r="E1416"/>
      <c r="F1416"/>
      <c r="G1416"/>
      <c r="H1416"/>
      <c r="J1416"/>
    </row>
    <row r="1417" spans="2:10" x14ac:dyDescent="0.2">
      <c r="B1417"/>
      <c r="C1417"/>
      <c r="D1417"/>
      <c r="E1417"/>
      <c r="F1417"/>
      <c r="G1417"/>
      <c r="H1417"/>
      <c r="J1417"/>
    </row>
    <row r="1418" spans="2:10" x14ac:dyDescent="0.2">
      <c r="B1418"/>
      <c r="C1418"/>
      <c r="D1418"/>
      <c r="E1418"/>
      <c r="F1418"/>
      <c r="G1418"/>
      <c r="H1418"/>
      <c r="J1418"/>
    </row>
    <row r="1419" spans="2:10" x14ac:dyDescent="0.2">
      <c r="B1419"/>
      <c r="C1419"/>
      <c r="D1419"/>
      <c r="E1419"/>
      <c r="F1419"/>
      <c r="G1419"/>
      <c r="H1419"/>
      <c r="J1419"/>
    </row>
    <row r="1420" spans="2:10" x14ac:dyDescent="0.2">
      <c r="B1420"/>
      <c r="C1420"/>
      <c r="D1420"/>
      <c r="E1420"/>
      <c r="F1420"/>
      <c r="G1420"/>
      <c r="H1420"/>
      <c r="J1420"/>
    </row>
    <row r="1421" spans="2:10" x14ac:dyDescent="0.2">
      <c r="B1421"/>
      <c r="C1421"/>
      <c r="D1421"/>
      <c r="E1421"/>
      <c r="F1421"/>
      <c r="G1421"/>
      <c r="H1421"/>
      <c r="J1421"/>
    </row>
    <row r="1422" spans="2:10" x14ac:dyDescent="0.2">
      <c r="B1422"/>
      <c r="C1422"/>
      <c r="D1422"/>
      <c r="E1422"/>
      <c r="F1422"/>
      <c r="G1422"/>
      <c r="H1422"/>
      <c r="J1422"/>
    </row>
    <row r="1423" spans="2:10" x14ac:dyDescent="0.2">
      <c r="B1423"/>
      <c r="C1423"/>
      <c r="D1423"/>
      <c r="E1423"/>
      <c r="F1423"/>
      <c r="G1423"/>
      <c r="H1423"/>
      <c r="J1423"/>
    </row>
    <row r="1424" spans="2:10" x14ac:dyDescent="0.2">
      <c r="B1424"/>
      <c r="C1424"/>
      <c r="D1424"/>
      <c r="E1424"/>
      <c r="F1424"/>
      <c r="G1424"/>
      <c r="H1424"/>
      <c r="J1424"/>
    </row>
    <row r="1425" spans="2:10" x14ac:dyDescent="0.2">
      <c r="B1425"/>
      <c r="C1425"/>
      <c r="D1425"/>
      <c r="E1425"/>
      <c r="F1425"/>
      <c r="G1425"/>
      <c r="H1425"/>
      <c r="J1425"/>
    </row>
    <row r="1426" spans="2:10" x14ac:dyDescent="0.2">
      <c r="B1426"/>
      <c r="C1426"/>
      <c r="D1426"/>
      <c r="E1426"/>
      <c r="F1426"/>
      <c r="G1426"/>
      <c r="H1426"/>
      <c r="J1426"/>
    </row>
    <row r="1427" spans="2:10" x14ac:dyDescent="0.2">
      <c r="B1427"/>
      <c r="C1427"/>
      <c r="D1427"/>
      <c r="E1427"/>
      <c r="F1427"/>
      <c r="G1427"/>
      <c r="H1427"/>
      <c r="J1427"/>
    </row>
    <row r="1428" spans="2:10" x14ac:dyDescent="0.2">
      <c r="B1428"/>
      <c r="C1428"/>
      <c r="D1428"/>
      <c r="E1428"/>
      <c r="F1428"/>
      <c r="G1428"/>
      <c r="H1428"/>
      <c r="J1428"/>
    </row>
    <row r="1429" spans="2:10" x14ac:dyDescent="0.2">
      <c r="B1429"/>
      <c r="C1429"/>
      <c r="D1429"/>
      <c r="E1429"/>
      <c r="F1429"/>
      <c r="G1429"/>
      <c r="H1429"/>
      <c r="J1429"/>
    </row>
    <row r="1430" spans="2:10" x14ac:dyDescent="0.2">
      <c r="B1430"/>
      <c r="C1430"/>
      <c r="D1430"/>
      <c r="E1430"/>
      <c r="F1430"/>
      <c r="G1430"/>
      <c r="H1430"/>
      <c r="J1430"/>
    </row>
    <row r="1431" spans="2:10" x14ac:dyDescent="0.2">
      <c r="B1431"/>
      <c r="C1431"/>
      <c r="D1431"/>
      <c r="E1431"/>
      <c r="F1431"/>
      <c r="G1431"/>
      <c r="H1431"/>
      <c r="J1431"/>
    </row>
    <row r="1432" spans="2:10" x14ac:dyDescent="0.2">
      <c r="B1432"/>
      <c r="C1432"/>
      <c r="D1432"/>
      <c r="E1432"/>
      <c r="F1432"/>
      <c r="G1432"/>
      <c r="H1432"/>
      <c r="J1432"/>
    </row>
    <row r="1433" spans="2:10" x14ac:dyDescent="0.2">
      <c r="B1433"/>
      <c r="C1433"/>
      <c r="D1433"/>
      <c r="E1433"/>
      <c r="F1433"/>
      <c r="G1433"/>
      <c r="H1433"/>
      <c r="J1433"/>
    </row>
    <row r="1434" spans="2:10" x14ac:dyDescent="0.2">
      <c r="B1434"/>
      <c r="C1434"/>
      <c r="D1434"/>
      <c r="E1434"/>
      <c r="F1434"/>
      <c r="G1434"/>
      <c r="H1434"/>
      <c r="J1434"/>
    </row>
    <row r="1435" spans="2:10" x14ac:dyDescent="0.2">
      <c r="B1435"/>
      <c r="C1435"/>
      <c r="D1435"/>
      <c r="E1435"/>
      <c r="F1435"/>
      <c r="G1435"/>
      <c r="H1435"/>
      <c r="J1435"/>
    </row>
    <row r="1436" spans="2:10" x14ac:dyDescent="0.2">
      <c r="B1436"/>
      <c r="C1436"/>
      <c r="D1436"/>
      <c r="E1436"/>
      <c r="F1436"/>
      <c r="G1436"/>
      <c r="H1436"/>
      <c r="J1436"/>
    </row>
    <row r="1437" spans="2:10" x14ac:dyDescent="0.2">
      <c r="B1437"/>
      <c r="C1437"/>
      <c r="D1437"/>
      <c r="E1437"/>
      <c r="F1437"/>
      <c r="G1437"/>
      <c r="H1437"/>
      <c r="J1437"/>
    </row>
    <row r="1438" spans="2:10" x14ac:dyDescent="0.2">
      <c r="B1438"/>
      <c r="C1438"/>
      <c r="D1438"/>
      <c r="E1438"/>
      <c r="F1438"/>
      <c r="G1438"/>
      <c r="H1438"/>
      <c r="J1438"/>
    </row>
    <row r="1439" spans="2:10" x14ac:dyDescent="0.2">
      <c r="B1439"/>
      <c r="C1439"/>
      <c r="D1439"/>
      <c r="E1439"/>
      <c r="F1439"/>
      <c r="G1439"/>
      <c r="H1439"/>
      <c r="J1439"/>
    </row>
    <row r="1440" spans="2:10" x14ac:dyDescent="0.2">
      <c r="B1440"/>
      <c r="C1440"/>
      <c r="D1440"/>
      <c r="E1440"/>
      <c r="F1440"/>
      <c r="G1440"/>
      <c r="H1440"/>
      <c r="J1440"/>
    </row>
    <row r="1441" spans="2:10" x14ac:dyDescent="0.2">
      <c r="B1441"/>
      <c r="C1441"/>
      <c r="D1441"/>
      <c r="E1441"/>
      <c r="F1441"/>
      <c r="G1441"/>
      <c r="H1441"/>
      <c r="J1441"/>
    </row>
    <row r="1442" spans="2:10" x14ac:dyDescent="0.2">
      <c r="B1442"/>
      <c r="C1442"/>
      <c r="D1442"/>
      <c r="E1442"/>
      <c r="F1442"/>
      <c r="G1442"/>
      <c r="H1442"/>
      <c r="J1442"/>
    </row>
    <row r="1443" spans="2:10" x14ac:dyDescent="0.2">
      <c r="B1443"/>
      <c r="C1443"/>
      <c r="D1443"/>
      <c r="E1443"/>
      <c r="F1443"/>
      <c r="G1443"/>
      <c r="H1443"/>
      <c r="J1443"/>
    </row>
    <row r="1444" spans="2:10" x14ac:dyDescent="0.2">
      <c r="B1444"/>
      <c r="C1444"/>
      <c r="D1444"/>
      <c r="E1444"/>
      <c r="F1444"/>
      <c r="G1444"/>
      <c r="H1444"/>
      <c r="J1444"/>
    </row>
    <row r="1445" spans="2:10" x14ac:dyDescent="0.2">
      <c r="B1445"/>
      <c r="C1445"/>
      <c r="D1445"/>
      <c r="E1445"/>
      <c r="F1445"/>
      <c r="G1445"/>
      <c r="H1445"/>
      <c r="J1445"/>
    </row>
    <row r="1446" spans="2:10" x14ac:dyDescent="0.2">
      <c r="B1446"/>
      <c r="C1446"/>
      <c r="D1446"/>
      <c r="E1446"/>
      <c r="F1446"/>
      <c r="G1446"/>
      <c r="H1446"/>
      <c r="J1446"/>
    </row>
    <row r="1447" spans="2:10" x14ac:dyDescent="0.2">
      <c r="B1447"/>
      <c r="C1447"/>
      <c r="D1447"/>
      <c r="E1447"/>
      <c r="F1447"/>
      <c r="G1447"/>
      <c r="H1447"/>
      <c r="J1447"/>
    </row>
    <row r="1448" spans="2:10" x14ac:dyDescent="0.2">
      <c r="B1448"/>
      <c r="C1448"/>
      <c r="D1448"/>
      <c r="E1448"/>
      <c r="F1448"/>
      <c r="G1448"/>
      <c r="H1448"/>
      <c r="J1448"/>
    </row>
    <row r="1449" spans="2:10" x14ac:dyDescent="0.2">
      <c r="B1449"/>
      <c r="C1449"/>
      <c r="D1449"/>
      <c r="E1449"/>
      <c r="F1449"/>
      <c r="G1449"/>
      <c r="H1449"/>
      <c r="J1449"/>
    </row>
    <row r="1450" spans="2:10" x14ac:dyDescent="0.2">
      <c r="B1450"/>
      <c r="C1450"/>
      <c r="D1450"/>
      <c r="E1450"/>
      <c r="F1450"/>
      <c r="G1450"/>
      <c r="H1450"/>
      <c r="J1450"/>
    </row>
    <row r="1451" spans="2:10" x14ac:dyDescent="0.2">
      <c r="B1451"/>
      <c r="C1451"/>
      <c r="D1451"/>
      <c r="E1451"/>
      <c r="F1451"/>
      <c r="G1451"/>
      <c r="H1451"/>
      <c r="J1451"/>
    </row>
    <row r="1452" spans="2:10" x14ac:dyDescent="0.2">
      <c r="B1452"/>
      <c r="C1452"/>
      <c r="D1452"/>
      <c r="E1452"/>
      <c r="F1452"/>
      <c r="G1452"/>
      <c r="H1452"/>
      <c r="J1452"/>
    </row>
    <row r="1453" spans="2:10" x14ac:dyDescent="0.2">
      <c r="B1453"/>
      <c r="C1453"/>
      <c r="D1453"/>
      <c r="E1453"/>
      <c r="F1453"/>
      <c r="G1453"/>
      <c r="H1453"/>
      <c r="J1453"/>
    </row>
    <row r="1454" spans="2:10" x14ac:dyDescent="0.2">
      <c r="B1454"/>
      <c r="C1454"/>
      <c r="D1454"/>
      <c r="E1454"/>
      <c r="F1454"/>
      <c r="G1454"/>
      <c r="H1454"/>
      <c r="J1454"/>
    </row>
    <row r="1455" spans="2:10" x14ac:dyDescent="0.2">
      <c r="B1455"/>
      <c r="C1455"/>
      <c r="D1455"/>
      <c r="E1455"/>
      <c r="F1455"/>
      <c r="G1455"/>
      <c r="H1455"/>
      <c r="J1455"/>
    </row>
    <row r="1456" spans="2:10" x14ac:dyDescent="0.2">
      <c r="B1456"/>
      <c r="C1456"/>
      <c r="D1456"/>
      <c r="E1456"/>
      <c r="F1456"/>
      <c r="G1456"/>
      <c r="H1456"/>
      <c r="J1456"/>
    </row>
    <row r="1457" spans="2:10" x14ac:dyDescent="0.2">
      <c r="B1457"/>
      <c r="C1457"/>
      <c r="D1457"/>
      <c r="E1457"/>
      <c r="F1457"/>
      <c r="G1457"/>
      <c r="H1457"/>
      <c r="J1457"/>
    </row>
    <row r="1458" spans="2:10" x14ac:dyDescent="0.2">
      <c r="B1458"/>
      <c r="C1458"/>
      <c r="D1458"/>
      <c r="E1458"/>
      <c r="F1458"/>
      <c r="G1458"/>
      <c r="H1458"/>
      <c r="J1458"/>
    </row>
    <row r="1459" spans="2:10" x14ac:dyDescent="0.2">
      <c r="B1459"/>
      <c r="C1459"/>
      <c r="D1459"/>
      <c r="E1459"/>
      <c r="F1459"/>
      <c r="G1459"/>
      <c r="H1459"/>
      <c r="J1459"/>
    </row>
    <row r="1460" spans="2:10" x14ac:dyDescent="0.2">
      <c r="B1460"/>
      <c r="C1460"/>
      <c r="D1460"/>
      <c r="E1460"/>
      <c r="F1460"/>
      <c r="G1460"/>
      <c r="H1460"/>
      <c r="J1460"/>
    </row>
    <row r="1461" spans="2:10" x14ac:dyDescent="0.2">
      <c r="B1461"/>
      <c r="C1461"/>
      <c r="D1461"/>
      <c r="E1461"/>
      <c r="F1461"/>
      <c r="G1461"/>
      <c r="H1461"/>
      <c r="J1461"/>
    </row>
    <row r="1462" spans="2:10" x14ac:dyDescent="0.2">
      <c r="B1462"/>
      <c r="C1462"/>
      <c r="D1462"/>
      <c r="E1462"/>
      <c r="F1462"/>
      <c r="G1462"/>
      <c r="H1462"/>
      <c r="J1462"/>
    </row>
    <row r="1463" spans="2:10" x14ac:dyDescent="0.2">
      <c r="B1463"/>
      <c r="C1463"/>
      <c r="D1463"/>
      <c r="E1463"/>
      <c r="F1463"/>
      <c r="G1463"/>
      <c r="H1463"/>
      <c r="J1463"/>
    </row>
    <row r="1464" spans="2:10" x14ac:dyDescent="0.2">
      <c r="B1464"/>
      <c r="C1464"/>
      <c r="D1464"/>
      <c r="E1464"/>
      <c r="F1464"/>
      <c r="G1464"/>
      <c r="H1464"/>
      <c r="J1464"/>
    </row>
    <row r="1465" spans="2:10" x14ac:dyDescent="0.2">
      <c r="B1465"/>
      <c r="C1465"/>
      <c r="D1465"/>
      <c r="E1465"/>
      <c r="F1465"/>
      <c r="G1465"/>
      <c r="H1465"/>
      <c r="J1465"/>
    </row>
    <row r="1466" spans="2:10" x14ac:dyDescent="0.2">
      <c r="B1466"/>
      <c r="C1466"/>
      <c r="D1466"/>
      <c r="E1466"/>
      <c r="F1466"/>
      <c r="G1466"/>
      <c r="H1466"/>
      <c r="J1466"/>
    </row>
    <row r="1467" spans="2:10" x14ac:dyDescent="0.2">
      <c r="B1467"/>
      <c r="C1467"/>
      <c r="D1467"/>
      <c r="E1467"/>
      <c r="F1467"/>
      <c r="G1467"/>
      <c r="H1467"/>
      <c r="J1467"/>
    </row>
    <row r="1468" spans="2:10" x14ac:dyDescent="0.2">
      <c r="B1468"/>
      <c r="C1468"/>
      <c r="D1468"/>
      <c r="E1468"/>
      <c r="F1468"/>
      <c r="G1468"/>
      <c r="H1468"/>
      <c r="J1468"/>
    </row>
    <row r="1469" spans="2:10" x14ac:dyDescent="0.2">
      <c r="B1469"/>
      <c r="C1469"/>
      <c r="D1469"/>
      <c r="E1469"/>
      <c r="F1469"/>
      <c r="G1469"/>
      <c r="H1469"/>
      <c r="J1469"/>
    </row>
    <row r="1470" spans="2:10" x14ac:dyDescent="0.2">
      <c r="B1470"/>
      <c r="C1470"/>
      <c r="D1470"/>
      <c r="E1470"/>
      <c r="F1470"/>
      <c r="G1470"/>
      <c r="H1470"/>
      <c r="J1470"/>
    </row>
    <row r="1471" spans="2:10" x14ac:dyDescent="0.2">
      <c r="B1471"/>
      <c r="C1471"/>
      <c r="D1471"/>
      <c r="E1471"/>
      <c r="F1471"/>
      <c r="G1471"/>
      <c r="H1471"/>
      <c r="J1471"/>
    </row>
    <row r="1472" spans="2:10" x14ac:dyDescent="0.2">
      <c r="B1472"/>
      <c r="C1472"/>
      <c r="D1472"/>
      <c r="E1472"/>
      <c r="F1472"/>
      <c r="G1472"/>
      <c r="H1472"/>
      <c r="J1472"/>
    </row>
    <row r="1473" spans="2:10" x14ac:dyDescent="0.2">
      <c r="B1473"/>
      <c r="C1473"/>
      <c r="D1473"/>
      <c r="E1473"/>
      <c r="F1473"/>
      <c r="G1473"/>
      <c r="H1473"/>
      <c r="J1473"/>
    </row>
    <row r="1474" spans="2:10" x14ac:dyDescent="0.2">
      <c r="B1474"/>
      <c r="C1474"/>
      <c r="D1474"/>
      <c r="E1474"/>
      <c r="F1474"/>
      <c r="G1474"/>
      <c r="H1474"/>
      <c r="J1474"/>
    </row>
    <row r="1475" spans="2:10" x14ac:dyDescent="0.2">
      <c r="B1475"/>
      <c r="C1475"/>
      <c r="D1475"/>
      <c r="E1475"/>
      <c r="F1475"/>
      <c r="G1475"/>
      <c r="H1475"/>
      <c r="J1475"/>
    </row>
    <row r="1476" spans="2:10" x14ac:dyDescent="0.2">
      <c r="B1476"/>
      <c r="C1476"/>
      <c r="D1476"/>
      <c r="E1476"/>
      <c r="F1476"/>
      <c r="G1476"/>
      <c r="H1476"/>
      <c r="J1476"/>
    </row>
    <row r="1477" spans="2:10" x14ac:dyDescent="0.2">
      <c r="B1477"/>
      <c r="C1477"/>
      <c r="D1477"/>
      <c r="E1477"/>
      <c r="F1477"/>
      <c r="G1477"/>
      <c r="H1477"/>
      <c r="J1477"/>
    </row>
    <row r="1478" spans="2:10" x14ac:dyDescent="0.2">
      <c r="B1478"/>
      <c r="C1478"/>
      <c r="D1478"/>
      <c r="E1478"/>
      <c r="F1478"/>
      <c r="G1478"/>
      <c r="H1478"/>
      <c r="J1478"/>
    </row>
    <row r="1479" spans="2:10" x14ac:dyDescent="0.2">
      <c r="B1479"/>
      <c r="C1479"/>
      <c r="D1479"/>
      <c r="E1479"/>
      <c r="F1479"/>
      <c r="G1479"/>
      <c r="H1479"/>
      <c r="J1479"/>
    </row>
    <row r="1480" spans="2:10" x14ac:dyDescent="0.2">
      <c r="B1480"/>
      <c r="C1480"/>
      <c r="D1480"/>
      <c r="E1480"/>
      <c r="F1480"/>
      <c r="G1480"/>
      <c r="H1480"/>
      <c r="J1480"/>
    </row>
    <row r="1481" spans="2:10" x14ac:dyDescent="0.2">
      <c r="B1481"/>
      <c r="C1481"/>
      <c r="D1481"/>
      <c r="E1481"/>
      <c r="F1481"/>
      <c r="G1481"/>
      <c r="H1481"/>
      <c r="J1481"/>
    </row>
    <row r="1482" spans="2:10" x14ac:dyDescent="0.2">
      <c r="B1482"/>
      <c r="C1482"/>
      <c r="D1482"/>
      <c r="E1482"/>
      <c r="F1482"/>
      <c r="G1482"/>
      <c r="H1482"/>
      <c r="J1482"/>
    </row>
    <row r="1483" spans="2:10" x14ac:dyDescent="0.2">
      <c r="B1483"/>
      <c r="C1483"/>
      <c r="D1483"/>
      <c r="E1483"/>
      <c r="F1483"/>
      <c r="G1483"/>
      <c r="H1483"/>
      <c r="J1483"/>
    </row>
    <row r="1484" spans="2:10" x14ac:dyDescent="0.2">
      <c r="B1484"/>
      <c r="C1484"/>
      <c r="D1484"/>
      <c r="E1484"/>
      <c r="F1484"/>
      <c r="G1484"/>
      <c r="H1484"/>
      <c r="J1484"/>
    </row>
    <row r="1485" spans="2:10" x14ac:dyDescent="0.2">
      <c r="B1485"/>
      <c r="C1485"/>
      <c r="D1485"/>
      <c r="E1485"/>
      <c r="F1485"/>
      <c r="G1485"/>
      <c r="H1485"/>
      <c r="J1485"/>
    </row>
    <row r="1486" spans="2:10" x14ac:dyDescent="0.2">
      <c r="B1486"/>
      <c r="C1486"/>
      <c r="D1486"/>
      <c r="E1486"/>
      <c r="F1486"/>
      <c r="G1486"/>
      <c r="H1486"/>
      <c r="J1486"/>
    </row>
    <row r="1487" spans="2:10" x14ac:dyDescent="0.2">
      <c r="B1487"/>
      <c r="C1487"/>
      <c r="D1487"/>
      <c r="E1487"/>
      <c r="F1487"/>
      <c r="G1487"/>
      <c r="H1487"/>
      <c r="J1487"/>
    </row>
    <row r="1488" spans="2:10" x14ac:dyDescent="0.2">
      <c r="B1488"/>
      <c r="C1488"/>
      <c r="D1488"/>
      <c r="E1488"/>
      <c r="F1488"/>
      <c r="G1488"/>
      <c r="H1488"/>
      <c r="J1488"/>
    </row>
    <row r="1489" spans="2:10" x14ac:dyDescent="0.2">
      <c r="B1489"/>
      <c r="C1489"/>
      <c r="D1489"/>
      <c r="E1489"/>
      <c r="F1489"/>
      <c r="G1489"/>
      <c r="H1489"/>
      <c r="J1489"/>
    </row>
    <row r="1490" spans="2:10" x14ac:dyDescent="0.2">
      <c r="B1490"/>
      <c r="C1490"/>
      <c r="D1490"/>
      <c r="E1490"/>
      <c r="F1490"/>
      <c r="G1490"/>
      <c r="H1490"/>
      <c r="J1490"/>
    </row>
    <row r="1491" spans="2:10" x14ac:dyDescent="0.2">
      <c r="B1491"/>
      <c r="C1491"/>
      <c r="D1491"/>
      <c r="E1491"/>
      <c r="F1491"/>
      <c r="G1491"/>
      <c r="H1491"/>
      <c r="J1491"/>
    </row>
    <row r="1492" spans="2:10" x14ac:dyDescent="0.2">
      <c r="B1492"/>
      <c r="C1492"/>
      <c r="D1492"/>
      <c r="E1492"/>
      <c r="F1492"/>
      <c r="G1492"/>
      <c r="H1492"/>
      <c r="J1492"/>
    </row>
    <row r="1493" spans="2:10" x14ac:dyDescent="0.2">
      <c r="B1493"/>
      <c r="C1493"/>
      <c r="D1493"/>
      <c r="E1493"/>
      <c r="F1493"/>
      <c r="G1493"/>
      <c r="H1493"/>
      <c r="J1493"/>
    </row>
    <row r="1494" spans="2:10" x14ac:dyDescent="0.2">
      <c r="B1494"/>
      <c r="C1494"/>
      <c r="D1494"/>
      <c r="E1494"/>
      <c r="F1494"/>
      <c r="G1494"/>
      <c r="H1494"/>
      <c r="J1494"/>
    </row>
    <row r="1495" spans="2:10" x14ac:dyDescent="0.2">
      <c r="B1495"/>
      <c r="C1495"/>
      <c r="D1495"/>
      <c r="E1495"/>
      <c r="F1495"/>
      <c r="G1495"/>
      <c r="H1495"/>
      <c r="J1495"/>
    </row>
    <row r="1496" spans="2:10" x14ac:dyDescent="0.2">
      <c r="B1496"/>
      <c r="C1496"/>
      <c r="D1496"/>
      <c r="E1496"/>
      <c r="F1496"/>
      <c r="G1496"/>
      <c r="H1496"/>
      <c r="J1496"/>
    </row>
    <row r="1497" spans="2:10" x14ac:dyDescent="0.2">
      <c r="B1497"/>
      <c r="C1497"/>
      <c r="D1497"/>
      <c r="E1497"/>
      <c r="F1497"/>
      <c r="G1497"/>
      <c r="H1497"/>
      <c r="J1497"/>
    </row>
    <row r="1498" spans="2:10" x14ac:dyDescent="0.2">
      <c r="B1498"/>
      <c r="C1498"/>
      <c r="D1498"/>
      <c r="E1498"/>
      <c r="F1498"/>
      <c r="G1498"/>
      <c r="H1498"/>
      <c r="J1498"/>
    </row>
    <row r="1499" spans="2:10" x14ac:dyDescent="0.2">
      <c r="B1499"/>
      <c r="C1499"/>
      <c r="D1499"/>
      <c r="E1499"/>
      <c r="F1499"/>
      <c r="G1499"/>
      <c r="H1499"/>
      <c r="J1499"/>
    </row>
    <row r="1500" spans="2:10" x14ac:dyDescent="0.2">
      <c r="B1500"/>
      <c r="C1500"/>
      <c r="D1500"/>
      <c r="E1500"/>
      <c r="F1500"/>
      <c r="G1500"/>
      <c r="H1500"/>
      <c r="J1500"/>
    </row>
    <row r="1501" spans="2:10" x14ac:dyDescent="0.2">
      <c r="B1501"/>
      <c r="C1501"/>
      <c r="D1501"/>
      <c r="E1501"/>
      <c r="F1501"/>
      <c r="G1501"/>
      <c r="H1501"/>
      <c r="J1501"/>
    </row>
    <row r="1502" spans="2:10" x14ac:dyDescent="0.2">
      <c r="B1502"/>
      <c r="C1502"/>
      <c r="D1502"/>
      <c r="E1502"/>
      <c r="F1502"/>
      <c r="G1502"/>
      <c r="H1502"/>
      <c r="J1502"/>
    </row>
    <row r="1503" spans="2:10" x14ac:dyDescent="0.2">
      <c r="B1503"/>
      <c r="C1503"/>
      <c r="D1503"/>
      <c r="E1503"/>
      <c r="F1503"/>
      <c r="G1503"/>
      <c r="H1503"/>
      <c r="J1503"/>
    </row>
    <row r="1504" spans="2:10" x14ac:dyDescent="0.2">
      <c r="B1504"/>
      <c r="C1504"/>
      <c r="D1504"/>
      <c r="E1504"/>
      <c r="F1504"/>
      <c r="G1504"/>
      <c r="H1504"/>
      <c r="J1504"/>
    </row>
    <row r="1505" spans="2:10" x14ac:dyDescent="0.2">
      <c r="B1505"/>
      <c r="C1505"/>
      <c r="D1505"/>
      <c r="E1505"/>
      <c r="F1505"/>
      <c r="G1505"/>
      <c r="H1505"/>
      <c r="J1505"/>
    </row>
    <row r="1506" spans="2:10" x14ac:dyDescent="0.2">
      <c r="B1506"/>
      <c r="C1506"/>
      <c r="D1506"/>
      <c r="E1506"/>
      <c r="F1506"/>
      <c r="G1506"/>
      <c r="H1506"/>
      <c r="J1506"/>
    </row>
    <row r="1507" spans="2:10" x14ac:dyDescent="0.2">
      <c r="B1507"/>
      <c r="C1507"/>
      <c r="D1507"/>
      <c r="E1507"/>
      <c r="F1507"/>
      <c r="G1507"/>
      <c r="H1507"/>
      <c r="J1507"/>
    </row>
    <row r="1508" spans="2:10" x14ac:dyDescent="0.2">
      <c r="B1508"/>
      <c r="C1508"/>
      <c r="D1508"/>
      <c r="E1508"/>
      <c r="F1508"/>
      <c r="G1508"/>
      <c r="H1508"/>
      <c r="J1508"/>
    </row>
    <row r="1509" spans="2:10" x14ac:dyDescent="0.2">
      <c r="B1509"/>
      <c r="C1509"/>
      <c r="D1509"/>
      <c r="E1509"/>
      <c r="F1509"/>
      <c r="G1509"/>
      <c r="H1509"/>
      <c r="J1509"/>
    </row>
    <row r="1510" spans="2:10" x14ac:dyDescent="0.2">
      <c r="B1510"/>
      <c r="C1510"/>
      <c r="D1510"/>
      <c r="E1510"/>
      <c r="F1510"/>
      <c r="G1510"/>
      <c r="H1510"/>
      <c r="J1510"/>
    </row>
    <row r="1511" spans="2:10" x14ac:dyDescent="0.2">
      <c r="B1511"/>
      <c r="C1511"/>
      <c r="D1511"/>
      <c r="E1511"/>
      <c r="F1511"/>
      <c r="G1511"/>
      <c r="H1511"/>
      <c r="J1511"/>
    </row>
    <row r="1512" spans="2:10" x14ac:dyDescent="0.2">
      <c r="B1512"/>
      <c r="C1512"/>
      <c r="D1512"/>
      <c r="E1512"/>
      <c r="F1512"/>
      <c r="G1512"/>
      <c r="H1512"/>
      <c r="J1512"/>
    </row>
    <row r="1513" spans="2:10" x14ac:dyDescent="0.2">
      <c r="B1513"/>
      <c r="C1513"/>
      <c r="D1513"/>
      <c r="E1513"/>
      <c r="F1513"/>
      <c r="G1513"/>
      <c r="H1513"/>
      <c r="J1513"/>
    </row>
    <row r="1514" spans="2:10" x14ac:dyDescent="0.2">
      <c r="B1514"/>
      <c r="C1514"/>
      <c r="D1514"/>
      <c r="E1514"/>
      <c r="F1514"/>
      <c r="G1514"/>
      <c r="H1514"/>
      <c r="J1514"/>
    </row>
    <row r="1515" spans="2:10" x14ac:dyDescent="0.2">
      <c r="B1515"/>
      <c r="C1515"/>
      <c r="D1515"/>
      <c r="E1515"/>
      <c r="F1515"/>
      <c r="G1515"/>
      <c r="H1515"/>
      <c r="J1515"/>
    </row>
    <row r="1516" spans="2:10" x14ac:dyDescent="0.2">
      <c r="B1516"/>
      <c r="C1516"/>
      <c r="D1516"/>
      <c r="E1516"/>
      <c r="F1516"/>
      <c r="G1516"/>
      <c r="H1516"/>
      <c r="J1516"/>
    </row>
    <row r="1517" spans="2:10" x14ac:dyDescent="0.2">
      <c r="B1517"/>
      <c r="C1517"/>
      <c r="D1517"/>
      <c r="E1517"/>
      <c r="F1517"/>
      <c r="G1517"/>
      <c r="H1517"/>
      <c r="J1517"/>
    </row>
    <row r="1518" spans="2:10" x14ac:dyDescent="0.2">
      <c r="B1518"/>
      <c r="C1518"/>
      <c r="D1518"/>
      <c r="E1518"/>
      <c r="F1518"/>
      <c r="G1518"/>
      <c r="H1518"/>
      <c r="J1518"/>
    </row>
    <row r="1519" spans="2:10" x14ac:dyDescent="0.2">
      <c r="B1519"/>
      <c r="C1519"/>
      <c r="D1519"/>
      <c r="E1519"/>
      <c r="F1519"/>
      <c r="G1519"/>
      <c r="H1519"/>
      <c r="J1519"/>
    </row>
    <row r="1520" spans="2:10" x14ac:dyDescent="0.2">
      <c r="B1520"/>
      <c r="C1520"/>
      <c r="D1520"/>
      <c r="E1520"/>
      <c r="F1520"/>
      <c r="G1520"/>
      <c r="H1520"/>
      <c r="J1520"/>
    </row>
    <row r="1521" spans="2:10" x14ac:dyDescent="0.2">
      <c r="B1521"/>
      <c r="C1521"/>
      <c r="D1521"/>
      <c r="E1521"/>
      <c r="F1521"/>
      <c r="G1521"/>
      <c r="H1521"/>
      <c r="J1521"/>
    </row>
    <row r="1522" spans="2:10" x14ac:dyDescent="0.2">
      <c r="B1522"/>
      <c r="C1522"/>
      <c r="D1522"/>
      <c r="E1522"/>
      <c r="F1522"/>
      <c r="G1522"/>
      <c r="H1522"/>
      <c r="J1522"/>
    </row>
    <row r="1523" spans="2:10" x14ac:dyDescent="0.2">
      <c r="B1523"/>
      <c r="C1523"/>
      <c r="D1523"/>
      <c r="E1523"/>
      <c r="F1523"/>
      <c r="G1523"/>
      <c r="H1523"/>
      <c r="J1523"/>
    </row>
    <row r="1524" spans="2:10" x14ac:dyDescent="0.2">
      <c r="B1524"/>
      <c r="C1524"/>
      <c r="D1524"/>
      <c r="E1524"/>
      <c r="F1524"/>
      <c r="G1524"/>
      <c r="H1524"/>
      <c r="J1524"/>
    </row>
    <row r="1525" spans="2:10" x14ac:dyDescent="0.2">
      <c r="B1525"/>
      <c r="C1525"/>
      <c r="D1525"/>
      <c r="E1525"/>
      <c r="F1525"/>
      <c r="G1525"/>
      <c r="H1525"/>
      <c r="J1525"/>
    </row>
    <row r="1526" spans="2:10" x14ac:dyDescent="0.2">
      <c r="B1526"/>
      <c r="C1526"/>
      <c r="D1526"/>
      <c r="E1526"/>
      <c r="F1526"/>
      <c r="G1526"/>
      <c r="H1526"/>
      <c r="J1526"/>
    </row>
    <row r="1527" spans="2:10" x14ac:dyDescent="0.2">
      <c r="B1527"/>
      <c r="C1527"/>
      <c r="D1527"/>
      <c r="E1527"/>
      <c r="F1527"/>
      <c r="G1527"/>
      <c r="H1527"/>
      <c r="J1527"/>
    </row>
    <row r="1528" spans="2:10" x14ac:dyDescent="0.2">
      <c r="B1528"/>
      <c r="C1528"/>
      <c r="D1528"/>
      <c r="E1528"/>
      <c r="F1528"/>
      <c r="G1528"/>
      <c r="H1528"/>
      <c r="J1528"/>
    </row>
    <row r="1529" spans="2:10" x14ac:dyDescent="0.2">
      <c r="B1529"/>
      <c r="C1529"/>
      <c r="D1529"/>
      <c r="E1529"/>
      <c r="F1529"/>
      <c r="G1529"/>
      <c r="H1529"/>
      <c r="J1529"/>
    </row>
    <row r="1530" spans="2:10" x14ac:dyDescent="0.2">
      <c r="B1530"/>
      <c r="C1530"/>
      <c r="D1530"/>
      <c r="E1530"/>
      <c r="F1530"/>
      <c r="G1530"/>
      <c r="H1530"/>
      <c r="J1530"/>
    </row>
    <row r="1531" spans="2:10" x14ac:dyDescent="0.2">
      <c r="B1531"/>
      <c r="C1531"/>
      <c r="D1531"/>
      <c r="E1531"/>
      <c r="F1531"/>
      <c r="G1531"/>
      <c r="H1531"/>
      <c r="J1531"/>
    </row>
    <row r="1532" spans="2:10" x14ac:dyDescent="0.2">
      <c r="B1532"/>
      <c r="C1532"/>
      <c r="D1532"/>
      <c r="E1532"/>
      <c r="F1532"/>
      <c r="G1532"/>
      <c r="H1532"/>
      <c r="J1532"/>
    </row>
    <row r="1533" spans="2:10" x14ac:dyDescent="0.2">
      <c r="B1533"/>
      <c r="C1533"/>
      <c r="D1533"/>
      <c r="E1533"/>
      <c r="F1533"/>
      <c r="G1533"/>
      <c r="H1533"/>
      <c r="J1533"/>
    </row>
    <row r="1534" spans="2:10" x14ac:dyDescent="0.2">
      <c r="B1534"/>
      <c r="C1534"/>
      <c r="D1534"/>
      <c r="E1534"/>
      <c r="F1534"/>
      <c r="G1534"/>
      <c r="H1534"/>
      <c r="J1534"/>
    </row>
    <row r="1535" spans="2:10" x14ac:dyDescent="0.2">
      <c r="B1535"/>
      <c r="C1535"/>
      <c r="D1535"/>
      <c r="E1535"/>
      <c r="F1535"/>
      <c r="G1535"/>
      <c r="H1535"/>
      <c r="J1535"/>
    </row>
    <row r="1536" spans="2:10" x14ac:dyDescent="0.2">
      <c r="B1536"/>
      <c r="C1536"/>
      <c r="D1536"/>
      <c r="E1536"/>
      <c r="F1536"/>
      <c r="G1536"/>
      <c r="H1536"/>
      <c r="J1536"/>
    </row>
    <row r="1537" spans="2:10" x14ac:dyDescent="0.2">
      <c r="B1537"/>
      <c r="C1537"/>
      <c r="D1537"/>
      <c r="E1537"/>
      <c r="F1537"/>
      <c r="G1537"/>
      <c r="H1537"/>
      <c r="J1537"/>
    </row>
    <row r="1538" spans="2:10" x14ac:dyDescent="0.2">
      <c r="B1538"/>
      <c r="C1538"/>
      <c r="D1538"/>
      <c r="E1538"/>
      <c r="F1538"/>
      <c r="G1538"/>
      <c r="H1538"/>
      <c r="J1538"/>
    </row>
    <row r="1539" spans="2:10" x14ac:dyDescent="0.2">
      <c r="B1539"/>
      <c r="C1539"/>
      <c r="D1539"/>
      <c r="E1539"/>
      <c r="F1539"/>
      <c r="G1539"/>
      <c r="H1539"/>
      <c r="J1539"/>
    </row>
    <row r="1540" spans="2:10" x14ac:dyDescent="0.2">
      <c r="B1540"/>
      <c r="C1540"/>
      <c r="D1540"/>
      <c r="E1540"/>
      <c r="F1540"/>
      <c r="G1540"/>
      <c r="H1540"/>
      <c r="J1540"/>
    </row>
    <row r="1541" spans="2:10" x14ac:dyDescent="0.2">
      <c r="B1541"/>
      <c r="C1541"/>
      <c r="D1541"/>
      <c r="E1541"/>
      <c r="F1541"/>
      <c r="G1541"/>
      <c r="H1541"/>
      <c r="J1541"/>
    </row>
    <row r="1542" spans="2:10" x14ac:dyDescent="0.2">
      <c r="B1542"/>
      <c r="C1542"/>
      <c r="D1542"/>
      <c r="E1542"/>
      <c r="F1542"/>
      <c r="G1542"/>
      <c r="H1542"/>
      <c r="J1542"/>
    </row>
    <row r="1543" spans="2:10" x14ac:dyDescent="0.2">
      <c r="B1543"/>
      <c r="C1543"/>
      <c r="D1543"/>
      <c r="E1543"/>
      <c r="F1543"/>
      <c r="G1543"/>
      <c r="H1543"/>
      <c r="J1543"/>
    </row>
    <row r="1544" spans="2:10" x14ac:dyDescent="0.2">
      <c r="B1544"/>
      <c r="C1544"/>
      <c r="D1544"/>
      <c r="E1544"/>
      <c r="F1544"/>
      <c r="G1544"/>
      <c r="H1544"/>
      <c r="J1544"/>
    </row>
    <row r="1545" spans="2:10" x14ac:dyDescent="0.2">
      <c r="B1545"/>
      <c r="C1545"/>
      <c r="D1545"/>
      <c r="E1545"/>
      <c r="F1545"/>
      <c r="G1545"/>
      <c r="H1545"/>
      <c r="J1545"/>
    </row>
    <row r="1546" spans="2:10" x14ac:dyDescent="0.2">
      <c r="B1546"/>
      <c r="C1546"/>
      <c r="D1546"/>
      <c r="E1546"/>
      <c r="F1546"/>
      <c r="G1546"/>
      <c r="H1546"/>
      <c r="J1546"/>
    </row>
    <row r="1547" spans="2:10" x14ac:dyDescent="0.2">
      <c r="B1547"/>
      <c r="C1547"/>
      <c r="D1547"/>
      <c r="E1547"/>
      <c r="F1547"/>
      <c r="G1547"/>
      <c r="H1547"/>
      <c r="J1547"/>
    </row>
    <row r="1548" spans="2:10" x14ac:dyDescent="0.2">
      <c r="B1548"/>
      <c r="C1548"/>
      <c r="D1548"/>
      <c r="E1548"/>
      <c r="F1548"/>
      <c r="G1548"/>
      <c r="H1548"/>
      <c r="J1548"/>
    </row>
    <row r="1549" spans="2:10" x14ac:dyDescent="0.2">
      <c r="B1549"/>
      <c r="C1549"/>
      <c r="D1549"/>
      <c r="E1549"/>
      <c r="F1549"/>
      <c r="G1549"/>
      <c r="H1549"/>
      <c r="J1549"/>
    </row>
    <row r="1550" spans="2:10" x14ac:dyDescent="0.2">
      <c r="B1550"/>
      <c r="C1550"/>
      <c r="D1550"/>
      <c r="E1550"/>
      <c r="F1550"/>
      <c r="G1550"/>
      <c r="H1550"/>
      <c r="J1550"/>
    </row>
    <row r="1551" spans="2:10" x14ac:dyDescent="0.2">
      <c r="B1551"/>
      <c r="C1551"/>
      <c r="D1551"/>
      <c r="E1551"/>
      <c r="F1551"/>
      <c r="G1551"/>
      <c r="H1551"/>
      <c r="J1551"/>
    </row>
    <row r="1552" spans="2:10" x14ac:dyDescent="0.2">
      <c r="B1552"/>
      <c r="C1552"/>
      <c r="D1552"/>
      <c r="E1552"/>
      <c r="F1552"/>
      <c r="G1552"/>
      <c r="H1552"/>
      <c r="J1552"/>
    </row>
    <row r="1553" spans="2:10" x14ac:dyDescent="0.2">
      <c r="B1553"/>
      <c r="C1553"/>
      <c r="D1553"/>
      <c r="E1553"/>
      <c r="F1553"/>
      <c r="G1553"/>
      <c r="H1553"/>
      <c r="J1553"/>
    </row>
    <row r="1554" spans="2:10" x14ac:dyDescent="0.2">
      <c r="B1554"/>
      <c r="C1554"/>
      <c r="D1554"/>
      <c r="E1554"/>
      <c r="F1554"/>
      <c r="G1554"/>
      <c r="H1554"/>
      <c r="J1554"/>
    </row>
    <row r="1555" spans="2:10" x14ac:dyDescent="0.2">
      <c r="B1555"/>
      <c r="C1555"/>
      <c r="D1555"/>
      <c r="E1555"/>
      <c r="F1555"/>
      <c r="G1555"/>
      <c r="H1555"/>
      <c r="J1555"/>
    </row>
    <row r="1556" spans="2:10" x14ac:dyDescent="0.2">
      <c r="B1556"/>
      <c r="C1556"/>
      <c r="D1556"/>
      <c r="E1556"/>
      <c r="F1556"/>
      <c r="G1556"/>
      <c r="H1556"/>
      <c r="J1556"/>
    </row>
    <row r="1557" spans="2:10" x14ac:dyDescent="0.2">
      <c r="B1557"/>
      <c r="C1557"/>
      <c r="D1557"/>
      <c r="E1557"/>
      <c r="F1557"/>
      <c r="G1557"/>
      <c r="H1557"/>
      <c r="J1557"/>
    </row>
    <row r="1558" spans="2:10" x14ac:dyDescent="0.2">
      <c r="B1558"/>
      <c r="C1558"/>
      <c r="D1558"/>
      <c r="E1558"/>
      <c r="F1558"/>
      <c r="G1558"/>
      <c r="H1558"/>
      <c r="J1558"/>
    </row>
    <row r="1559" spans="2:10" x14ac:dyDescent="0.2">
      <c r="B1559"/>
      <c r="C1559"/>
      <c r="D1559"/>
      <c r="E1559"/>
      <c r="F1559"/>
      <c r="G1559"/>
      <c r="H1559"/>
      <c r="J1559"/>
    </row>
    <row r="1560" spans="2:10" x14ac:dyDescent="0.2">
      <c r="B1560"/>
      <c r="C1560"/>
      <c r="D1560"/>
      <c r="E1560"/>
      <c r="F1560"/>
      <c r="G1560"/>
      <c r="H1560"/>
      <c r="J1560"/>
    </row>
    <row r="1561" spans="2:10" x14ac:dyDescent="0.2">
      <c r="B1561"/>
      <c r="C1561"/>
      <c r="D1561"/>
      <c r="E1561"/>
      <c r="F1561"/>
      <c r="G1561"/>
      <c r="H1561"/>
      <c r="J1561"/>
    </row>
    <row r="1562" spans="2:10" x14ac:dyDescent="0.2">
      <c r="B1562"/>
      <c r="C1562"/>
      <c r="D1562"/>
      <c r="E1562"/>
      <c r="F1562"/>
      <c r="G1562"/>
      <c r="H1562"/>
      <c r="J1562"/>
    </row>
    <row r="1563" spans="2:10" x14ac:dyDescent="0.2">
      <c r="B1563"/>
      <c r="C1563"/>
      <c r="D1563"/>
      <c r="E1563"/>
      <c r="F1563"/>
      <c r="G1563"/>
      <c r="H1563"/>
      <c r="J1563"/>
    </row>
    <row r="1564" spans="2:10" x14ac:dyDescent="0.2">
      <c r="B1564"/>
      <c r="C1564"/>
      <c r="D1564"/>
      <c r="E1564"/>
      <c r="F1564"/>
      <c r="G1564"/>
      <c r="H1564"/>
      <c r="J1564"/>
    </row>
    <row r="1565" spans="2:10" x14ac:dyDescent="0.2">
      <c r="B1565"/>
      <c r="C1565"/>
      <c r="D1565"/>
      <c r="E1565"/>
      <c r="F1565"/>
      <c r="G1565"/>
      <c r="H1565"/>
      <c r="J1565"/>
    </row>
    <row r="1566" spans="2:10" x14ac:dyDescent="0.2">
      <c r="B1566"/>
      <c r="C1566"/>
      <c r="D1566"/>
      <c r="E1566"/>
      <c r="F1566"/>
      <c r="G1566"/>
      <c r="H1566"/>
      <c r="J1566"/>
    </row>
    <row r="1567" spans="2:10" x14ac:dyDescent="0.2">
      <c r="B1567"/>
      <c r="C1567"/>
      <c r="D1567"/>
      <c r="E1567"/>
      <c r="F1567"/>
      <c r="G1567"/>
      <c r="H1567"/>
      <c r="J1567"/>
    </row>
    <row r="1568" spans="2:10" x14ac:dyDescent="0.2">
      <c r="B1568"/>
      <c r="C1568"/>
      <c r="D1568"/>
      <c r="E1568"/>
      <c r="F1568"/>
      <c r="G1568"/>
      <c r="H1568"/>
      <c r="J1568"/>
    </row>
    <row r="1569" spans="2:10" x14ac:dyDescent="0.2">
      <c r="B1569"/>
      <c r="C1569"/>
      <c r="D1569"/>
      <c r="E1569"/>
      <c r="F1569"/>
      <c r="G1569"/>
      <c r="H1569"/>
      <c r="J1569"/>
    </row>
    <row r="1570" spans="2:10" x14ac:dyDescent="0.2">
      <c r="B1570"/>
      <c r="C1570"/>
      <c r="D1570"/>
      <c r="E1570"/>
      <c r="F1570"/>
      <c r="G1570"/>
      <c r="H1570"/>
      <c r="J1570"/>
    </row>
    <row r="1571" spans="2:10" x14ac:dyDescent="0.2">
      <c r="B1571"/>
      <c r="C1571"/>
      <c r="D1571"/>
      <c r="E1571"/>
      <c r="F1571"/>
      <c r="G1571"/>
      <c r="H1571"/>
      <c r="J1571"/>
    </row>
    <row r="1572" spans="2:10" x14ac:dyDescent="0.2">
      <c r="B1572"/>
      <c r="C1572"/>
      <c r="D1572"/>
      <c r="E1572"/>
      <c r="F1572"/>
      <c r="G1572"/>
      <c r="H1572"/>
      <c r="J1572"/>
    </row>
    <row r="1573" spans="2:10" x14ac:dyDescent="0.2">
      <c r="B1573"/>
      <c r="C1573"/>
      <c r="D1573"/>
      <c r="E1573"/>
      <c r="F1573"/>
      <c r="G1573"/>
      <c r="H1573"/>
      <c r="J1573"/>
    </row>
    <row r="1574" spans="2:10" x14ac:dyDescent="0.2">
      <c r="B1574"/>
      <c r="C1574"/>
      <c r="D1574"/>
      <c r="E1574"/>
      <c r="F1574"/>
      <c r="G1574"/>
      <c r="H1574"/>
      <c r="J1574"/>
    </row>
    <row r="1575" spans="2:10" x14ac:dyDescent="0.2">
      <c r="B1575"/>
      <c r="C1575"/>
      <c r="D1575"/>
      <c r="E1575"/>
      <c r="F1575"/>
      <c r="G1575"/>
      <c r="H1575"/>
      <c r="J1575"/>
    </row>
    <row r="1576" spans="2:10" x14ac:dyDescent="0.2">
      <c r="B1576"/>
      <c r="C1576"/>
      <c r="D1576"/>
      <c r="E1576"/>
      <c r="F1576"/>
      <c r="G1576"/>
      <c r="H1576"/>
      <c r="J1576"/>
    </row>
    <row r="1577" spans="2:10" x14ac:dyDescent="0.2">
      <c r="B1577"/>
      <c r="C1577"/>
      <c r="D1577"/>
      <c r="E1577"/>
      <c r="F1577"/>
      <c r="G1577"/>
      <c r="H1577"/>
      <c r="J1577"/>
    </row>
    <row r="1578" spans="2:10" x14ac:dyDescent="0.2">
      <c r="B1578"/>
      <c r="C1578"/>
      <c r="D1578"/>
      <c r="E1578"/>
      <c r="F1578"/>
      <c r="G1578"/>
      <c r="H1578"/>
      <c r="J1578"/>
    </row>
    <row r="1579" spans="2:10" x14ac:dyDescent="0.2">
      <c r="B1579"/>
      <c r="C1579"/>
      <c r="D1579"/>
      <c r="E1579"/>
      <c r="F1579"/>
      <c r="G1579"/>
      <c r="H1579"/>
      <c r="J1579"/>
    </row>
    <row r="1580" spans="2:10" x14ac:dyDescent="0.2">
      <c r="B1580"/>
      <c r="C1580"/>
      <c r="D1580"/>
      <c r="E1580"/>
      <c r="F1580"/>
      <c r="G1580"/>
      <c r="H1580"/>
      <c r="J1580"/>
    </row>
    <row r="1581" spans="2:10" x14ac:dyDescent="0.2">
      <c r="B1581"/>
      <c r="C1581"/>
      <c r="D1581"/>
      <c r="E1581"/>
      <c r="F1581"/>
      <c r="G1581"/>
      <c r="H1581"/>
      <c r="J1581"/>
    </row>
    <row r="1582" spans="2:10" x14ac:dyDescent="0.2">
      <c r="B1582"/>
      <c r="C1582"/>
      <c r="D1582"/>
      <c r="E1582"/>
      <c r="F1582"/>
      <c r="G1582"/>
      <c r="H1582"/>
      <c r="J1582"/>
    </row>
    <row r="1583" spans="2:10" x14ac:dyDescent="0.2">
      <c r="B1583"/>
      <c r="C1583"/>
      <c r="D1583"/>
      <c r="E1583"/>
      <c r="F1583"/>
      <c r="G1583"/>
      <c r="H1583"/>
      <c r="J1583"/>
    </row>
    <row r="1584" spans="2:10" x14ac:dyDescent="0.2">
      <c r="B1584"/>
      <c r="C1584"/>
      <c r="D1584"/>
      <c r="E1584"/>
      <c r="F1584"/>
      <c r="G1584"/>
      <c r="H1584"/>
      <c r="J1584"/>
    </row>
    <row r="1585" spans="2:10" x14ac:dyDescent="0.2">
      <c r="B1585"/>
      <c r="C1585"/>
      <c r="D1585"/>
      <c r="E1585"/>
      <c r="F1585"/>
      <c r="G1585"/>
      <c r="H1585"/>
      <c r="J1585"/>
    </row>
    <row r="1586" spans="2:10" x14ac:dyDescent="0.2">
      <c r="B1586"/>
      <c r="C1586"/>
      <c r="D1586"/>
      <c r="E1586"/>
      <c r="F1586"/>
      <c r="G1586"/>
      <c r="H1586"/>
      <c r="J1586"/>
    </row>
    <row r="1587" spans="2:10" x14ac:dyDescent="0.2">
      <c r="B1587"/>
      <c r="C1587"/>
      <c r="D1587"/>
      <c r="E1587"/>
      <c r="F1587"/>
      <c r="G1587"/>
      <c r="H1587"/>
      <c r="J1587"/>
    </row>
    <row r="1588" spans="2:10" x14ac:dyDescent="0.2">
      <c r="B1588"/>
      <c r="C1588"/>
      <c r="D1588"/>
      <c r="E1588"/>
      <c r="F1588"/>
      <c r="G1588"/>
      <c r="H1588"/>
      <c r="J1588"/>
    </row>
    <row r="1589" spans="2:10" x14ac:dyDescent="0.2">
      <c r="B1589"/>
      <c r="C1589"/>
      <c r="D1589"/>
      <c r="E1589"/>
      <c r="F1589"/>
      <c r="G1589"/>
      <c r="H1589"/>
      <c r="J1589"/>
    </row>
    <row r="1590" spans="2:10" x14ac:dyDescent="0.2">
      <c r="B1590"/>
      <c r="C1590"/>
      <c r="D1590"/>
      <c r="E1590"/>
      <c r="F1590"/>
      <c r="G1590"/>
      <c r="H1590"/>
      <c r="J1590"/>
    </row>
    <row r="1591" spans="2:10" x14ac:dyDescent="0.2">
      <c r="B1591"/>
      <c r="C1591"/>
      <c r="D1591"/>
      <c r="E1591"/>
      <c r="F1591"/>
      <c r="G1591"/>
      <c r="H1591"/>
      <c r="J1591"/>
    </row>
    <row r="1592" spans="2:10" x14ac:dyDescent="0.2">
      <c r="B1592"/>
      <c r="C1592"/>
      <c r="D1592"/>
      <c r="E1592"/>
      <c r="F1592"/>
      <c r="G1592"/>
      <c r="H1592"/>
      <c r="J1592"/>
    </row>
    <row r="1593" spans="2:10" x14ac:dyDescent="0.2">
      <c r="B1593"/>
      <c r="C1593"/>
      <c r="D1593"/>
      <c r="E1593"/>
      <c r="F1593"/>
      <c r="G1593"/>
      <c r="H1593"/>
      <c r="J1593"/>
    </row>
    <row r="1594" spans="2:10" x14ac:dyDescent="0.2">
      <c r="B1594"/>
      <c r="C1594"/>
      <c r="D1594"/>
      <c r="E1594"/>
      <c r="F1594"/>
      <c r="G1594"/>
      <c r="H1594"/>
      <c r="J1594"/>
    </row>
    <row r="1595" spans="2:10" x14ac:dyDescent="0.2">
      <c r="B1595"/>
      <c r="C1595"/>
      <c r="D1595"/>
      <c r="E1595"/>
      <c r="F1595"/>
      <c r="G1595"/>
      <c r="H1595"/>
      <c r="J1595"/>
    </row>
    <row r="1596" spans="2:10" x14ac:dyDescent="0.2">
      <c r="B1596"/>
      <c r="C1596"/>
      <c r="D1596"/>
      <c r="E1596"/>
      <c r="F1596"/>
      <c r="G1596"/>
      <c r="H1596"/>
      <c r="J1596"/>
    </row>
    <row r="1597" spans="2:10" x14ac:dyDescent="0.2">
      <c r="B1597"/>
      <c r="C1597"/>
      <c r="D1597"/>
      <c r="E1597"/>
      <c r="F1597"/>
      <c r="G1597"/>
      <c r="H1597"/>
      <c r="J1597"/>
    </row>
    <row r="1598" spans="2:10" x14ac:dyDescent="0.2">
      <c r="B1598"/>
      <c r="C1598"/>
      <c r="D1598"/>
      <c r="E1598"/>
      <c r="F1598"/>
      <c r="G1598"/>
      <c r="H1598"/>
      <c r="J1598"/>
    </row>
    <row r="1599" spans="2:10" x14ac:dyDescent="0.2">
      <c r="B1599"/>
      <c r="C1599"/>
      <c r="D1599"/>
      <c r="E1599"/>
      <c r="F1599"/>
      <c r="G1599"/>
      <c r="H1599"/>
      <c r="J1599"/>
    </row>
    <row r="1600" spans="2:10" x14ac:dyDescent="0.2">
      <c r="B1600"/>
      <c r="C1600"/>
      <c r="D1600"/>
      <c r="E1600"/>
      <c r="F1600"/>
      <c r="G1600"/>
      <c r="H1600"/>
      <c r="J1600"/>
    </row>
    <row r="1601" spans="2:10" x14ac:dyDescent="0.2">
      <c r="B1601"/>
      <c r="C1601"/>
      <c r="D1601"/>
      <c r="E1601"/>
      <c r="F1601"/>
      <c r="G1601"/>
      <c r="H1601"/>
      <c r="J1601"/>
    </row>
    <row r="1602" spans="2:10" x14ac:dyDescent="0.2">
      <c r="B1602"/>
      <c r="C1602"/>
      <c r="D1602"/>
      <c r="E1602"/>
      <c r="F1602"/>
      <c r="G1602"/>
      <c r="H1602"/>
      <c r="J1602"/>
    </row>
    <row r="1603" spans="2:10" x14ac:dyDescent="0.2">
      <c r="B1603"/>
      <c r="C1603"/>
      <c r="D1603"/>
      <c r="E1603"/>
      <c r="F1603"/>
      <c r="G1603"/>
      <c r="H1603"/>
      <c r="J1603"/>
    </row>
    <row r="1604" spans="2:10" x14ac:dyDescent="0.2">
      <c r="B1604"/>
      <c r="C1604"/>
      <c r="D1604"/>
      <c r="E1604"/>
      <c r="F1604"/>
      <c r="G1604"/>
      <c r="H1604"/>
      <c r="J1604"/>
    </row>
    <row r="1605" spans="2:10" x14ac:dyDescent="0.2">
      <c r="B1605"/>
      <c r="C1605"/>
      <c r="D1605"/>
      <c r="E1605"/>
      <c r="F1605"/>
      <c r="G1605"/>
      <c r="H1605"/>
      <c r="J1605"/>
    </row>
    <row r="1606" spans="2:10" x14ac:dyDescent="0.2">
      <c r="B1606"/>
      <c r="C1606"/>
      <c r="D1606"/>
      <c r="E1606"/>
      <c r="F1606"/>
      <c r="G1606"/>
      <c r="H1606"/>
      <c r="J1606"/>
    </row>
    <row r="1607" spans="2:10" x14ac:dyDescent="0.2">
      <c r="B1607"/>
      <c r="C1607"/>
      <c r="D1607"/>
      <c r="E1607"/>
      <c r="F1607"/>
      <c r="G1607"/>
      <c r="H1607"/>
      <c r="J1607"/>
    </row>
    <row r="1608" spans="2:10" x14ac:dyDescent="0.2">
      <c r="B1608"/>
      <c r="C1608"/>
      <c r="D1608"/>
      <c r="E1608"/>
      <c r="F1608"/>
      <c r="G1608"/>
      <c r="H1608"/>
      <c r="J1608"/>
    </row>
    <row r="1609" spans="2:10" x14ac:dyDescent="0.2">
      <c r="B1609"/>
      <c r="C1609"/>
      <c r="D1609"/>
      <c r="E1609"/>
      <c r="F1609"/>
      <c r="G1609"/>
      <c r="H1609"/>
      <c r="J1609"/>
    </row>
    <row r="1610" spans="2:10" x14ac:dyDescent="0.2">
      <c r="B1610"/>
      <c r="C1610"/>
      <c r="D1610"/>
      <c r="E1610"/>
      <c r="F1610"/>
      <c r="G1610"/>
      <c r="H1610"/>
      <c r="J1610"/>
    </row>
    <row r="1611" spans="2:10" x14ac:dyDescent="0.2">
      <c r="B1611"/>
      <c r="C1611"/>
      <c r="D1611"/>
      <c r="E1611"/>
      <c r="F1611"/>
      <c r="G1611"/>
      <c r="H1611"/>
      <c r="J1611"/>
    </row>
    <row r="1612" spans="2:10" x14ac:dyDescent="0.2">
      <c r="B1612"/>
      <c r="C1612"/>
      <c r="D1612"/>
      <c r="E1612"/>
      <c r="F1612"/>
      <c r="G1612"/>
      <c r="H1612"/>
      <c r="J1612"/>
    </row>
    <row r="1613" spans="2:10" x14ac:dyDescent="0.2">
      <c r="B1613"/>
      <c r="C1613"/>
      <c r="D1613"/>
      <c r="E1613"/>
      <c r="F1613"/>
      <c r="G1613"/>
      <c r="H1613"/>
      <c r="J1613"/>
    </row>
    <row r="1614" spans="2:10" x14ac:dyDescent="0.2">
      <c r="B1614"/>
      <c r="C1614"/>
      <c r="D1614"/>
      <c r="E1614"/>
      <c r="F1614"/>
      <c r="G1614"/>
      <c r="H1614"/>
      <c r="J1614"/>
    </row>
    <row r="1615" spans="2:10" x14ac:dyDescent="0.2">
      <c r="B1615"/>
      <c r="C1615"/>
      <c r="D1615"/>
      <c r="E1615"/>
      <c r="F1615"/>
      <c r="G1615"/>
      <c r="H1615"/>
      <c r="J1615"/>
    </row>
    <row r="1616" spans="2:10" x14ac:dyDescent="0.2">
      <c r="B1616"/>
      <c r="C1616"/>
      <c r="D1616"/>
      <c r="E1616"/>
      <c r="F1616"/>
      <c r="G1616"/>
      <c r="H1616"/>
      <c r="J1616"/>
    </row>
    <row r="1617" spans="2:10" x14ac:dyDescent="0.2">
      <c r="B1617"/>
      <c r="C1617"/>
      <c r="D1617"/>
      <c r="E1617"/>
      <c r="F1617"/>
      <c r="G1617"/>
      <c r="H1617"/>
      <c r="J1617"/>
    </row>
    <row r="1618" spans="2:10" x14ac:dyDescent="0.2">
      <c r="B1618"/>
      <c r="C1618"/>
      <c r="D1618"/>
      <c r="E1618"/>
      <c r="F1618"/>
      <c r="G1618"/>
      <c r="H1618"/>
      <c r="J1618"/>
    </row>
    <row r="1619" spans="2:10" x14ac:dyDescent="0.2">
      <c r="B1619"/>
      <c r="C1619"/>
      <c r="D1619"/>
      <c r="E1619"/>
      <c r="F1619"/>
      <c r="G1619"/>
      <c r="H1619"/>
      <c r="J1619"/>
    </row>
    <row r="1620" spans="2:10" x14ac:dyDescent="0.2">
      <c r="B1620"/>
      <c r="C1620"/>
      <c r="D1620"/>
      <c r="E1620"/>
      <c r="F1620"/>
      <c r="G1620"/>
      <c r="H1620"/>
      <c r="J1620"/>
    </row>
    <row r="1621" spans="2:10" x14ac:dyDescent="0.2">
      <c r="B1621"/>
      <c r="C1621"/>
      <c r="D1621"/>
      <c r="E1621"/>
      <c r="F1621"/>
      <c r="G1621"/>
      <c r="H1621"/>
      <c r="J1621"/>
    </row>
    <row r="1622" spans="2:10" x14ac:dyDescent="0.2">
      <c r="B1622"/>
      <c r="C1622"/>
      <c r="D1622"/>
      <c r="E1622"/>
      <c r="F1622"/>
      <c r="G1622"/>
      <c r="H1622"/>
      <c r="J1622"/>
    </row>
    <row r="1623" spans="2:10" x14ac:dyDescent="0.2">
      <c r="B1623"/>
      <c r="C1623"/>
      <c r="D1623"/>
      <c r="E1623"/>
      <c r="F1623"/>
      <c r="G1623"/>
      <c r="H1623"/>
      <c r="J1623"/>
    </row>
    <row r="1624" spans="2:10" x14ac:dyDescent="0.2">
      <c r="B1624"/>
      <c r="C1624"/>
      <c r="D1624"/>
      <c r="E1624"/>
      <c r="F1624"/>
      <c r="G1624"/>
      <c r="H1624"/>
      <c r="J1624"/>
    </row>
    <row r="1625" spans="2:10" x14ac:dyDescent="0.2">
      <c r="B1625"/>
      <c r="C1625"/>
      <c r="D1625"/>
      <c r="E1625"/>
      <c r="F1625"/>
      <c r="G1625"/>
      <c r="H1625"/>
      <c r="J1625"/>
    </row>
    <row r="1626" spans="2:10" x14ac:dyDescent="0.2">
      <c r="B1626"/>
      <c r="C1626"/>
      <c r="D1626"/>
      <c r="E1626"/>
      <c r="F1626"/>
      <c r="G1626"/>
      <c r="H1626"/>
      <c r="J1626"/>
    </row>
    <row r="1627" spans="2:10" x14ac:dyDescent="0.2">
      <c r="B1627"/>
      <c r="C1627"/>
      <c r="D1627"/>
      <c r="E1627"/>
      <c r="F1627"/>
      <c r="G1627"/>
      <c r="H1627"/>
      <c r="J1627"/>
    </row>
    <row r="1628" spans="2:10" x14ac:dyDescent="0.2">
      <c r="B1628"/>
      <c r="C1628"/>
      <c r="D1628"/>
      <c r="E1628"/>
      <c r="F1628"/>
      <c r="G1628"/>
      <c r="H1628"/>
      <c r="J1628"/>
    </row>
    <row r="1629" spans="2:10" x14ac:dyDescent="0.2">
      <c r="B1629"/>
      <c r="C1629"/>
      <c r="D1629"/>
      <c r="E1629"/>
      <c r="F1629"/>
      <c r="G1629"/>
      <c r="H1629"/>
      <c r="J1629"/>
    </row>
    <row r="1630" spans="2:10" x14ac:dyDescent="0.2">
      <c r="B1630"/>
      <c r="C1630"/>
      <c r="D1630"/>
      <c r="E1630"/>
      <c r="F1630"/>
      <c r="G1630"/>
      <c r="H1630"/>
      <c r="J1630"/>
    </row>
    <row r="1631" spans="2:10" x14ac:dyDescent="0.2">
      <c r="B1631"/>
      <c r="C1631"/>
      <c r="D1631"/>
      <c r="E1631"/>
      <c r="F1631"/>
      <c r="G1631"/>
      <c r="H1631"/>
      <c r="J1631"/>
    </row>
    <row r="1632" spans="2:10" x14ac:dyDescent="0.2">
      <c r="B1632"/>
      <c r="C1632"/>
      <c r="D1632"/>
      <c r="E1632"/>
      <c r="F1632"/>
      <c r="G1632"/>
      <c r="H1632"/>
      <c r="J1632"/>
    </row>
    <row r="1633" spans="2:10" x14ac:dyDescent="0.2">
      <c r="B1633"/>
      <c r="C1633"/>
      <c r="D1633"/>
      <c r="E1633"/>
      <c r="F1633"/>
      <c r="G1633"/>
      <c r="H1633"/>
      <c r="J1633"/>
    </row>
    <row r="1634" spans="2:10" x14ac:dyDescent="0.2">
      <c r="B1634"/>
      <c r="C1634"/>
      <c r="D1634"/>
      <c r="E1634"/>
      <c r="F1634"/>
      <c r="G1634"/>
      <c r="H1634"/>
      <c r="J1634"/>
    </row>
    <row r="1635" spans="2:10" x14ac:dyDescent="0.2">
      <c r="B1635"/>
      <c r="C1635"/>
      <c r="D1635"/>
      <c r="E1635"/>
      <c r="F1635"/>
      <c r="G1635"/>
      <c r="H1635"/>
      <c r="J1635"/>
    </row>
    <row r="1636" spans="2:10" x14ac:dyDescent="0.2">
      <c r="B1636"/>
      <c r="C1636"/>
      <c r="D1636"/>
      <c r="E1636"/>
      <c r="F1636"/>
      <c r="G1636"/>
      <c r="H1636"/>
      <c r="J1636"/>
    </row>
    <row r="1637" spans="2:10" x14ac:dyDescent="0.2">
      <c r="B1637"/>
      <c r="C1637"/>
      <c r="D1637"/>
      <c r="E1637"/>
      <c r="F1637"/>
      <c r="G1637"/>
      <c r="H1637"/>
      <c r="J1637"/>
    </row>
    <row r="1638" spans="2:10" x14ac:dyDescent="0.2">
      <c r="B1638"/>
      <c r="C1638"/>
      <c r="D1638"/>
      <c r="E1638"/>
      <c r="F1638"/>
      <c r="G1638"/>
      <c r="H1638"/>
      <c r="J1638"/>
    </row>
    <row r="1639" spans="2:10" x14ac:dyDescent="0.2">
      <c r="B1639"/>
      <c r="C1639"/>
      <c r="D1639"/>
      <c r="E1639"/>
      <c r="F1639"/>
      <c r="G1639"/>
      <c r="H1639"/>
      <c r="J1639"/>
    </row>
    <row r="1640" spans="2:10" x14ac:dyDescent="0.2">
      <c r="B1640"/>
      <c r="C1640"/>
      <c r="D1640"/>
      <c r="E1640"/>
      <c r="F1640"/>
      <c r="G1640"/>
      <c r="H1640"/>
      <c r="J1640"/>
    </row>
    <row r="1641" spans="2:10" x14ac:dyDescent="0.2">
      <c r="B1641"/>
      <c r="C1641"/>
      <c r="D1641"/>
      <c r="E1641"/>
      <c r="F1641"/>
      <c r="G1641"/>
      <c r="H1641"/>
      <c r="J1641"/>
    </row>
    <row r="1642" spans="2:10" x14ac:dyDescent="0.2">
      <c r="B1642"/>
      <c r="C1642"/>
      <c r="D1642"/>
      <c r="E1642"/>
      <c r="F1642"/>
      <c r="G1642"/>
      <c r="H1642"/>
      <c r="J1642"/>
    </row>
    <row r="1643" spans="2:10" x14ac:dyDescent="0.2">
      <c r="B1643"/>
      <c r="C1643"/>
      <c r="D1643"/>
      <c r="E1643"/>
      <c r="F1643"/>
      <c r="G1643"/>
      <c r="H1643"/>
      <c r="J1643"/>
    </row>
    <row r="1644" spans="2:10" x14ac:dyDescent="0.2">
      <c r="B1644"/>
      <c r="C1644"/>
      <c r="D1644"/>
      <c r="E1644"/>
      <c r="F1644"/>
      <c r="G1644"/>
      <c r="H1644"/>
      <c r="J1644"/>
    </row>
    <row r="1645" spans="2:10" x14ac:dyDescent="0.2">
      <c r="B1645"/>
      <c r="C1645"/>
      <c r="D1645"/>
      <c r="E1645"/>
      <c r="F1645"/>
      <c r="G1645"/>
      <c r="H1645"/>
      <c r="J1645"/>
    </row>
    <row r="1646" spans="2:10" x14ac:dyDescent="0.2">
      <c r="B1646"/>
      <c r="C1646"/>
      <c r="D1646"/>
      <c r="E1646"/>
      <c r="F1646"/>
      <c r="G1646"/>
      <c r="H1646"/>
      <c r="J1646"/>
    </row>
    <row r="1647" spans="2:10" x14ac:dyDescent="0.2">
      <c r="B1647"/>
      <c r="C1647"/>
      <c r="D1647"/>
      <c r="E1647"/>
      <c r="F1647"/>
      <c r="G1647"/>
      <c r="H1647"/>
      <c r="J1647"/>
    </row>
    <row r="1648" spans="2:10" x14ac:dyDescent="0.2">
      <c r="B1648"/>
      <c r="C1648"/>
      <c r="D1648"/>
      <c r="E1648"/>
      <c r="F1648"/>
      <c r="G1648"/>
      <c r="H1648"/>
      <c r="J1648"/>
    </row>
    <row r="1649" spans="2:10" x14ac:dyDescent="0.2">
      <c r="B1649"/>
      <c r="C1649"/>
      <c r="D1649"/>
      <c r="E1649"/>
      <c r="F1649"/>
      <c r="G1649"/>
      <c r="H1649"/>
      <c r="J1649"/>
    </row>
    <row r="1650" spans="2:10" x14ac:dyDescent="0.2">
      <c r="B1650"/>
      <c r="C1650"/>
      <c r="D1650"/>
      <c r="E1650"/>
      <c r="F1650"/>
      <c r="G1650"/>
      <c r="H1650"/>
      <c r="J1650"/>
    </row>
    <row r="1651" spans="2:10" x14ac:dyDescent="0.2">
      <c r="B1651"/>
      <c r="C1651"/>
      <c r="D1651"/>
      <c r="E1651"/>
      <c r="F1651"/>
      <c r="G1651"/>
      <c r="H1651"/>
      <c r="J1651"/>
    </row>
    <row r="1652" spans="2:10" x14ac:dyDescent="0.2">
      <c r="B1652"/>
      <c r="C1652"/>
      <c r="D1652"/>
      <c r="E1652"/>
      <c r="F1652"/>
      <c r="G1652"/>
      <c r="H1652"/>
      <c r="J1652"/>
    </row>
    <row r="1653" spans="2:10" x14ac:dyDescent="0.2">
      <c r="B1653"/>
      <c r="C1653"/>
      <c r="D1653"/>
      <c r="E1653"/>
      <c r="F1653"/>
      <c r="G1653"/>
      <c r="H1653"/>
      <c r="J1653"/>
    </row>
    <row r="1654" spans="2:10" x14ac:dyDescent="0.2">
      <c r="B1654"/>
      <c r="C1654"/>
      <c r="D1654"/>
      <c r="E1654"/>
      <c r="F1654"/>
      <c r="G1654"/>
      <c r="H1654"/>
      <c r="J1654"/>
    </row>
    <row r="1655" spans="2:10" x14ac:dyDescent="0.2">
      <c r="B1655"/>
      <c r="C1655"/>
      <c r="D1655"/>
      <c r="E1655"/>
      <c r="F1655"/>
      <c r="G1655"/>
      <c r="H1655"/>
      <c r="J1655"/>
    </row>
    <row r="1656" spans="2:10" x14ac:dyDescent="0.2">
      <c r="B1656"/>
      <c r="C1656"/>
      <c r="D1656"/>
      <c r="E1656"/>
      <c r="F1656"/>
      <c r="G1656"/>
      <c r="H1656"/>
      <c r="J1656"/>
    </row>
    <row r="1657" spans="2:10" x14ac:dyDescent="0.2">
      <c r="B1657"/>
      <c r="C1657"/>
      <c r="D1657"/>
      <c r="E1657"/>
      <c r="F1657"/>
      <c r="G1657"/>
      <c r="H1657"/>
      <c r="J1657"/>
    </row>
    <row r="1658" spans="2:10" x14ac:dyDescent="0.2">
      <c r="B1658"/>
      <c r="C1658"/>
      <c r="D1658"/>
      <c r="E1658"/>
      <c r="F1658"/>
      <c r="G1658"/>
      <c r="H1658"/>
      <c r="J1658"/>
    </row>
    <row r="1659" spans="2:10" x14ac:dyDescent="0.2">
      <c r="B1659"/>
      <c r="C1659"/>
      <c r="D1659"/>
      <c r="E1659"/>
      <c r="F1659"/>
      <c r="G1659"/>
      <c r="H1659"/>
      <c r="J1659"/>
    </row>
    <row r="1660" spans="2:10" x14ac:dyDescent="0.2">
      <c r="B1660"/>
      <c r="C1660"/>
      <c r="D1660"/>
      <c r="E1660"/>
      <c r="F1660"/>
      <c r="G1660"/>
      <c r="H1660"/>
      <c r="J1660"/>
    </row>
    <row r="1661" spans="2:10" x14ac:dyDescent="0.2">
      <c r="B1661"/>
      <c r="C1661"/>
      <c r="D1661"/>
      <c r="E1661"/>
      <c r="F1661"/>
      <c r="G1661"/>
      <c r="H1661"/>
      <c r="J1661"/>
    </row>
    <row r="1662" spans="2:10" x14ac:dyDescent="0.2">
      <c r="B1662"/>
      <c r="C1662"/>
      <c r="D1662"/>
      <c r="E1662"/>
      <c r="F1662"/>
      <c r="G1662"/>
      <c r="H1662"/>
      <c r="J1662"/>
    </row>
    <row r="1663" spans="2:10" x14ac:dyDescent="0.2">
      <c r="B1663"/>
      <c r="C1663"/>
      <c r="D1663"/>
      <c r="E1663"/>
      <c r="F1663"/>
      <c r="G1663"/>
      <c r="H1663"/>
      <c r="J1663"/>
    </row>
    <row r="1664" spans="2:10" x14ac:dyDescent="0.2">
      <c r="B1664"/>
      <c r="C1664"/>
      <c r="D1664"/>
      <c r="E1664"/>
      <c r="F1664"/>
      <c r="G1664"/>
      <c r="H1664"/>
      <c r="J1664"/>
    </row>
    <row r="1665" spans="2:10" x14ac:dyDescent="0.2">
      <c r="B1665"/>
      <c r="C1665"/>
      <c r="D1665"/>
      <c r="E1665"/>
      <c r="F1665"/>
      <c r="G1665"/>
      <c r="H1665"/>
      <c r="J1665"/>
    </row>
    <row r="1666" spans="2:10" x14ac:dyDescent="0.2">
      <c r="B1666"/>
      <c r="C1666"/>
      <c r="D1666"/>
      <c r="E1666"/>
      <c r="F1666"/>
      <c r="G1666"/>
      <c r="H1666"/>
      <c r="J1666"/>
    </row>
    <row r="1667" spans="2:10" x14ac:dyDescent="0.2">
      <c r="B1667"/>
      <c r="C1667"/>
      <c r="D1667"/>
      <c r="E1667"/>
      <c r="F1667"/>
      <c r="G1667"/>
      <c r="H1667"/>
      <c r="J1667"/>
    </row>
    <row r="1668" spans="2:10" x14ac:dyDescent="0.2">
      <c r="B1668"/>
      <c r="C1668"/>
      <c r="D1668"/>
      <c r="E1668"/>
      <c r="F1668"/>
      <c r="G1668"/>
      <c r="H1668"/>
      <c r="J1668"/>
    </row>
    <row r="1669" spans="2:10" x14ac:dyDescent="0.2">
      <c r="B1669"/>
      <c r="C1669"/>
      <c r="D1669"/>
      <c r="E1669"/>
      <c r="F1669"/>
      <c r="G1669"/>
      <c r="H1669"/>
      <c r="J1669"/>
    </row>
    <row r="1670" spans="2:10" x14ac:dyDescent="0.2">
      <c r="B1670"/>
      <c r="C1670"/>
      <c r="D1670"/>
      <c r="E1670"/>
      <c r="F1670"/>
      <c r="G1670"/>
      <c r="H1670"/>
      <c r="J1670"/>
    </row>
    <row r="1671" spans="2:10" x14ac:dyDescent="0.2">
      <c r="B1671"/>
      <c r="C1671"/>
      <c r="D1671"/>
      <c r="E1671"/>
      <c r="F1671"/>
      <c r="G1671"/>
      <c r="H1671"/>
      <c r="J1671"/>
    </row>
    <row r="1672" spans="2:10" x14ac:dyDescent="0.2">
      <c r="B1672"/>
      <c r="C1672"/>
      <c r="D1672"/>
      <c r="E1672"/>
      <c r="F1672"/>
      <c r="G1672"/>
      <c r="H1672"/>
      <c r="J1672"/>
    </row>
    <row r="1673" spans="2:10" x14ac:dyDescent="0.2">
      <c r="B1673"/>
      <c r="C1673"/>
      <c r="D1673"/>
      <c r="E1673"/>
      <c r="F1673"/>
      <c r="G1673"/>
      <c r="H1673"/>
      <c r="J1673"/>
    </row>
    <row r="1674" spans="2:10" x14ac:dyDescent="0.2">
      <c r="B1674"/>
      <c r="C1674"/>
      <c r="D1674"/>
      <c r="E1674"/>
      <c r="F1674"/>
      <c r="G1674"/>
      <c r="H1674"/>
      <c r="J1674"/>
    </row>
    <row r="1675" spans="2:10" x14ac:dyDescent="0.2">
      <c r="B1675"/>
      <c r="C1675"/>
      <c r="D1675"/>
      <c r="E1675"/>
      <c r="F1675"/>
      <c r="G1675"/>
      <c r="H1675"/>
      <c r="J1675"/>
    </row>
    <row r="1676" spans="2:10" x14ac:dyDescent="0.2">
      <c r="B1676"/>
      <c r="C1676"/>
      <c r="D1676"/>
      <c r="E1676"/>
      <c r="F1676"/>
      <c r="G1676"/>
      <c r="H1676"/>
      <c r="J1676"/>
    </row>
    <row r="1677" spans="2:10" x14ac:dyDescent="0.2">
      <c r="B1677"/>
      <c r="C1677"/>
      <c r="D1677"/>
      <c r="E1677"/>
      <c r="F1677"/>
      <c r="G1677"/>
      <c r="H1677"/>
      <c r="J1677"/>
    </row>
    <row r="1678" spans="2:10" x14ac:dyDescent="0.2">
      <c r="B1678"/>
      <c r="C1678"/>
      <c r="D1678"/>
      <c r="E1678"/>
      <c r="F1678"/>
      <c r="G1678"/>
      <c r="H1678"/>
      <c r="J1678"/>
    </row>
    <row r="1679" spans="2:10" x14ac:dyDescent="0.2">
      <c r="B1679"/>
      <c r="C1679"/>
      <c r="D1679"/>
      <c r="E1679"/>
      <c r="F1679"/>
      <c r="G1679"/>
      <c r="H1679"/>
      <c r="J1679"/>
    </row>
    <row r="1680" spans="2:10" x14ac:dyDescent="0.2">
      <c r="B1680"/>
      <c r="C1680"/>
      <c r="D1680"/>
      <c r="E1680"/>
      <c r="F1680"/>
      <c r="G1680"/>
      <c r="H1680"/>
      <c r="J1680"/>
    </row>
    <row r="1681" spans="2:10" x14ac:dyDescent="0.2">
      <c r="B1681"/>
      <c r="C1681"/>
      <c r="D1681"/>
      <c r="E1681"/>
      <c r="F1681"/>
      <c r="G1681"/>
      <c r="H1681"/>
      <c r="J1681"/>
    </row>
    <row r="1682" spans="2:10" x14ac:dyDescent="0.2">
      <c r="B1682"/>
      <c r="C1682"/>
      <c r="D1682"/>
      <c r="E1682"/>
      <c r="F1682"/>
      <c r="G1682"/>
      <c r="H1682"/>
      <c r="J1682"/>
    </row>
    <row r="1683" spans="2:10" x14ac:dyDescent="0.2">
      <c r="B1683"/>
      <c r="C1683"/>
      <c r="D1683"/>
      <c r="E1683"/>
      <c r="F1683"/>
      <c r="G1683"/>
      <c r="H1683"/>
      <c r="J1683"/>
    </row>
    <row r="1684" spans="2:10" x14ac:dyDescent="0.2">
      <c r="B1684"/>
      <c r="C1684"/>
      <c r="D1684"/>
      <c r="E1684"/>
      <c r="F1684"/>
      <c r="G1684"/>
      <c r="H1684"/>
      <c r="J1684"/>
    </row>
    <row r="1685" spans="2:10" x14ac:dyDescent="0.2">
      <c r="B1685"/>
      <c r="C1685"/>
      <c r="D1685"/>
      <c r="E1685"/>
      <c r="F1685"/>
      <c r="G1685"/>
      <c r="H1685"/>
      <c r="J1685"/>
    </row>
    <row r="1686" spans="2:10" x14ac:dyDescent="0.2">
      <c r="B1686"/>
      <c r="C1686"/>
      <c r="D1686"/>
      <c r="E1686"/>
      <c r="F1686"/>
      <c r="G1686"/>
      <c r="H1686"/>
      <c r="J1686"/>
    </row>
    <row r="1687" spans="2:10" x14ac:dyDescent="0.2">
      <c r="B1687"/>
      <c r="C1687"/>
      <c r="D1687"/>
      <c r="E1687"/>
      <c r="F1687"/>
      <c r="G1687"/>
      <c r="H1687"/>
      <c r="J1687"/>
    </row>
    <row r="1688" spans="2:10" x14ac:dyDescent="0.2">
      <c r="B1688"/>
      <c r="C1688"/>
      <c r="D1688"/>
      <c r="E1688"/>
      <c r="F1688"/>
      <c r="G1688"/>
      <c r="H1688"/>
      <c r="J1688"/>
    </row>
    <row r="1689" spans="2:10" x14ac:dyDescent="0.2">
      <c r="B1689"/>
      <c r="C1689"/>
      <c r="D1689"/>
      <c r="E1689"/>
      <c r="F1689"/>
      <c r="G1689"/>
      <c r="H1689"/>
      <c r="J1689"/>
    </row>
    <row r="1690" spans="2:10" x14ac:dyDescent="0.2">
      <c r="B1690"/>
      <c r="C1690"/>
      <c r="D1690"/>
      <c r="E1690"/>
      <c r="F1690"/>
      <c r="G1690"/>
      <c r="H1690"/>
      <c r="J1690"/>
    </row>
    <row r="1691" spans="2:10" x14ac:dyDescent="0.2">
      <c r="B1691"/>
      <c r="C1691"/>
      <c r="D1691"/>
      <c r="E1691"/>
      <c r="F1691"/>
      <c r="G1691"/>
      <c r="H1691"/>
      <c r="J1691"/>
    </row>
    <row r="1692" spans="2:10" x14ac:dyDescent="0.2">
      <c r="B1692"/>
      <c r="C1692"/>
      <c r="D1692"/>
      <c r="E1692"/>
      <c r="F1692"/>
      <c r="G1692"/>
      <c r="H1692"/>
      <c r="J1692"/>
    </row>
    <row r="1693" spans="2:10" x14ac:dyDescent="0.2">
      <c r="B1693"/>
      <c r="C1693"/>
      <c r="D1693"/>
      <c r="E1693"/>
      <c r="F1693"/>
      <c r="G1693"/>
      <c r="H1693"/>
      <c r="J1693"/>
    </row>
    <row r="1694" spans="2:10" x14ac:dyDescent="0.2">
      <c r="B1694"/>
      <c r="C1694"/>
      <c r="D1694"/>
      <c r="E1694"/>
      <c r="F1694"/>
      <c r="G1694"/>
      <c r="H1694"/>
      <c r="J1694"/>
    </row>
    <row r="1695" spans="2:10" x14ac:dyDescent="0.2">
      <c r="B1695"/>
      <c r="C1695"/>
      <c r="D1695"/>
      <c r="E1695"/>
      <c r="F1695"/>
      <c r="G1695"/>
      <c r="H1695"/>
      <c r="J1695"/>
    </row>
    <row r="1696" spans="2:10" x14ac:dyDescent="0.2">
      <c r="B1696"/>
      <c r="C1696"/>
      <c r="D1696"/>
      <c r="E1696"/>
      <c r="F1696"/>
      <c r="G1696"/>
      <c r="H1696"/>
      <c r="J1696"/>
    </row>
    <row r="1697" spans="2:10" x14ac:dyDescent="0.2">
      <c r="B1697"/>
      <c r="C1697"/>
      <c r="D1697"/>
      <c r="E1697"/>
      <c r="F1697"/>
      <c r="G1697"/>
      <c r="H1697"/>
      <c r="J1697"/>
    </row>
    <row r="1698" spans="2:10" x14ac:dyDescent="0.2">
      <c r="B1698"/>
      <c r="C1698"/>
      <c r="D1698"/>
      <c r="E1698"/>
      <c r="F1698"/>
      <c r="G1698"/>
      <c r="H1698"/>
      <c r="J1698"/>
    </row>
    <row r="1699" spans="2:10" x14ac:dyDescent="0.2">
      <c r="B1699"/>
      <c r="C1699"/>
      <c r="D1699"/>
      <c r="E1699"/>
      <c r="F1699"/>
      <c r="G1699"/>
      <c r="H1699"/>
      <c r="J1699"/>
    </row>
    <row r="1700" spans="2:10" x14ac:dyDescent="0.2">
      <c r="B1700"/>
      <c r="C1700"/>
      <c r="D1700"/>
      <c r="E1700"/>
      <c r="F1700"/>
      <c r="G1700"/>
      <c r="H1700"/>
      <c r="J1700"/>
    </row>
    <row r="1701" spans="2:10" x14ac:dyDescent="0.2">
      <c r="B1701"/>
      <c r="C1701"/>
      <c r="D1701"/>
      <c r="E1701"/>
      <c r="F1701"/>
      <c r="G1701"/>
      <c r="H1701"/>
      <c r="J1701"/>
    </row>
    <row r="1702" spans="2:10" x14ac:dyDescent="0.2">
      <c r="B1702"/>
      <c r="C1702"/>
      <c r="D1702"/>
      <c r="E1702"/>
      <c r="F1702"/>
      <c r="G1702"/>
      <c r="H1702"/>
      <c r="J1702"/>
    </row>
    <row r="1703" spans="2:10" x14ac:dyDescent="0.2">
      <c r="B1703"/>
      <c r="C1703"/>
      <c r="D1703"/>
      <c r="E1703"/>
      <c r="F1703"/>
      <c r="G1703"/>
      <c r="H1703"/>
      <c r="J1703"/>
    </row>
    <row r="1704" spans="2:10" x14ac:dyDescent="0.2">
      <c r="B1704"/>
      <c r="C1704"/>
      <c r="D1704"/>
      <c r="E1704"/>
      <c r="F1704"/>
      <c r="G1704"/>
      <c r="H1704"/>
      <c r="J1704"/>
    </row>
    <row r="1705" spans="2:10" x14ac:dyDescent="0.2">
      <c r="B1705"/>
      <c r="C1705"/>
      <c r="D1705"/>
      <c r="E1705"/>
      <c r="F1705"/>
      <c r="G1705"/>
      <c r="H1705"/>
      <c r="J1705"/>
    </row>
    <row r="1706" spans="2:10" x14ac:dyDescent="0.2">
      <c r="B1706"/>
      <c r="C1706"/>
      <c r="D1706"/>
      <c r="E1706"/>
      <c r="F1706"/>
      <c r="G1706"/>
      <c r="H1706"/>
      <c r="J1706"/>
    </row>
    <row r="1707" spans="2:10" x14ac:dyDescent="0.2">
      <c r="B1707"/>
      <c r="C1707"/>
      <c r="D1707"/>
      <c r="E1707"/>
      <c r="F1707"/>
      <c r="G1707"/>
      <c r="H1707"/>
      <c r="J1707"/>
    </row>
    <row r="1708" spans="2:10" x14ac:dyDescent="0.2">
      <c r="B1708"/>
      <c r="C1708"/>
      <c r="D1708"/>
      <c r="E1708"/>
      <c r="F1708"/>
      <c r="G1708"/>
      <c r="H1708"/>
      <c r="J1708"/>
    </row>
    <row r="1709" spans="2:10" x14ac:dyDescent="0.2">
      <c r="B1709"/>
      <c r="C1709"/>
      <c r="D1709"/>
      <c r="E1709"/>
      <c r="F1709"/>
      <c r="G1709"/>
      <c r="H1709"/>
      <c r="J1709"/>
    </row>
    <row r="1710" spans="2:10" x14ac:dyDescent="0.2">
      <c r="B1710"/>
      <c r="C1710"/>
      <c r="D1710"/>
      <c r="E1710"/>
      <c r="F1710"/>
      <c r="G1710"/>
      <c r="H1710"/>
      <c r="J1710"/>
    </row>
    <row r="1711" spans="2:10" x14ac:dyDescent="0.2">
      <c r="B1711"/>
      <c r="C1711"/>
      <c r="D1711"/>
      <c r="E1711"/>
      <c r="F1711"/>
      <c r="G1711"/>
      <c r="H1711"/>
      <c r="J1711"/>
    </row>
    <row r="1712" spans="2:10" x14ac:dyDescent="0.2">
      <c r="B1712"/>
      <c r="C1712"/>
      <c r="D1712"/>
      <c r="E1712"/>
      <c r="F1712"/>
      <c r="G1712"/>
      <c r="H1712"/>
      <c r="J1712"/>
    </row>
    <row r="1713" spans="2:10" x14ac:dyDescent="0.2">
      <c r="B1713"/>
      <c r="C1713"/>
      <c r="D1713"/>
      <c r="E1713"/>
      <c r="F1713"/>
      <c r="G1713"/>
      <c r="H1713"/>
      <c r="J1713"/>
    </row>
    <row r="1714" spans="2:10" x14ac:dyDescent="0.2">
      <c r="B1714"/>
      <c r="C1714"/>
      <c r="D1714"/>
      <c r="E1714"/>
      <c r="F1714"/>
      <c r="G1714"/>
      <c r="H1714"/>
      <c r="J1714"/>
    </row>
    <row r="1715" spans="2:10" x14ac:dyDescent="0.2">
      <c r="B1715"/>
      <c r="C1715"/>
      <c r="D1715"/>
      <c r="E1715"/>
      <c r="F1715"/>
      <c r="G1715"/>
      <c r="H1715"/>
      <c r="J1715"/>
    </row>
    <row r="1716" spans="2:10" x14ac:dyDescent="0.2">
      <c r="B1716"/>
      <c r="C1716"/>
      <c r="D1716"/>
      <c r="E1716"/>
      <c r="F1716"/>
      <c r="G1716"/>
      <c r="H1716"/>
      <c r="J1716"/>
    </row>
    <row r="1717" spans="2:10" x14ac:dyDescent="0.2">
      <c r="B1717"/>
      <c r="C1717"/>
      <c r="D1717"/>
      <c r="E1717"/>
      <c r="F1717"/>
      <c r="G1717"/>
      <c r="H1717"/>
      <c r="J1717"/>
    </row>
    <row r="1718" spans="2:10" x14ac:dyDescent="0.2">
      <c r="B1718"/>
      <c r="C1718"/>
      <c r="D1718"/>
      <c r="E1718"/>
      <c r="F1718"/>
      <c r="G1718"/>
      <c r="H1718"/>
      <c r="J1718"/>
    </row>
    <row r="1719" spans="2:10" x14ac:dyDescent="0.2">
      <c r="B1719"/>
      <c r="C1719"/>
      <c r="D1719"/>
      <c r="E1719"/>
      <c r="F1719"/>
      <c r="G1719"/>
      <c r="H1719"/>
      <c r="J1719"/>
    </row>
    <row r="1720" spans="2:10" x14ac:dyDescent="0.2">
      <c r="B1720"/>
      <c r="C1720"/>
      <c r="D1720"/>
      <c r="E1720"/>
      <c r="F1720"/>
      <c r="G1720"/>
      <c r="H1720"/>
      <c r="J1720"/>
    </row>
    <row r="1721" spans="2:10" x14ac:dyDescent="0.2">
      <c r="B1721"/>
      <c r="C1721"/>
      <c r="D1721"/>
      <c r="E1721"/>
      <c r="F1721"/>
      <c r="G1721"/>
      <c r="H1721"/>
      <c r="J1721"/>
    </row>
    <row r="1722" spans="2:10" x14ac:dyDescent="0.2">
      <c r="B1722"/>
      <c r="C1722"/>
      <c r="D1722"/>
      <c r="E1722"/>
      <c r="F1722"/>
      <c r="G1722"/>
      <c r="H1722"/>
      <c r="J1722"/>
    </row>
    <row r="1723" spans="2:10" x14ac:dyDescent="0.2">
      <c r="B1723"/>
      <c r="C1723"/>
      <c r="D1723"/>
      <c r="E1723"/>
      <c r="F1723"/>
      <c r="G1723"/>
      <c r="H1723"/>
      <c r="J1723"/>
    </row>
    <row r="1724" spans="2:10" x14ac:dyDescent="0.2">
      <c r="B1724"/>
      <c r="C1724"/>
      <c r="D1724"/>
      <c r="E1724"/>
      <c r="F1724"/>
      <c r="G1724"/>
      <c r="H1724"/>
      <c r="J1724"/>
    </row>
    <row r="1725" spans="2:10" x14ac:dyDescent="0.2">
      <c r="B1725"/>
      <c r="C1725"/>
      <c r="D1725"/>
      <c r="E1725"/>
      <c r="F1725"/>
      <c r="G1725"/>
      <c r="H1725"/>
      <c r="J1725"/>
    </row>
    <row r="1726" spans="2:10" x14ac:dyDescent="0.2">
      <c r="B1726"/>
      <c r="C1726"/>
      <c r="D1726"/>
      <c r="E1726"/>
      <c r="F1726"/>
      <c r="G1726"/>
      <c r="H1726"/>
      <c r="J1726"/>
    </row>
    <row r="1727" spans="2:10" x14ac:dyDescent="0.2">
      <c r="B1727"/>
      <c r="C1727"/>
      <c r="D1727"/>
      <c r="E1727"/>
      <c r="F1727"/>
      <c r="G1727"/>
      <c r="H1727"/>
      <c r="J1727"/>
    </row>
    <row r="1728" spans="2:10" x14ac:dyDescent="0.2">
      <c r="B1728"/>
      <c r="C1728"/>
      <c r="D1728"/>
      <c r="E1728"/>
      <c r="F1728"/>
      <c r="G1728"/>
      <c r="H1728"/>
      <c r="J1728"/>
    </row>
    <row r="1729" spans="2:10" x14ac:dyDescent="0.2">
      <c r="B1729"/>
      <c r="C1729"/>
      <c r="D1729"/>
      <c r="E1729"/>
      <c r="F1729"/>
      <c r="G1729"/>
      <c r="H1729"/>
      <c r="J1729"/>
    </row>
    <row r="1730" spans="2:10" x14ac:dyDescent="0.2">
      <c r="B1730"/>
      <c r="C1730"/>
      <c r="D1730"/>
      <c r="E1730"/>
      <c r="F1730"/>
      <c r="G1730"/>
      <c r="H1730"/>
      <c r="J1730"/>
    </row>
    <row r="1731" spans="2:10" x14ac:dyDescent="0.2">
      <c r="B1731"/>
      <c r="C1731"/>
      <c r="D1731"/>
      <c r="E1731"/>
      <c r="F1731"/>
      <c r="G1731"/>
      <c r="H1731"/>
      <c r="J1731"/>
    </row>
    <row r="1732" spans="2:10" x14ac:dyDescent="0.2">
      <c r="B1732"/>
      <c r="C1732"/>
      <c r="D1732"/>
      <c r="E1732"/>
      <c r="F1732"/>
      <c r="G1732"/>
      <c r="H1732"/>
      <c r="J1732"/>
    </row>
    <row r="1733" spans="2:10" x14ac:dyDescent="0.2">
      <c r="B1733"/>
      <c r="C1733"/>
      <c r="D1733"/>
      <c r="E1733"/>
      <c r="F1733"/>
      <c r="G1733"/>
      <c r="H1733"/>
      <c r="J1733"/>
    </row>
    <row r="1734" spans="2:10" x14ac:dyDescent="0.2">
      <c r="B1734"/>
      <c r="C1734"/>
      <c r="D1734"/>
      <c r="E1734"/>
      <c r="F1734"/>
      <c r="G1734"/>
      <c r="H1734"/>
      <c r="J1734"/>
    </row>
    <row r="1735" spans="2:10" x14ac:dyDescent="0.2">
      <c r="B1735"/>
      <c r="C1735"/>
      <c r="D1735"/>
      <c r="E1735"/>
      <c r="F1735"/>
      <c r="G1735"/>
      <c r="H1735"/>
      <c r="J1735"/>
    </row>
    <row r="1736" spans="2:10" x14ac:dyDescent="0.2">
      <c r="B1736"/>
      <c r="C1736"/>
      <c r="D1736"/>
      <c r="E1736"/>
      <c r="F1736"/>
      <c r="G1736"/>
      <c r="H1736"/>
      <c r="J1736"/>
    </row>
    <row r="1737" spans="2:10" x14ac:dyDescent="0.2">
      <c r="B1737"/>
      <c r="C1737"/>
      <c r="D1737"/>
      <c r="E1737"/>
      <c r="F1737"/>
      <c r="G1737"/>
      <c r="H1737"/>
      <c r="J1737"/>
    </row>
    <row r="1738" spans="2:10" x14ac:dyDescent="0.2">
      <c r="B1738"/>
      <c r="C1738"/>
      <c r="D1738"/>
      <c r="E1738"/>
      <c r="F1738"/>
      <c r="G1738"/>
      <c r="H1738"/>
      <c r="J1738"/>
    </row>
    <row r="1739" spans="2:10" x14ac:dyDescent="0.2">
      <c r="B1739"/>
      <c r="C1739"/>
      <c r="D1739"/>
      <c r="E1739"/>
      <c r="F1739"/>
      <c r="G1739"/>
      <c r="H1739"/>
      <c r="J1739"/>
    </row>
    <row r="1740" spans="2:10" x14ac:dyDescent="0.2">
      <c r="B1740"/>
      <c r="C1740"/>
      <c r="D1740"/>
      <c r="E1740"/>
      <c r="F1740"/>
      <c r="G1740"/>
      <c r="H1740"/>
      <c r="J1740"/>
    </row>
    <row r="1741" spans="2:10" x14ac:dyDescent="0.2">
      <c r="B1741"/>
      <c r="C1741"/>
      <c r="D1741"/>
      <c r="E1741"/>
      <c r="F1741"/>
      <c r="G1741"/>
      <c r="H1741"/>
      <c r="J1741"/>
    </row>
    <row r="1742" spans="2:10" x14ac:dyDescent="0.2">
      <c r="B1742"/>
      <c r="C1742"/>
      <c r="D1742"/>
      <c r="E1742"/>
      <c r="F1742"/>
      <c r="G1742"/>
      <c r="H1742"/>
      <c r="J1742"/>
    </row>
    <row r="1743" spans="2:10" x14ac:dyDescent="0.2">
      <c r="B1743"/>
      <c r="C1743"/>
      <c r="D1743"/>
      <c r="E1743"/>
      <c r="F1743"/>
      <c r="G1743"/>
      <c r="H1743"/>
      <c r="J1743"/>
    </row>
    <row r="1744" spans="2:10" x14ac:dyDescent="0.2">
      <c r="B1744"/>
      <c r="C1744"/>
      <c r="D1744"/>
      <c r="E1744"/>
      <c r="F1744"/>
      <c r="G1744"/>
      <c r="H1744"/>
      <c r="J1744"/>
    </row>
    <row r="1745" spans="2:10" x14ac:dyDescent="0.2">
      <c r="B1745"/>
      <c r="C1745"/>
      <c r="D1745"/>
      <c r="E1745"/>
      <c r="F1745"/>
      <c r="G1745"/>
      <c r="H1745"/>
      <c r="J1745"/>
    </row>
    <row r="1746" spans="2:10" x14ac:dyDescent="0.2">
      <c r="B1746"/>
      <c r="C1746"/>
      <c r="D1746"/>
      <c r="E1746"/>
      <c r="F1746"/>
      <c r="G1746"/>
      <c r="H1746"/>
      <c r="J1746"/>
    </row>
    <row r="1747" spans="2:10" x14ac:dyDescent="0.2">
      <c r="B1747"/>
      <c r="C1747"/>
      <c r="D1747"/>
      <c r="E1747"/>
      <c r="F1747"/>
      <c r="G1747"/>
      <c r="H1747"/>
      <c r="J1747"/>
    </row>
    <row r="1748" spans="2:10" x14ac:dyDescent="0.2">
      <c r="B1748"/>
      <c r="C1748"/>
      <c r="D1748"/>
      <c r="E1748"/>
      <c r="F1748"/>
      <c r="G1748"/>
      <c r="H1748"/>
      <c r="J1748"/>
    </row>
    <row r="1749" spans="2:10" x14ac:dyDescent="0.2">
      <c r="B1749"/>
      <c r="C1749"/>
      <c r="D1749"/>
      <c r="E1749"/>
      <c r="F1749"/>
      <c r="G1749"/>
      <c r="H1749"/>
      <c r="J1749"/>
    </row>
    <row r="1750" spans="2:10" x14ac:dyDescent="0.2">
      <c r="B1750"/>
      <c r="C1750"/>
      <c r="D1750"/>
      <c r="E1750"/>
      <c r="F1750"/>
      <c r="G1750"/>
      <c r="H1750"/>
      <c r="J1750"/>
    </row>
    <row r="1751" spans="2:10" x14ac:dyDescent="0.2">
      <c r="B1751"/>
      <c r="C1751"/>
      <c r="D1751"/>
      <c r="E1751"/>
      <c r="F1751"/>
      <c r="G1751"/>
      <c r="H1751"/>
      <c r="J1751"/>
    </row>
    <row r="1752" spans="2:10" x14ac:dyDescent="0.2">
      <c r="B1752"/>
      <c r="C1752"/>
      <c r="D1752"/>
      <c r="E1752"/>
      <c r="F1752"/>
      <c r="G1752"/>
      <c r="H1752"/>
      <c r="J1752"/>
    </row>
    <row r="1753" spans="2:10" x14ac:dyDescent="0.2">
      <c r="B1753"/>
      <c r="C1753"/>
      <c r="D1753"/>
      <c r="E1753"/>
      <c r="F1753"/>
      <c r="G1753"/>
      <c r="H1753"/>
      <c r="J1753"/>
    </row>
    <row r="1754" spans="2:10" x14ac:dyDescent="0.2">
      <c r="B1754"/>
      <c r="C1754"/>
      <c r="D1754"/>
      <c r="E1754"/>
      <c r="F1754"/>
      <c r="G1754"/>
      <c r="H1754"/>
      <c r="J1754"/>
    </row>
    <row r="1755" spans="2:10" x14ac:dyDescent="0.2">
      <c r="B1755"/>
      <c r="C1755"/>
      <c r="D1755"/>
      <c r="E1755"/>
      <c r="F1755"/>
      <c r="G1755"/>
      <c r="H1755"/>
      <c r="J1755"/>
    </row>
    <row r="1756" spans="2:10" x14ac:dyDescent="0.2">
      <c r="B1756"/>
      <c r="C1756"/>
      <c r="D1756"/>
      <c r="E1756"/>
      <c r="F1756"/>
      <c r="G1756"/>
      <c r="H1756"/>
      <c r="J1756"/>
    </row>
    <row r="1757" spans="2:10" x14ac:dyDescent="0.2">
      <c r="B1757"/>
      <c r="C1757"/>
      <c r="D1757"/>
      <c r="E1757"/>
      <c r="F1757"/>
      <c r="G1757"/>
      <c r="H1757"/>
      <c r="J1757"/>
    </row>
    <row r="1758" spans="2:10" x14ac:dyDescent="0.2">
      <c r="B1758"/>
      <c r="C1758"/>
      <c r="D1758"/>
      <c r="E1758"/>
      <c r="F1758"/>
      <c r="G1758"/>
      <c r="H1758"/>
      <c r="J1758"/>
    </row>
    <row r="1759" spans="2:10" x14ac:dyDescent="0.2">
      <c r="B1759"/>
      <c r="C1759"/>
      <c r="D1759"/>
      <c r="E1759"/>
      <c r="F1759"/>
      <c r="G1759"/>
      <c r="H1759"/>
      <c r="J1759"/>
    </row>
    <row r="1760" spans="2:10" x14ac:dyDescent="0.2">
      <c r="B1760"/>
      <c r="C1760"/>
      <c r="D1760"/>
      <c r="E1760"/>
      <c r="F1760"/>
      <c r="G1760"/>
      <c r="H1760"/>
      <c r="J1760"/>
    </row>
    <row r="1761" spans="2:10" x14ac:dyDescent="0.2">
      <c r="B1761"/>
      <c r="C1761"/>
      <c r="D1761"/>
      <c r="E1761"/>
      <c r="F1761"/>
      <c r="G1761"/>
      <c r="H1761"/>
      <c r="J1761"/>
    </row>
    <row r="1762" spans="2:10" x14ac:dyDescent="0.2">
      <c r="B1762"/>
      <c r="C1762"/>
      <c r="D1762"/>
      <c r="E1762"/>
      <c r="F1762"/>
      <c r="G1762"/>
      <c r="H1762"/>
      <c r="J1762"/>
    </row>
    <row r="1763" spans="2:10" x14ac:dyDescent="0.2">
      <c r="B1763"/>
      <c r="C1763"/>
      <c r="D1763"/>
      <c r="E1763"/>
      <c r="F1763"/>
      <c r="G1763"/>
      <c r="H1763"/>
      <c r="J1763"/>
    </row>
    <row r="1764" spans="2:10" x14ac:dyDescent="0.2">
      <c r="B1764"/>
      <c r="C1764"/>
      <c r="D1764"/>
      <c r="E1764"/>
      <c r="F1764"/>
      <c r="G1764"/>
      <c r="H1764"/>
      <c r="J1764"/>
    </row>
    <row r="1765" spans="2:10" x14ac:dyDescent="0.2">
      <c r="B1765"/>
      <c r="C1765"/>
      <c r="D1765"/>
      <c r="E1765"/>
      <c r="F1765"/>
      <c r="G1765"/>
      <c r="H1765"/>
      <c r="J1765"/>
    </row>
    <row r="1766" spans="2:10" x14ac:dyDescent="0.2">
      <c r="B1766"/>
      <c r="C1766"/>
      <c r="D1766"/>
      <c r="E1766"/>
      <c r="F1766"/>
      <c r="G1766"/>
      <c r="H1766"/>
      <c r="J1766"/>
    </row>
    <row r="1767" spans="2:10" x14ac:dyDescent="0.2">
      <c r="B1767"/>
      <c r="C1767"/>
      <c r="D1767"/>
      <c r="E1767"/>
      <c r="F1767"/>
      <c r="G1767"/>
      <c r="H1767"/>
      <c r="J1767"/>
    </row>
    <row r="1768" spans="2:10" x14ac:dyDescent="0.2">
      <c r="B1768"/>
      <c r="C1768"/>
      <c r="D1768"/>
      <c r="E1768"/>
      <c r="F1768"/>
      <c r="G1768"/>
      <c r="H1768"/>
      <c r="J1768"/>
    </row>
    <row r="1769" spans="2:10" x14ac:dyDescent="0.2">
      <c r="B1769"/>
      <c r="C1769"/>
      <c r="D1769"/>
      <c r="E1769"/>
      <c r="F1769"/>
      <c r="G1769"/>
      <c r="H1769"/>
      <c r="J1769"/>
    </row>
    <row r="1770" spans="2:10" x14ac:dyDescent="0.2">
      <c r="B1770"/>
      <c r="C1770"/>
      <c r="D1770"/>
      <c r="E1770"/>
      <c r="F1770"/>
      <c r="G1770"/>
      <c r="H1770"/>
      <c r="J1770"/>
    </row>
    <row r="1771" spans="2:10" x14ac:dyDescent="0.2">
      <c r="B1771"/>
      <c r="C1771"/>
      <c r="D1771"/>
      <c r="E1771"/>
      <c r="F1771"/>
      <c r="G1771"/>
      <c r="H1771"/>
      <c r="J1771"/>
    </row>
    <row r="1772" spans="2:10" x14ac:dyDescent="0.2">
      <c r="B1772"/>
      <c r="C1772"/>
      <c r="D1772"/>
      <c r="E1772"/>
      <c r="F1772"/>
      <c r="G1772"/>
      <c r="H1772"/>
      <c r="J1772"/>
    </row>
    <row r="1773" spans="2:10" x14ac:dyDescent="0.2">
      <c r="B1773"/>
      <c r="C1773"/>
      <c r="D1773"/>
      <c r="E1773"/>
      <c r="F1773"/>
      <c r="G1773"/>
      <c r="H1773"/>
      <c r="J1773"/>
    </row>
    <row r="1774" spans="2:10" x14ac:dyDescent="0.2">
      <c r="B1774"/>
      <c r="C1774"/>
      <c r="D1774"/>
      <c r="E1774"/>
      <c r="F1774"/>
      <c r="G1774"/>
      <c r="H1774"/>
      <c r="J1774"/>
    </row>
    <row r="1775" spans="2:10" x14ac:dyDescent="0.2">
      <c r="B1775"/>
      <c r="C1775"/>
      <c r="D1775"/>
      <c r="E1775"/>
      <c r="F1775"/>
      <c r="G1775"/>
      <c r="H1775"/>
      <c r="J1775"/>
    </row>
    <row r="1776" spans="2:10" x14ac:dyDescent="0.2">
      <c r="B1776"/>
      <c r="C1776"/>
      <c r="D1776"/>
      <c r="E1776"/>
      <c r="F1776"/>
      <c r="G1776"/>
      <c r="H1776"/>
      <c r="J1776"/>
    </row>
    <row r="1777" spans="2:10" x14ac:dyDescent="0.2">
      <c r="B1777"/>
      <c r="C1777"/>
      <c r="D1777"/>
      <c r="E1777"/>
      <c r="F1777"/>
      <c r="G1777"/>
      <c r="H1777"/>
      <c r="J1777"/>
    </row>
    <row r="1778" spans="2:10" x14ac:dyDescent="0.2">
      <c r="B1778"/>
      <c r="C1778"/>
      <c r="D1778"/>
      <c r="E1778"/>
      <c r="F1778"/>
      <c r="G1778"/>
      <c r="H1778"/>
      <c r="J1778"/>
    </row>
    <row r="1779" spans="2:10" x14ac:dyDescent="0.2">
      <c r="B1779"/>
      <c r="C1779"/>
      <c r="D1779"/>
      <c r="E1779"/>
      <c r="F1779"/>
      <c r="G1779"/>
      <c r="H1779"/>
      <c r="J1779"/>
    </row>
    <row r="1780" spans="2:10" x14ac:dyDescent="0.2">
      <c r="B1780"/>
      <c r="C1780"/>
      <c r="D1780"/>
      <c r="E1780"/>
      <c r="F1780"/>
      <c r="G1780"/>
      <c r="H1780"/>
      <c r="J1780"/>
    </row>
    <row r="1781" spans="2:10" x14ac:dyDescent="0.2">
      <c r="B1781"/>
      <c r="C1781"/>
      <c r="D1781"/>
      <c r="E1781"/>
      <c r="F1781"/>
      <c r="G1781"/>
      <c r="H1781"/>
      <c r="J1781"/>
    </row>
    <row r="1782" spans="2:10" x14ac:dyDescent="0.2">
      <c r="B1782"/>
      <c r="C1782"/>
      <c r="D1782"/>
      <c r="E1782"/>
      <c r="F1782"/>
      <c r="G1782"/>
      <c r="H1782"/>
      <c r="J1782"/>
    </row>
    <row r="1783" spans="2:10" x14ac:dyDescent="0.2">
      <c r="B1783"/>
      <c r="C1783"/>
      <c r="D1783"/>
      <c r="E1783"/>
      <c r="F1783"/>
      <c r="G1783"/>
      <c r="H1783"/>
      <c r="J1783"/>
    </row>
    <row r="1784" spans="2:10" x14ac:dyDescent="0.2">
      <c r="B1784"/>
      <c r="C1784"/>
      <c r="D1784"/>
      <c r="E1784"/>
      <c r="F1784"/>
      <c r="G1784"/>
      <c r="H1784"/>
      <c r="J1784"/>
    </row>
    <row r="1785" spans="2:10" x14ac:dyDescent="0.2">
      <c r="B1785"/>
      <c r="C1785"/>
      <c r="D1785"/>
      <c r="E1785"/>
      <c r="F1785"/>
      <c r="G1785"/>
      <c r="H1785"/>
      <c r="J1785"/>
    </row>
    <row r="1786" spans="2:10" x14ac:dyDescent="0.2">
      <c r="B1786"/>
      <c r="C1786"/>
      <c r="D1786"/>
      <c r="E1786"/>
      <c r="F1786"/>
      <c r="G1786"/>
      <c r="H1786"/>
      <c r="J1786"/>
    </row>
    <row r="1787" spans="2:10" x14ac:dyDescent="0.2">
      <c r="B1787"/>
      <c r="C1787"/>
      <c r="D1787"/>
      <c r="E1787"/>
      <c r="F1787"/>
      <c r="G1787"/>
      <c r="H1787"/>
      <c r="J1787"/>
    </row>
    <row r="1788" spans="2:10" x14ac:dyDescent="0.2">
      <c r="B1788"/>
      <c r="C1788"/>
      <c r="D1788"/>
      <c r="E1788"/>
      <c r="F1788"/>
      <c r="G1788"/>
      <c r="H1788"/>
      <c r="J1788"/>
    </row>
    <row r="1789" spans="2:10" x14ac:dyDescent="0.2">
      <c r="B1789"/>
      <c r="C1789"/>
      <c r="D1789"/>
      <c r="E1789"/>
      <c r="F1789"/>
      <c r="G1789"/>
      <c r="H1789"/>
      <c r="J1789"/>
    </row>
    <row r="1790" spans="2:10" x14ac:dyDescent="0.2">
      <c r="B1790"/>
      <c r="C1790"/>
      <c r="D1790"/>
      <c r="E1790"/>
      <c r="F1790"/>
      <c r="G1790"/>
      <c r="H1790"/>
      <c r="J1790"/>
    </row>
    <row r="1791" spans="2:10" x14ac:dyDescent="0.2">
      <c r="B1791"/>
      <c r="C1791"/>
      <c r="D1791"/>
      <c r="E1791"/>
      <c r="F1791"/>
      <c r="G1791"/>
      <c r="H1791"/>
      <c r="J1791"/>
    </row>
    <row r="1792" spans="2:10" x14ac:dyDescent="0.2">
      <c r="B1792"/>
      <c r="C1792"/>
      <c r="D1792"/>
      <c r="E1792"/>
      <c r="F1792"/>
      <c r="G1792"/>
      <c r="H1792"/>
      <c r="J1792"/>
    </row>
    <row r="1793" spans="2:10" x14ac:dyDescent="0.2">
      <c r="B1793"/>
      <c r="C1793"/>
      <c r="D1793"/>
      <c r="E1793"/>
      <c r="F1793"/>
      <c r="G1793"/>
      <c r="H1793"/>
      <c r="J1793"/>
    </row>
    <row r="1794" spans="2:10" x14ac:dyDescent="0.2">
      <c r="B1794"/>
      <c r="C1794"/>
      <c r="D1794"/>
      <c r="E1794"/>
      <c r="F1794"/>
      <c r="G1794"/>
      <c r="H1794"/>
      <c r="J1794"/>
    </row>
    <row r="1795" spans="2:10" x14ac:dyDescent="0.2">
      <c r="B1795"/>
      <c r="C1795"/>
      <c r="D1795"/>
      <c r="E1795"/>
      <c r="F1795"/>
      <c r="G1795"/>
      <c r="H1795"/>
      <c r="J1795"/>
    </row>
    <row r="1796" spans="2:10" x14ac:dyDescent="0.2">
      <c r="B1796"/>
      <c r="C1796"/>
      <c r="D1796"/>
      <c r="E1796"/>
      <c r="F1796"/>
      <c r="G1796"/>
      <c r="H1796"/>
      <c r="J1796"/>
    </row>
    <row r="1797" spans="2:10" x14ac:dyDescent="0.2">
      <c r="B1797"/>
      <c r="C1797"/>
      <c r="D1797"/>
      <c r="E1797"/>
      <c r="F1797"/>
      <c r="G1797"/>
      <c r="H1797"/>
      <c r="J1797"/>
    </row>
    <row r="1798" spans="2:10" x14ac:dyDescent="0.2">
      <c r="B1798"/>
      <c r="C1798"/>
      <c r="D1798"/>
      <c r="E1798"/>
      <c r="F1798"/>
      <c r="G1798"/>
      <c r="H1798"/>
      <c r="J1798"/>
    </row>
    <row r="1799" spans="2:10" x14ac:dyDescent="0.2">
      <c r="B1799"/>
      <c r="C1799"/>
      <c r="D1799"/>
      <c r="E1799"/>
      <c r="F1799"/>
      <c r="G1799"/>
      <c r="H1799"/>
      <c r="J1799"/>
    </row>
    <row r="1800" spans="2:10" x14ac:dyDescent="0.2">
      <c r="B1800"/>
      <c r="C1800"/>
      <c r="D1800"/>
      <c r="E1800"/>
      <c r="F1800"/>
      <c r="G1800"/>
      <c r="H1800"/>
      <c r="J1800"/>
    </row>
    <row r="1801" spans="2:10" x14ac:dyDescent="0.2">
      <c r="B1801"/>
      <c r="C1801"/>
      <c r="D1801"/>
      <c r="E1801"/>
      <c r="F1801"/>
      <c r="G1801"/>
      <c r="H1801"/>
      <c r="J1801"/>
    </row>
    <row r="1802" spans="2:10" x14ac:dyDescent="0.2">
      <c r="B1802"/>
      <c r="C1802"/>
      <c r="D1802"/>
      <c r="E1802"/>
      <c r="F1802"/>
      <c r="G1802"/>
      <c r="H1802"/>
      <c r="J1802"/>
    </row>
    <row r="1803" spans="2:10" x14ac:dyDescent="0.2">
      <c r="B1803"/>
      <c r="C1803"/>
      <c r="D1803"/>
      <c r="E1803"/>
      <c r="F1803"/>
      <c r="G1803"/>
      <c r="H1803"/>
      <c r="J1803"/>
    </row>
    <row r="1804" spans="2:10" x14ac:dyDescent="0.2">
      <c r="B1804"/>
      <c r="C1804"/>
      <c r="D1804"/>
      <c r="E1804"/>
      <c r="F1804"/>
      <c r="G1804"/>
      <c r="H1804"/>
      <c r="J1804"/>
    </row>
    <row r="1805" spans="2:10" x14ac:dyDescent="0.2">
      <c r="B1805"/>
      <c r="C1805"/>
      <c r="D1805"/>
      <c r="E1805"/>
      <c r="F1805"/>
      <c r="G1805"/>
      <c r="H1805"/>
      <c r="J1805"/>
    </row>
    <row r="1806" spans="2:10" x14ac:dyDescent="0.2">
      <c r="B1806"/>
      <c r="C1806"/>
      <c r="D1806"/>
      <c r="E1806"/>
      <c r="F1806"/>
      <c r="G1806"/>
      <c r="H1806"/>
      <c r="J1806"/>
    </row>
    <row r="1807" spans="2:10" x14ac:dyDescent="0.2">
      <c r="B1807"/>
      <c r="C1807"/>
      <c r="D1807"/>
      <c r="E1807"/>
      <c r="F1807"/>
      <c r="G1807"/>
      <c r="H1807"/>
      <c r="J1807"/>
    </row>
    <row r="1808" spans="2:10" x14ac:dyDescent="0.2">
      <c r="B1808"/>
      <c r="C1808"/>
      <c r="D1808"/>
      <c r="E1808"/>
      <c r="F1808"/>
      <c r="G1808"/>
      <c r="H1808"/>
      <c r="J1808"/>
    </row>
    <row r="1809" spans="2:10" x14ac:dyDescent="0.2">
      <c r="B1809"/>
      <c r="C1809"/>
      <c r="D1809"/>
      <c r="E1809"/>
      <c r="F1809"/>
      <c r="G1809"/>
      <c r="H1809"/>
      <c r="J1809"/>
    </row>
    <row r="1810" spans="2:10" x14ac:dyDescent="0.2">
      <c r="B1810"/>
      <c r="C1810"/>
      <c r="D1810"/>
      <c r="E1810"/>
      <c r="F1810"/>
      <c r="G1810"/>
      <c r="H1810"/>
      <c r="J1810"/>
    </row>
    <row r="1811" spans="2:10" x14ac:dyDescent="0.2">
      <c r="B1811"/>
      <c r="C1811"/>
      <c r="D1811"/>
      <c r="E1811"/>
      <c r="F1811"/>
      <c r="G1811"/>
      <c r="H1811"/>
      <c r="J1811"/>
    </row>
    <row r="1812" spans="2:10" x14ac:dyDescent="0.2">
      <c r="B1812"/>
      <c r="C1812"/>
      <c r="D1812"/>
      <c r="E1812"/>
      <c r="F1812"/>
      <c r="G1812"/>
      <c r="H1812"/>
      <c r="J1812"/>
    </row>
    <row r="1813" spans="2:10" x14ac:dyDescent="0.2">
      <c r="B1813"/>
      <c r="C1813"/>
      <c r="D1813"/>
      <c r="E1813"/>
      <c r="F1813"/>
      <c r="G1813"/>
      <c r="H1813"/>
      <c r="J1813"/>
    </row>
    <row r="1814" spans="2:10" x14ac:dyDescent="0.2">
      <c r="B1814"/>
      <c r="C1814"/>
      <c r="D1814"/>
      <c r="E1814"/>
      <c r="F1814"/>
      <c r="G1814"/>
      <c r="H1814"/>
      <c r="J1814"/>
    </row>
    <row r="1815" spans="2:10" x14ac:dyDescent="0.2">
      <c r="B1815"/>
      <c r="C1815"/>
      <c r="D1815"/>
      <c r="E1815"/>
      <c r="F1815"/>
      <c r="G1815"/>
      <c r="H1815"/>
      <c r="J1815"/>
    </row>
    <row r="1816" spans="2:10" x14ac:dyDescent="0.2">
      <c r="B1816"/>
      <c r="C1816"/>
      <c r="D1816"/>
      <c r="E1816"/>
      <c r="F1816"/>
      <c r="G1816"/>
      <c r="H1816"/>
      <c r="J1816"/>
    </row>
    <row r="1817" spans="2:10" x14ac:dyDescent="0.2">
      <c r="B1817"/>
      <c r="C1817"/>
      <c r="D1817"/>
      <c r="E1817"/>
      <c r="F1817"/>
      <c r="G1817"/>
      <c r="H1817"/>
      <c r="J1817"/>
    </row>
    <row r="1818" spans="2:10" x14ac:dyDescent="0.2">
      <c r="B1818"/>
      <c r="C1818"/>
      <c r="D1818"/>
      <c r="E1818"/>
      <c r="F1818"/>
      <c r="G1818"/>
      <c r="H1818"/>
      <c r="J1818"/>
    </row>
    <row r="1819" spans="2:10" x14ac:dyDescent="0.2">
      <c r="B1819"/>
      <c r="C1819"/>
      <c r="D1819"/>
      <c r="E1819"/>
      <c r="F1819"/>
      <c r="G1819"/>
      <c r="H1819"/>
      <c r="J1819"/>
    </row>
    <row r="1820" spans="2:10" x14ac:dyDescent="0.2">
      <c r="B1820"/>
      <c r="C1820"/>
      <c r="D1820"/>
      <c r="E1820"/>
      <c r="F1820"/>
      <c r="G1820"/>
      <c r="H1820"/>
      <c r="J1820"/>
    </row>
    <row r="1821" spans="2:10" x14ac:dyDescent="0.2">
      <c r="B1821"/>
      <c r="C1821"/>
      <c r="D1821"/>
      <c r="E1821"/>
      <c r="F1821"/>
      <c r="G1821"/>
      <c r="H1821"/>
      <c r="J1821"/>
    </row>
    <row r="1822" spans="2:10" x14ac:dyDescent="0.2">
      <c r="B1822"/>
      <c r="C1822"/>
      <c r="D1822"/>
      <c r="E1822"/>
      <c r="F1822"/>
      <c r="G1822"/>
      <c r="H1822"/>
      <c r="J1822"/>
    </row>
    <row r="1823" spans="2:10" x14ac:dyDescent="0.2">
      <c r="B1823"/>
      <c r="C1823"/>
      <c r="D1823"/>
      <c r="E1823"/>
      <c r="F1823"/>
      <c r="G1823"/>
      <c r="H1823"/>
      <c r="J1823"/>
    </row>
    <row r="1824" spans="2:10" x14ac:dyDescent="0.2">
      <c r="B1824"/>
      <c r="C1824"/>
      <c r="D1824"/>
      <c r="E1824"/>
      <c r="F1824"/>
      <c r="G1824"/>
      <c r="H1824"/>
      <c r="J1824"/>
    </row>
    <row r="1825" spans="2:10" x14ac:dyDescent="0.2">
      <c r="B1825"/>
      <c r="C1825"/>
      <c r="D1825"/>
      <c r="E1825"/>
      <c r="F1825"/>
      <c r="G1825"/>
      <c r="H1825"/>
      <c r="J1825"/>
    </row>
    <row r="1826" spans="2:10" x14ac:dyDescent="0.2">
      <c r="B1826"/>
      <c r="C1826"/>
      <c r="D1826"/>
      <c r="E1826"/>
      <c r="F1826"/>
      <c r="G1826"/>
      <c r="H1826"/>
      <c r="J1826"/>
    </row>
    <row r="1827" spans="2:10" x14ac:dyDescent="0.2">
      <c r="B1827"/>
      <c r="C1827"/>
      <c r="D1827"/>
      <c r="E1827"/>
      <c r="F1827"/>
      <c r="G1827"/>
      <c r="H1827"/>
      <c r="J1827"/>
    </row>
    <row r="1828" spans="2:10" x14ac:dyDescent="0.2">
      <c r="B1828"/>
      <c r="C1828"/>
      <c r="D1828"/>
      <c r="E1828"/>
      <c r="F1828"/>
      <c r="G1828"/>
      <c r="H1828"/>
      <c r="J1828"/>
    </row>
    <row r="1829" spans="2:10" x14ac:dyDescent="0.2">
      <c r="B1829"/>
      <c r="C1829"/>
      <c r="D1829"/>
      <c r="E1829"/>
      <c r="F1829"/>
      <c r="G1829"/>
      <c r="H1829"/>
      <c r="J1829"/>
    </row>
    <row r="1830" spans="2:10" x14ac:dyDescent="0.2">
      <c r="B1830"/>
      <c r="C1830"/>
      <c r="D1830"/>
      <c r="E1830"/>
      <c r="F1830"/>
      <c r="G1830"/>
      <c r="H1830"/>
      <c r="J1830"/>
    </row>
    <row r="1831" spans="2:10" x14ac:dyDescent="0.2">
      <c r="B1831"/>
      <c r="C1831"/>
      <c r="D1831"/>
      <c r="E1831"/>
      <c r="F1831"/>
      <c r="G1831"/>
      <c r="H1831"/>
    </row>
    <row r="1832" spans="2:10" x14ac:dyDescent="0.2">
      <c r="B1832"/>
      <c r="C1832"/>
      <c r="D1832"/>
      <c r="E1832"/>
      <c r="F1832"/>
      <c r="G1832"/>
      <c r="H1832"/>
    </row>
    <row r="1833" spans="2:10" x14ac:dyDescent="0.2">
      <c r="B1833"/>
      <c r="C1833"/>
      <c r="D1833"/>
      <c r="E1833"/>
      <c r="F1833"/>
      <c r="G1833"/>
      <c r="H1833"/>
    </row>
    <row r="1834" spans="2:10" x14ac:dyDescent="0.2">
      <c r="B1834"/>
      <c r="C1834"/>
      <c r="D1834"/>
      <c r="E1834"/>
      <c r="F1834"/>
      <c r="G1834"/>
      <c r="H1834"/>
    </row>
    <row r="1835" spans="2:10" x14ac:dyDescent="0.2">
      <c r="B1835"/>
      <c r="C1835"/>
      <c r="D1835"/>
      <c r="E1835"/>
      <c r="F1835"/>
      <c r="G1835"/>
      <c r="H1835"/>
    </row>
    <row r="1836" spans="2:10" x14ac:dyDescent="0.2">
      <c r="B1836"/>
      <c r="C1836"/>
      <c r="D1836"/>
      <c r="E1836"/>
      <c r="F1836"/>
      <c r="G1836"/>
      <c r="H1836"/>
    </row>
    <row r="1837" spans="2:10" x14ac:dyDescent="0.2">
      <c r="B1837"/>
      <c r="C1837"/>
      <c r="D1837"/>
      <c r="E1837"/>
      <c r="F1837"/>
      <c r="G1837"/>
      <c r="H1837"/>
    </row>
    <row r="1838" spans="2:10" x14ac:dyDescent="0.2">
      <c r="B1838"/>
      <c r="C1838"/>
      <c r="D1838"/>
      <c r="E1838"/>
      <c r="F1838"/>
      <c r="G1838"/>
      <c r="H1838"/>
    </row>
    <row r="1839" spans="2:10" x14ac:dyDescent="0.2">
      <c r="B1839"/>
      <c r="C1839"/>
      <c r="D1839"/>
      <c r="E1839"/>
      <c r="F1839"/>
      <c r="G1839"/>
      <c r="H1839"/>
    </row>
    <row r="1840" spans="2:10" x14ac:dyDescent="0.2">
      <c r="B1840"/>
      <c r="C1840"/>
      <c r="D1840"/>
      <c r="E1840"/>
      <c r="F1840"/>
      <c r="G1840"/>
      <c r="H1840"/>
    </row>
    <row r="1841" spans="2:8" x14ac:dyDescent="0.2">
      <c r="B1841"/>
      <c r="C1841"/>
      <c r="D1841"/>
      <c r="E1841"/>
      <c r="F1841"/>
      <c r="G1841"/>
      <c r="H1841"/>
    </row>
    <row r="1842" spans="2:8" x14ac:dyDescent="0.2">
      <c r="B1842"/>
      <c r="C1842"/>
      <c r="D1842"/>
      <c r="E1842"/>
      <c r="F1842"/>
      <c r="G1842"/>
      <c r="H1842"/>
    </row>
    <row r="1843" spans="2:8" x14ac:dyDescent="0.2">
      <c r="B1843"/>
      <c r="C1843"/>
      <c r="D1843"/>
      <c r="E1843"/>
      <c r="F1843"/>
      <c r="G1843"/>
      <c r="H1843"/>
    </row>
    <row r="1844" spans="2:8" x14ac:dyDescent="0.2">
      <c r="B1844"/>
      <c r="C1844"/>
      <c r="D1844"/>
      <c r="E1844"/>
      <c r="F1844"/>
      <c r="G1844"/>
      <c r="H1844"/>
    </row>
    <row r="1845" spans="2:8" x14ac:dyDescent="0.2">
      <c r="B1845"/>
      <c r="C1845"/>
      <c r="D1845"/>
      <c r="E1845"/>
      <c r="F1845"/>
      <c r="G1845"/>
      <c r="H1845"/>
    </row>
    <row r="1846" spans="2:8" x14ac:dyDescent="0.2">
      <c r="B1846"/>
      <c r="C1846"/>
      <c r="D1846"/>
      <c r="E1846"/>
      <c r="F1846"/>
      <c r="G1846"/>
      <c r="H1846"/>
    </row>
    <row r="1847" spans="2:8" x14ac:dyDescent="0.2">
      <c r="B1847"/>
      <c r="C1847"/>
      <c r="D1847"/>
      <c r="E1847"/>
      <c r="F1847"/>
      <c r="G1847"/>
      <c r="H1847"/>
    </row>
    <row r="1848" spans="2:8" x14ac:dyDescent="0.2">
      <c r="B1848"/>
      <c r="C1848"/>
      <c r="D1848"/>
      <c r="E1848"/>
      <c r="F1848"/>
      <c r="G1848"/>
      <c r="H1848"/>
    </row>
    <row r="1849" spans="2:8" x14ac:dyDescent="0.2">
      <c r="B1849"/>
      <c r="C1849"/>
      <c r="D1849"/>
      <c r="E1849"/>
      <c r="F1849"/>
      <c r="G1849"/>
      <c r="H1849"/>
    </row>
    <row r="1850" spans="2:8" x14ac:dyDescent="0.2">
      <c r="B1850"/>
      <c r="C1850"/>
      <c r="D1850"/>
      <c r="E1850"/>
      <c r="F1850"/>
      <c r="G1850"/>
      <c r="H1850"/>
    </row>
    <row r="1851" spans="2:8" x14ac:dyDescent="0.2">
      <c r="B1851"/>
      <c r="C1851"/>
      <c r="D1851"/>
      <c r="E1851"/>
      <c r="F1851"/>
      <c r="G1851"/>
      <c r="H1851"/>
    </row>
    <row r="1852" spans="2:8" x14ac:dyDescent="0.2">
      <c r="B1852"/>
      <c r="C1852"/>
      <c r="D1852"/>
      <c r="E1852"/>
      <c r="F1852"/>
      <c r="G1852"/>
      <c r="H1852"/>
    </row>
    <row r="1853" spans="2:8" x14ac:dyDescent="0.2">
      <c r="B1853"/>
      <c r="C1853"/>
      <c r="D1853"/>
      <c r="E1853"/>
      <c r="F1853"/>
      <c r="G1853"/>
      <c r="H1853"/>
    </row>
    <row r="1854" spans="2:8" x14ac:dyDescent="0.2">
      <c r="B1854"/>
      <c r="C1854"/>
      <c r="D1854"/>
      <c r="E1854"/>
      <c r="F1854"/>
      <c r="G1854"/>
      <c r="H1854"/>
    </row>
    <row r="1855" spans="2:8" x14ac:dyDescent="0.2">
      <c r="B1855"/>
      <c r="C1855"/>
      <c r="D1855"/>
      <c r="E1855"/>
      <c r="F1855"/>
      <c r="G1855"/>
      <c r="H1855"/>
    </row>
    <row r="1856" spans="2:8" x14ac:dyDescent="0.2">
      <c r="B1856"/>
      <c r="C1856"/>
      <c r="D1856"/>
      <c r="E1856"/>
      <c r="F1856"/>
      <c r="G1856"/>
      <c r="H1856"/>
    </row>
    <row r="1857" spans="2:8" x14ac:dyDescent="0.2">
      <c r="B1857"/>
      <c r="C1857"/>
      <c r="D1857"/>
      <c r="E1857"/>
      <c r="F1857"/>
      <c r="G1857"/>
      <c r="H1857"/>
    </row>
    <row r="1858" spans="2:8" x14ac:dyDescent="0.2">
      <c r="B1858"/>
      <c r="C1858"/>
      <c r="D1858"/>
      <c r="E1858"/>
      <c r="F1858"/>
      <c r="G1858"/>
      <c r="H1858"/>
    </row>
    <row r="1859" spans="2:8" x14ac:dyDescent="0.2">
      <c r="B1859"/>
      <c r="C1859"/>
      <c r="D1859"/>
      <c r="E1859"/>
      <c r="F1859"/>
      <c r="G1859"/>
      <c r="H1859"/>
    </row>
    <row r="1860" spans="2:8" x14ac:dyDescent="0.2">
      <c r="B1860"/>
      <c r="C1860"/>
      <c r="D1860"/>
      <c r="E1860"/>
      <c r="F1860"/>
      <c r="G1860"/>
      <c r="H1860"/>
    </row>
    <row r="1861" spans="2:8" x14ac:dyDescent="0.2">
      <c r="B1861"/>
      <c r="C1861"/>
      <c r="D1861"/>
      <c r="E1861"/>
      <c r="F1861"/>
      <c r="G1861"/>
      <c r="H1861"/>
    </row>
    <row r="1862" spans="2:8" x14ac:dyDescent="0.2">
      <c r="B1862"/>
      <c r="C1862"/>
      <c r="D1862"/>
      <c r="E1862"/>
      <c r="F1862"/>
      <c r="G1862"/>
      <c r="H1862"/>
    </row>
    <row r="1863" spans="2:8" x14ac:dyDescent="0.2">
      <c r="B1863"/>
      <c r="C1863"/>
      <c r="D1863"/>
      <c r="E1863"/>
      <c r="F1863"/>
      <c r="G1863"/>
      <c r="H1863"/>
    </row>
    <row r="1864" spans="2:8" x14ac:dyDescent="0.2">
      <c r="B1864"/>
      <c r="C1864"/>
      <c r="D1864"/>
      <c r="E1864"/>
      <c r="F1864"/>
      <c r="G1864"/>
      <c r="H1864"/>
    </row>
    <row r="1865" spans="2:8" x14ac:dyDescent="0.2">
      <c r="B1865"/>
      <c r="C1865"/>
      <c r="D1865"/>
      <c r="E1865"/>
      <c r="F1865"/>
      <c r="G1865"/>
      <c r="H1865"/>
    </row>
    <row r="1866" spans="2:8" x14ac:dyDescent="0.2">
      <c r="B1866"/>
      <c r="C1866"/>
      <c r="D1866"/>
      <c r="E1866"/>
      <c r="F1866"/>
      <c r="G1866"/>
      <c r="H1866"/>
    </row>
    <row r="1867" spans="2:8" x14ac:dyDescent="0.2">
      <c r="B1867"/>
      <c r="C1867"/>
      <c r="D1867"/>
      <c r="E1867"/>
      <c r="F1867"/>
      <c r="G1867"/>
      <c r="H1867"/>
    </row>
    <row r="1868" spans="2:8" x14ac:dyDescent="0.2">
      <c r="B1868"/>
      <c r="C1868"/>
      <c r="D1868"/>
      <c r="E1868"/>
      <c r="F1868"/>
      <c r="G1868"/>
      <c r="H1868"/>
    </row>
    <row r="1869" spans="2:8" x14ac:dyDescent="0.2">
      <c r="B1869"/>
      <c r="C1869"/>
      <c r="D1869"/>
      <c r="E1869"/>
      <c r="F1869"/>
      <c r="G1869"/>
      <c r="H1869"/>
    </row>
    <row r="1870" spans="2:8" x14ac:dyDescent="0.2">
      <c r="B1870"/>
      <c r="C1870"/>
      <c r="D1870"/>
      <c r="E1870"/>
      <c r="F1870"/>
      <c r="G1870"/>
      <c r="H1870"/>
    </row>
    <row r="1871" spans="2:8" x14ac:dyDescent="0.2">
      <c r="B1871"/>
      <c r="C1871"/>
      <c r="D1871"/>
      <c r="E1871"/>
      <c r="F1871"/>
      <c r="G1871"/>
      <c r="H1871"/>
    </row>
    <row r="1872" spans="2:8" x14ac:dyDescent="0.2">
      <c r="B1872"/>
      <c r="C1872"/>
      <c r="D1872"/>
      <c r="E1872"/>
      <c r="F1872"/>
      <c r="G1872"/>
      <c r="H1872"/>
    </row>
    <row r="1873" spans="2:8" x14ac:dyDescent="0.2">
      <c r="B1873"/>
      <c r="C1873"/>
      <c r="D1873"/>
      <c r="E1873"/>
      <c r="F1873"/>
      <c r="G1873"/>
      <c r="H1873"/>
    </row>
    <row r="1874" spans="2:8" x14ac:dyDescent="0.2">
      <c r="B1874"/>
      <c r="C1874"/>
      <c r="D1874"/>
      <c r="E1874"/>
      <c r="F1874"/>
      <c r="G1874"/>
      <c r="H1874"/>
    </row>
    <row r="1875" spans="2:8" x14ac:dyDescent="0.2">
      <c r="B1875"/>
      <c r="C1875"/>
      <c r="D1875"/>
      <c r="E1875"/>
      <c r="F1875"/>
      <c r="G1875"/>
      <c r="H1875"/>
    </row>
    <row r="1876" spans="2:8" x14ac:dyDescent="0.2">
      <c r="B1876"/>
      <c r="C1876"/>
      <c r="D1876"/>
      <c r="E1876"/>
      <c r="F1876"/>
      <c r="G1876"/>
      <c r="H1876"/>
    </row>
    <row r="1877" spans="2:8" x14ac:dyDescent="0.2">
      <c r="B1877"/>
      <c r="C1877"/>
      <c r="D1877"/>
      <c r="E1877"/>
      <c r="F1877"/>
      <c r="G1877"/>
      <c r="H1877"/>
    </row>
    <row r="1878" spans="2:8" x14ac:dyDescent="0.2">
      <c r="B1878"/>
      <c r="C1878"/>
      <c r="D1878"/>
      <c r="E1878"/>
      <c r="F1878"/>
      <c r="G1878"/>
      <c r="H1878"/>
    </row>
    <row r="1879" spans="2:8" x14ac:dyDescent="0.2">
      <c r="B1879"/>
      <c r="C1879"/>
      <c r="D1879"/>
      <c r="E1879"/>
      <c r="F1879"/>
      <c r="G1879"/>
      <c r="H1879"/>
    </row>
    <row r="1880" spans="2:8" x14ac:dyDescent="0.2">
      <c r="B1880"/>
      <c r="C1880"/>
      <c r="D1880"/>
      <c r="E1880"/>
      <c r="F1880"/>
      <c r="G1880"/>
      <c r="H1880"/>
    </row>
    <row r="1881" spans="2:8" x14ac:dyDescent="0.2">
      <c r="B1881"/>
      <c r="C1881"/>
      <c r="D1881"/>
      <c r="E1881"/>
      <c r="F1881"/>
      <c r="G1881"/>
      <c r="H1881"/>
    </row>
    <row r="1882" spans="2:8" x14ac:dyDescent="0.2">
      <c r="B1882"/>
      <c r="C1882"/>
      <c r="D1882"/>
      <c r="E1882"/>
      <c r="F1882"/>
      <c r="G1882"/>
      <c r="H1882"/>
    </row>
    <row r="1883" spans="2:8" x14ac:dyDescent="0.2">
      <c r="B1883"/>
      <c r="C1883"/>
      <c r="D1883"/>
      <c r="E1883"/>
      <c r="F1883"/>
      <c r="G1883"/>
      <c r="H1883"/>
    </row>
    <row r="1884" spans="2:8" x14ac:dyDescent="0.2">
      <c r="B1884"/>
      <c r="C1884"/>
      <c r="D1884"/>
      <c r="E1884"/>
      <c r="F1884"/>
      <c r="G1884"/>
      <c r="H1884"/>
    </row>
    <row r="1885" spans="2:8" x14ac:dyDescent="0.2">
      <c r="B1885"/>
      <c r="C1885"/>
      <c r="D1885"/>
      <c r="E1885"/>
      <c r="F1885"/>
      <c r="G1885"/>
      <c r="H1885"/>
    </row>
    <row r="1886" spans="2:8" x14ac:dyDescent="0.2">
      <c r="B1886"/>
      <c r="C1886"/>
      <c r="D1886"/>
      <c r="E1886"/>
      <c r="F1886"/>
      <c r="G1886"/>
      <c r="H1886"/>
    </row>
    <row r="1887" spans="2:8" x14ac:dyDescent="0.2">
      <c r="B1887"/>
      <c r="C1887"/>
      <c r="D1887"/>
      <c r="E1887"/>
      <c r="F1887"/>
      <c r="G1887"/>
      <c r="H1887"/>
    </row>
    <row r="1888" spans="2:8" x14ac:dyDescent="0.2">
      <c r="B1888"/>
      <c r="C1888"/>
      <c r="D1888"/>
      <c r="E1888"/>
      <c r="F1888"/>
      <c r="G1888"/>
      <c r="H1888"/>
    </row>
    <row r="1889" spans="2:8" x14ac:dyDescent="0.2">
      <c r="B1889"/>
      <c r="C1889"/>
      <c r="D1889"/>
      <c r="E1889"/>
      <c r="F1889"/>
      <c r="G1889"/>
      <c r="H1889"/>
    </row>
    <row r="1890" spans="2:8" x14ac:dyDescent="0.2">
      <c r="B1890"/>
      <c r="C1890"/>
      <c r="D1890"/>
      <c r="E1890"/>
      <c r="F1890"/>
      <c r="G1890"/>
      <c r="H1890"/>
    </row>
    <row r="1891" spans="2:8" x14ac:dyDescent="0.2">
      <c r="B1891"/>
      <c r="C1891"/>
      <c r="D1891"/>
      <c r="E1891"/>
      <c r="F1891"/>
      <c r="G1891"/>
      <c r="H1891"/>
    </row>
    <row r="1892" spans="2:8" x14ac:dyDescent="0.2">
      <c r="B1892"/>
      <c r="C1892"/>
      <c r="D1892"/>
      <c r="E1892"/>
      <c r="F1892"/>
      <c r="G1892"/>
      <c r="H1892"/>
    </row>
    <row r="1893" spans="2:8" x14ac:dyDescent="0.2">
      <c r="B1893"/>
      <c r="C1893"/>
      <c r="D1893"/>
      <c r="E1893"/>
      <c r="F1893"/>
      <c r="G1893"/>
      <c r="H1893"/>
    </row>
    <row r="1894" spans="2:8" x14ac:dyDescent="0.2">
      <c r="B1894"/>
      <c r="C1894"/>
      <c r="D1894"/>
      <c r="E1894"/>
      <c r="F1894"/>
      <c r="G1894"/>
      <c r="H1894"/>
    </row>
    <row r="1895" spans="2:8" x14ac:dyDescent="0.2">
      <c r="B1895"/>
      <c r="C1895"/>
      <c r="D1895"/>
      <c r="E1895"/>
      <c r="F1895"/>
      <c r="G1895"/>
      <c r="H1895"/>
    </row>
    <row r="1896" spans="2:8" x14ac:dyDescent="0.2">
      <c r="B1896"/>
      <c r="C1896"/>
      <c r="D1896"/>
      <c r="E1896"/>
      <c r="F1896"/>
      <c r="G1896"/>
      <c r="H1896"/>
    </row>
    <row r="1897" spans="2:8" x14ac:dyDescent="0.2">
      <c r="B1897"/>
      <c r="C1897"/>
      <c r="D1897"/>
      <c r="E1897"/>
      <c r="F1897"/>
      <c r="G1897"/>
      <c r="H1897"/>
    </row>
    <row r="1898" spans="2:8" x14ac:dyDescent="0.2">
      <c r="B1898"/>
      <c r="C1898"/>
      <c r="D1898"/>
      <c r="E1898"/>
      <c r="F1898"/>
      <c r="G1898"/>
      <c r="H1898"/>
    </row>
    <row r="1899" spans="2:8" x14ac:dyDescent="0.2">
      <c r="B1899"/>
      <c r="C1899"/>
      <c r="D1899"/>
      <c r="E1899"/>
      <c r="F1899"/>
      <c r="G1899"/>
      <c r="H1899"/>
    </row>
    <row r="1900" spans="2:8" x14ac:dyDescent="0.2">
      <c r="B1900"/>
      <c r="C1900"/>
      <c r="D1900"/>
      <c r="E1900"/>
      <c r="F1900"/>
      <c r="G1900"/>
      <c r="H1900"/>
    </row>
    <row r="1901" spans="2:8" x14ac:dyDescent="0.2">
      <c r="B1901"/>
      <c r="C1901"/>
      <c r="D1901"/>
      <c r="E1901"/>
      <c r="F1901"/>
      <c r="G1901"/>
      <c r="H1901"/>
    </row>
    <row r="1902" spans="2:8" x14ac:dyDescent="0.2">
      <c r="B1902"/>
      <c r="C1902"/>
      <c r="D1902"/>
      <c r="E1902"/>
      <c r="F1902"/>
      <c r="G1902"/>
      <c r="H1902"/>
    </row>
    <row r="1903" spans="2:8" x14ac:dyDescent="0.2">
      <c r="B1903"/>
      <c r="C1903"/>
      <c r="D1903"/>
      <c r="E1903"/>
      <c r="F1903"/>
      <c r="G1903"/>
      <c r="H1903"/>
    </row>
    <row r="1904" spans="2:8" x14ac:dyDescent="0.2">
      <c r="B1904"/>
      <c r="C1904"/>
      <c r="D1904"/>
      <c r="E1904"/>
      <c r="F1904"/>
      <c r="G1904"/>
      <c r="H1904"/>
    </row>
    <row r="1905" spans="2:8" x14ac:dyDescent="0.2">
      <c r="B1905"/>
      <c r="C1905"/>
      <c r="D1905"/>
      <c r="E1905"/>
      <c r="F1905"/>
      <c r="G1905"/>
      <c r="H1905"/>
    </row>
    <row r="1906" spans="2:8" x14ac:dyDescent="0.2">
      <c r="B1906"/>
      <c r="C1906"/>
      <c r="D1906"/>
      <c r="E1906"/>
      <c r="F1906"/>
      <c r="G1906"/>
      <c r="H1906"/>
    </row>
    <row r="1907" spans="2:8" x14ac:dyDescent="0.2">
      <c r="B1907"/>
      <c r="C1907"/>
      <c r="D1907"/>
      <c r="E1907"/>
      <c r="F1907"/>
      <c r="G1907"/>
      <c r="H1907"/>
    </row>
    <row r="1908" spans="2:8" x14ac:dyDescent="0.2">
      <c r="B1908"/>
      <c r="C1908"/>
      <c r="D1908"/>
      <c r="E1908"/>
      <c r="F1908"/>
      <c r="G1908"/>
      <c r="H1908"/>
    </row>
    <row r="1909" spans="2:8" x14ac:dyDescent="0.2">
      <c r="B1909"/>
      <c r="C1909"/>
      <c r="D1909"/>
      <c r="E1909"/>
      <c r="F1909"/>
      <c r="G1909"/>
      <c r="H1909"/>
    </row>
    <row r="1910" spans="2:8" x14ac:dyDescent="0.2">
      <c r="B1910"/>
      <c r="C1910"/>
      <c r="D1910"/>
      <c r="E1910"/>
      <c r="F1910"/>
      <c r="G1910"/>
      <c r="H1910"/>
    </row>
    <row r="1911" spans="2:8" x14ac:dyDescent="0.2">
      <c r="B1911"/>
      <c r="C1911"/>
      <c r="D1911"/>
      <c r="E1911"/>
      <c r="F1911"/>
      <c r="G1911"/>
      <c r="H1911"/>
    </row>
    <row r="1912" spans="2:8" x14ac:dyDescent="0.2">
      <c r="B1912"/>
      <c r="C1912"/>
      <c r="D1912"/>
      <c r="E1912"/>
      <c r="F1912"/>
      <c r="G1912"/>
      <c r="H1912"/>
    </row>
    <row r="1913" spans="2:8" x14ac:dyDescent="0.2">
      <c r="B1913"/>
      <c r="C1913"/>
      <c r="D1913"/>
      <c r="E1913"/>
      <c r="F1913"/>
      <c r="G1913"/>
      <c r="H1913"/>
    </row>
    <row r="1914" spans="2:8" x14ac:dyDescent="0.2">
      <c r="B1914"/>
      <c r="C1914"/>
      <c r="D1914"/>
      <c r="E1914"/>
      <c r="F1914"/>
      <c r="G1914"/>
      <c r="H1914"/>
    </row>
    <row r="1915" spans="2:8" x14ac:dyDescent="0.2">
      <c r="B1915"/>
      <c r="C1915"/>
      <c r="D1915"/>
      <c r="E1915"/>
      <c r="F1915"/>
      <c r="G1915"/>
      <c r="H1915"/>
    </row>
    <row r="1916" spans="2:8" x14ac:dyDescent="0.2">
      <c r="B1916"/>
      <c r="C1916"/>
      <c r="D1916"/>
      <c r="E1916"/>
      <c r="F1916"/>
      <c r="G1916"/>
      <c r="H1916"/>
    </row>
    <row r="1917" spans="2:8" x14ac:dyDescent="0.2">
      <c r="B1917"/>
      <c r="C1917"/>
      <c r="D1917"/>
      <c r="E1917"/>
      <c r="F1917"/>
      <c r="G1917"/>
      <c r="H1917"/>
    </row>
    <row r="1918" spans="2:8" x14ac:dyDescent="0.2">
      <c r="B1918"/>
      <c r="C1918"/>
      <c r="D1918"/>
      <c r="E1918"/>
      <c r="F1918"/>
      <c r="G1918"/>
      <c r="H1918"/>
    </row>
    <row r="1919" spans="2:8" x14ac:dyDescent="0.2">
      <c r="B1919"/>
      <c r="C1919"/>
      <c r="D1919"/>
      <c r="E1919"/>
      <c r="F1919"/>
      <c r="G1919"/>
      <c r="H1919"/>
    </row>
    <row r="1920" spans="2:8" x14ac:dyDescent="0.2">
      <c r="B1920"/>
      <c r="C1920"/>
      <c r="D1920"/>
      <c r="E1920"/>
      <c r="F1920"/>
      <c r="G1920"/>
      <c r="H1920"/>
    </row>
    <row r="1921" spans="2:8" x14ac:dyDescent="0.2">
      <c r="B1921"/>
      <c r="C1921"/>
      <c r="D1921"/>
      <c r="E1921"/>
      <c r="F1921"/>
      <c r="G1921"/>
      <c r="H1921"/>
    </row>
    <row r="1922" spans="2:8" x14ac:dyDescent="0.2">
      <c r="B1922"/>
      <c r="C1922"/>
      <c r="D1922"/>
      <c r="E1922"/>
      <c r="F1922"/>
      <c r="G1922"/>
      <c r="H1922"/>
    </row>
    <row r="1923" spans="2:8" x14ac:dyDescent="0.2">
      <c r="B1923"/>
      <c r="C1923"/>
      <c r="D1923"/>
      <c r="E1923"/>
      <c r="F1923"/>
      <c r="G1923"/>
      <c r="H1923"/>
    </row>
    <row r="1924" spans="2:8" x14ac:dyDescent="0.2">
      <c r="B1924"/>
      <c r="C1924"/>
      <c r="D1924"/>
      <c r="E1924"/>
      <c r="F1924"/>
      <c r="G1924"/>
      <c r="H1924"/>
    </row>
    <row r="1925" spans="2:8" x14ac:dyDescent="0.2">
      <c r="B1925"/>
      <c r="C1925"/>
      <c r="D1925"/>
      <c r="E1925"/>
      <c r="F1925"/>
      <c r="G1925"/>
      <c r="H1925"/>
    </row>
    <row r="1926" spans="2:8" x14ac:dyDescent="0.2">
      <c r="B1926"/>
      <c r="C1926"/>
      <c r="D1926"/>
      <c r="E1926"/>
      <c r="F1926"/>
      <c r="G1926"/>
      <c r="H1926"/>
    </row>
    <row r="1927" spans="2:8" x14ac:dyDescent="0.2">
      <c r="B1927"/>
      <c r="C1927"/>
      <c r="D1927"/>
      <c r="E1927"/>
      <c r="F1927"/>
      <c r="G1927"/>
      <c r="H1927"/>
    </row>
    <row r="1928" spans="2:8" x14ac:dyDescent="0.2">
      <c r="B1928"/>
      <c r="C1928"/>
      <c r="D1928"/>
      <c r="E1928"/>
      <c r="F1928"/>
      <c r="G1928"/>
      <c r="H1928"/>
    </row>
    <row r="1929" spans="2:8" x14ac:dyDescent="0.2">
      <c r="B1929"/>
      <c r="C1929"/>
      <c r="D1929"/>
      <c r="E1929"/>
      <c r="F1929"/>
      <c r="G1929"/>
      <c r="H1929"/>
    </row>
    <row r="1930" spans="2:8" x14ac:dyDescent="0.2">
      <c r="B1930"/>
      <c r="C1930"/>
      <c r="D1930"/>
      <c r="E1930"/>
      <c r="F1930"/>
      <c r="G1930"/>
      <c r="H1930"/>
    </row>
    <row r="1931" spans="2:8" x14ac:dyDescent="0.2">
      <c r="B1931"/>
      <c r="C1931"/>
      <c r="D1931"/>
      <c r="E1931"/>
      <c r="F1931"/>
      <c r="G1931"/>
      <c r="H1931"/>
    </row>
    <row r="1932" spans="2:8" x14ac:dyDescent="0.2">
      <c r="B1932"/>
      <c r="C1932"/>
      <c r="D1932"/>
      <c r="E1932"/>
      <c r="F1932"/>
      <c r="G1932"/>
      <c r="H1932"/>
    </row>
    <row r="1933" spans="2:8" x14ac:dyDescent="0.2">
      <c r="B1933"/>
      <c r="C1933"/>
      <c r="D1933"/>
      <c r="E1933"/>
      <c r="F1933"/>
      <c r="G1933"/>
      <c r="H1933"/>
    </row>
    <row r="1934" spans="2:8" x14ac:dyDescent="0.2">
      <c r="B1934"/>
      <c r="C1934"/>
      <c r="D1934"/>
      <c r="E1934"/>
      <c r="F1934"/>
      <c r="G1934"/>
      <c r="H1934"/>
    </row>
    <row r="1935" spans="2:8" x14ac:dyDescent="0.2">
      <c r="B1935"/>
      <c r="C1935"/>
      <c r="D1935"/>
      <c r="E1935"/>
      <c r="F1935"/>
      <c r="G1935"/>
      <c r="H1935"/>
    </row>
    <row r="1936" spans="2:8" x14ac:dyDescent="0.2">
      <c r="B1936"/>
      <c r="C1936"/>
      <c r="D1936"/>
      <c r="E1936"/>
      <c r="F1936"/>
      <c r="G1936"/>
      <c r="H1936"/>
    </row>
    <row r="1937" spans="2:8" x14ac:dyDescent="0.2">
      <c r="B1937"/>
      <c r="C1937"/>
      <c r="D1937"/>
      <c r="E1937"/>
      <c r="F1937"/>
      <c r="G1937"/>
      <c r="H1937"/>
    </row>
    <row r="1938" spans="2:8" x14ac:dyDescent="0.2">
      <c r="B1938"/>
      <c r="C1938"/>
      <c r="D1938"/>
      <c r="E1938"/>
      <c r="F1938"/>
      <c r="G1938"/>
      <c r="H1938"/>
    </row>
    <row r="1939" spans="2:8" x14ac:dyDescent="0.2">
      <c r="B1939"/>
      <c r="C1939"/>
      <c r="D1939"/>
      <c r="E1939"/>
      <c r="F1939"/>
      <c r="G1939"/>
      <c r="H1939"/>
    </row>
    <row r="1940" spans="2:8" x14ac:dyDescent="0.2">
      <c r="B1940"/>
      <c r="C1940"/>
      <c r="D1940"/>
      <c r="E1940"/>
      <c r="F1940"/>
      <c r="G1940"/>
      <c r="H1940"/>
    </row>
    <row r="1941" spans="2:8" x14ac:dyDescent="0.2">
      <c r="B1941"/>
      <c r="C1941"/>
      <c r="D1941"/>
      <c r="E1941"/>
      <c r="F1941"/>
      <c r="G1941"/>
      <c r="H1941"/>
    </row>
    <row r="1942" spans="2:8" x14ac:dyDescent="0.2">
      <c r="B1942"/>
      <c r="C1942"/>
      <c r="D1942"/>
      <c r="E1942"/>
      <c r="F1942"/>
      <c r="G1942"/>
      <c r="H1942"/>
    </row>
    <row r="1943" spans="2:8" x14ac:dyDescent="0.2">
      <c r="B1943"/>
      <c r="C1943"/>
      <c r="D1943"/>
      <c r="E1943"/>
      <c r="F1943"/>
      <c r="G1943"/>
      <c r="H1943"/>
    </row>
    <row r="1944" spans="2:8" x14ac:dyDescent="0.2">
      <c r="B1944"/>
      <c r="C1944"/>
      <c r="D1944"/>
      <c r="E1944"/>
      <c r="F1944"/>
      <c r="G1944"/>
      <c r="H1944"/>
    </row>
    <row r="1945" spans="2:8" x14ac:dyDescent="0.2">
      <c r="B1945"/>
      <c r="C1945"/>
      <c r="D1945"/>
      <c r="E1945"/>
      <c r="F1945"/>
      <c r="G1945"/>
      <c r="H1945"/>
    </row>
    <row r="1946" spans="2:8" x14ac:dyDescent="0.2">
      <c r="B1946"/>
      <c r="C1946"/>
      <c r="D1946"/>
      <c r="E1946"/>
      <c r="F1946"/>
      <c r="G1946"/>
      <c r="H1946"/>
    </row>
    <row r="1947" spans="2:8" x14ac:dyDescent="0.2">
      <c r="B1947"/>
      <c r="C1947"/>
      <c r="D1947"/>
      <c r="E1947"/>
      <c r="F1947"/>
      <c r="G1947"/>
      <c r="H1947"/>
    </row>
    <row r="1948" spans="2:8" x14ac:dyDescent="0.2">
      <c r="B1948"/>
      <c r="C1948"/>
      <c r="D1948"/>
      <c r="E1948"/>
      <c r="F1948"/>
      <c r="G1948"/>
      <c r="H1948"/>
    </row>
    <row r="1949" spans="2:8" x14ac:dyDescent="0.2">
      <c r="B1949"/>
      <c r="C1949"/>
      <c r="D1949"/>
      <c r="E1949"/>
      <c r="F1949"/>
      <c r="G1949"/>
      <c r="H1949"/>
    </row>
    <row r="1950" spans="2:8" x14ac:dyDescent="0.2">
      <c r="B1950"/>
      <c r="C1950"/>
      <c r="D1950"/>
      <c r="E1950"/>
      <c r="F1950"/>
      <c r="G1950"/>
      <c r="H1950"/>
    </row>
    <row r="1951" spans="2:8" x14ac:dyDescent="0.2">
      <c r="B1951"/>
      <c r="C1951"/>
      <c r="D1951"/>
      <c r="E1951"/>
      <c r="F1951"/>
      <c r="G1951"/>
      <c r="H1951"/>
    </row>
    <row r="1952" spans="2:8" x14ac:dyDescent="0.2">
      <c r="B1952"/>
      <c r="C1952"/>
      <c r="D1952"/>
      <c r="E1952"/>
      <c r="F1952"/>
      <c r="G1952"/>
      <c r="H1952"/>
    </row>
    <row r="1953" spans="2:8" x14ac:dyDescent="0.2">
      <c r="B1953"/>
      <c r="C1953"/>
      <c r="D1953"/>
      <c r="E1953"/>
      <c r="F1953"/>
      <c r="G1953"/>
      <c r="H1953"/>
    </row>
    <row r="1954" spans="2:8" x14ac:dyDescent="0.2">
      <c r="B1954"/>
      <c r="C1954"/>
      <c r="D1954"/>
      <c r="E1954"/>
      <c r="F1954"/>
      <c r="G1954"/>
      <c r="H1954"/>
    </row>
    <row r="1955" spans="2:8" x14ac:dyDescent="0.2">
      <c r="B1955"/>
      <c r="C1955"/>
      <c r="D1955"/>
      <c r="E1955"/>
      <c r="F1955"/>
      <c r="G1955"/>
      <c r="H1955"/>
    </row>
    <row r="1956" spans="2:8" x14ac:dyDescent="0.2">
      <c r="B1956"/>
      <c r="C1956"/>
      <c r="D1956"/>
      <c r="E1956"/>
      <c r="F1956"/>
      <c r="G1956"/>
      <c r="H1956"/>
    </row>
    <row r="1957" spans="2:8" x14ac:dyDescent="0.2">
      <c r="B1957"/>
      <c r="C1957"/>
      <c r="D1957"/>
      <c r="E1957"/>
      <c r="F1957"/>
      <c r="G1957"/>
      <c r="H1957"/>
    </row>
    <row r="1958" spans="2:8" x14ac:dyDescent="0.2">
      <c r="B1958"/>
      <c r="C1958"/>
      <c r="D1958"/>
      <c r="E1958"/>
      <c r="F1958"/>
      <c r="G1958"/>
      <c r="H1958"/>
    </row>
    <row r="1959" spans="2:8" x14ac:dyDescent="0.2">
      <c r="B1959"/>
      <c r="C1959"/>
      <c r="D1959"/>
      <c r="E1959"/>
      <c r="F1959"/>
      <c r="G1959"/>
      <c r="H1959"/>
    </row>
    <row r="1960" spans="2:8" x14ac:dyDescent="0.2">
      <c r="B1960"/>
      <c r="C1960"/>
      <c r="D1960"/>
      <c r="E1960"/>
      <c r="F1960"/>
      <c r="G1960"/>
      <c r="H1960"/>
    </row>
    <row r="1961" spans="2:8" x14ac:dyDescent="0.2">
      <c r="B1961"/>
      <c r="C1961"/>
      <c r="D1961"/>
      <c r="E1961"/>
      <c r="F1961"/>
      <c r="G1961"/>
      <c r="H1961"/>
    </row>
    <row r="1962" spans="2:8" x14ac:dyDescent="0.2">
      <c r="B1962"/>
      <c r="C1962"/>
      <c r="D1962"/>
      <c r="E1962"/>
      <c r="F1962"/>
      <c r="G1962"/>
      <c r="H1962"/>
    </row>
    <row r="1963" spans="2:8" x14ac:dyDescent="0.2">
      <c r="B1963"/>
      <c r="C1963"/>
      <c r="D1963"/>
      <c r="E1963"/>
      <c r="F1963"/>
      <c r="G1963"/>
      <c r="H1963"/>
    </row>
    <row r="1964" spans="2:8" x14ac:dyDescent="0.2">
      <c r="B1964"/>
      <c r="C1964"/>
      <c r="D1964"/>
      <c r="E1964"/>
      <c r="F1964"/>
      <c r="G1964"/>
      <c r="H1964"/>
    </row>
    <row r="1965" spans="2:8" x14ac:dyDescent="0.2">
      <c r="B1965"/>
      <c r="C1965"/>
      <c r="D1965"/>
      <c r="E1965"/>
      <c r="F1965"/>
      <c r="G1965"/>
      <c r="H1965"/>
    </row>
    <row r="1966" spans="2:8" x14ac:dyDescent="0.2">
      <c r="B1966"/>
      <c r="C1966"/>
      <c r="D1966"/>
      <c r="E1966"/>
      <c r="F1966"/>
      <c r="G1966"/>
      <c r="H1966"/>
    </row>
    <row r="1967" spans="2:8" x14ac:dyDescent="0.2">
      <c r="B1967"/>
      <c r="C1967"/>
      <c r="D1967"/>
      <c r="E1967"/>
      <c r="F1967"/>
      <c r="G1967"/>
      <c r="H1967"/>
    </row>
    <row r="1968" spans="2:8" x14ac:dyDescent="0.2">
      <c r="B1968"/>
      <c r="C1968"/>
      <c r="D1968"/>
      <c r="E1968"/>
      <c r="F1968"/>
      <c r="G1968"/>
      <c r="H1968"/>
    </row>
    <row r="1969" spans="2:8" x14ac:dyDescent="0.2">
      <c r="B1969"/>
      <c r="C1969"/>
      <c r="D1969"/>
      <c r="E1969"/>
      <c r="F1969"/>
      <c r="G1969"/>
      <c r="H1969"/>
    </row>
    <row r="1970" spans="2:8" x14ac:dyDescent="0.2">
      <c r="B1970"/>
      <c r="C1970"/>
      <c r="D1970"/>
      <c r="E1970"/>
      <c r="F1970"/>
      <c r="G1970"/>
      <c r="H1970"/>
    </row>
    <row r="1971" spans="2:8" x14ac:dyDescent="0.2">
      <c r="B1971"/>
      <c r="C1971"/>
      <c r="D1971"/>
      <c r="E1971"/>
      <c r="F1971"/>
      <c r="G1971"/>
      <c r="H1971"/>
    </row>
    <row r="1972" spans="2:8" x14ac:dyDescent="0.2">
      <c r="B1972"/>
      <c r="C1972"/>
      <c r="D1972"/>
      <c r="E1972"/>
      <c r="F1972"/>
      <c r="G1972"/>
      <c r="H1972"/>
    </row>
    <row r="1973" spans="2:8" x14ac:dyDescent="0.2">
      <c r="B1973"/>
      <c r="C1973"/>
      <c r="D1973"/>
      <c r="E1973"/>
      <c r="F1973"/>
      <c r="G1973"/>
      <c r="H1973"/>
    </row>
    <row r="1974" spans="2:8" x14ac:dyDescent="0.2">
      <c r="B1974"/>
      <c r="C1974"/>
      <c r="D1974"/>
      <c r="E1974"/>
      <c r="F1974"/>
      <c r="G1974"/>
      <c r="H1974"/>
    </row>
    <row r="1975" spans="2:8" x14ac:dyDescent="0.2">
      <c r="B1975"/>
      <c r="C1975"/>
      <c r="D1975"/>
      <c r="E1975"/>
      <c r="F1975"/>
      <c r="G1975"/>
      <c r="H1975"/>
    </row>
    <row r="1976" spans="2:8" x14ac:dyDescent="0.2">
      <c r="B1976"/>
      <c r="C1976"/>
      <c r="D1976"/>
      <c r="E1976"/>
      <c r="F1976"/>
      <c r="G1976"/>
      <c r="H1976"/>
    </row>
    <row r="1977" spans="2:8" x14ac:dyDescent="0.2">
      <c r="B1977"/>
      <c r="C1977"/>
      <c r="D1977"/>
      <c r="E1977"/>
      <c r="F1977"/>
      <c r="G1977"/>
      <c r="H1977"/>
    </row>
    <row r="1978" spans="2:8" x14ac:dyDescent="0.2">
      <c r="B1978"/>
      <c r="C1978"/>
      <c r="D1978"/>
      <c r="E1978"/>
      <c r="F1978"/>
      <c r="G1978"/>
      <c r="H1978"/>
    </row>
    <row r="1979" spans="2:8" x14ac:dyDescent="0.2">
      <c r="B1979"/>
      <c r="C1979"/>
      <c r="D1979"/>
      <c r="E1979"/>
      <c r="F1979"/>
      <c r="G1979"/>
      <c r="H1979"/>
    </row>
    <row r="1980" spans="2:8" x14ac:dyDescent="0.2">
      <c r="B1980"/>
      <c r="C1980"/>
      <c r="D1980"/>
      <c r="E1980"/>
      <c r="F1980"/>
      <c r="G1980"/>
      <c r="H1980"/>
    </row>
    <row r="1981" spans="2:8" x14ac:dyDescent="0.2">
      <c r="B1981"/>
      <c r="C1981"/>
      <c r="D1981"/>
      <c r="E1981"/>
      <c r="F1981"/>
      <c r="G1981"/>
      <c r="H1981"/>
    </row>
    <row r="1982" spans="2:8" x14ac:dyDescent="0.2">
      <c r="B1982"/>
      <c r="C1982"/>
      <c r="D1982"/>
      <c r="E1982"/>
      <c r="F1982"/>
      <c r="G1982"/>
      <c r="H1982"/>
    </row>
    <row r="1983" spans="2:8" x14ac:dyDescent="0.2">
      <c r="B1983"/>
      <c r="C1983"/>
      <c r="D1983"/>
      <c r="E1983"/>
      <c r="F1983"/>
      <c r="G1983"/>
      <c r="H1983"/>
    </row>
    <row r="1984" spans="2:8" x14ac:dyDescent="0.2">
      <c r="B1984"/>
      <c r="C1984"/>
      <c r="D1984"/>
      <c r="E1984"/>
      <c r="F1984"/>
      <c r="G1984"/>
      <c r="H1984"/>
    </row>
    <row r="1985" spans="2:8" x14ac:dyDescent="0.2">
      <c r="B1985"/>
      <c r="C1985"/>
      <c r="D1985"/>
      <c r="E1985"/>
      <c r="F1985"/>
      <c r="G1985"/>
      <c r="H1985"/>
    </row>
    <row r="1986" spans="2:8" x14ac:dyDescent="0.2">
      <c r="B1986"/>
      <c r="C1986"/>
      <c r="D1986"/>
      <c r="E1986"/>
      <c r="F1986"/>
      <c r="G1986"/>
      <c r="H1986"/>
    </row>
    <row r="1987" spans="2:8" x14ac:dyDescent="0.2">
      <c r="B1987"/>
      <c r="C1987"/>
      <c r="D1987"/>
      <c r="E1987"/>
      <c r="F1987"/>
      <c r="G1987"/>
      <c r="H1987"/>
    </row>
    <row r="1988" spans="2:8" x14ac:dyDescent="0.2">
      <c r="B1988"/>
      <c r="C1988"/>
      <c r="D1988"/>
      <c r="E1988"/>
      <c r="F1988"/>
      <c r="G1988"/>
      <c r="H1988"/>
    </row>
    <row r="1989" spans="2:8" x14ac:dyDescent="0.2">
      <c r="B1989"/>
      <c r="C1989"/>
      <c r="D1989"/>
      <c r="E1989"/>
      <c r="F1989"/>
      <c r="G1989"/>
      <c r="H1989"/>
    </row>
    <row r="1990" spans="2:8" x14ac:dyDescent="0.2">
      <c r="B1990"/>
      <c r="C1990"/>
      <c r="D1990"/>
      <c r="E1990"/>
      <c r="F1990"/>
      <c r="G1990"/>
      <c r="H1990"/>
    </row>
    <row r="1991" spans="2:8" x14ac:dyDescent="0.2">
      <c r="B1991"/>
      <c r="C1991"/>
      <c r="D1991"/>
      <c r="E1991"/>
      <c r="F1991"/>
      <c r="G1991"/>
      <c r="H1991"/>
    </row>
    <row r="1992" spans="2:8" x14ac:dyDescent="0.2">
      <c r="B1992"/>
      <c r="C1992"/>
      <c r="D1992"/>
      <c r="E1992"/>
      <c r="F1992"/>
      <c r="G1992"/>
      <c r="H1992"/>
    </row>
    <row r="1993" spans="2:8" x14ac:dyDescent="0.2">
      <c r="B1993"/>
      <c r="C1993"/>
      <c r="D1993"/>
      <c r="E1993"/>
      <c r="F1993"/>
      <c r="G1993"/>
      <c r="H1993"/>
    </row>
    <row r="1994" spans="2:8" x14ac:dyDescent="0.2">
      <c r="B1994"/>
      <c r="C1994"/>
      <c r="D1994"/>
      <c r="E1994"/>
      <c r="F1994"/>
      <c r="G1994"/>
      <c r="H1994"/>
    </row>
    <row r="1995" spans="2:8" x14ac:dyDescent="0.2">
      <c r="B1995"/>
      <c r="C1995"/>
      <c r="D1995"/>
      <c r="E1995"/>
      <c r="F1995"/>
      <c r="G1995"/>
      <c r="H1995"/>
    </row>
    <row r="1996" spans="2:8" x14ac:dyDescent="0.2">
      <c r="B1996"/>
      <c r="C1996"/>
      <c r="D1996"/>
      <c r="E1996"/>
      <c r="F1996"/>
      <c r="G1996"/>
      <c r="H1996"/>
    </row>
    <row r="1997" spans="2:8" x14ac:dyDescent="0.2">
      <c r="B1997"/>
      <c r="C1997"/>
      <c r="D1997"/>
      <c r="E1997"/>
      <c r="F1997"/>
      <c r="G1997"/>
      <c r="H1997"/>
    </row>
    <row r="1998" spans="2:8" x14ac:dyDescent="0.2">
      <c r="B1998"/>
      <c r="C1998"/>
      <c r="D1998"/>
      <c r="E1998"/>
      <c r="F1998"/>
      <c r="G1998"/>
      <c r="H1998"/>
    </row>
    <row r="1999" spans="2:8" x14ac:dyDescent="0.2">
      <c r="B1999"/>
      <c r="C1999"/>
      <c r="D1999"/>
      <c r="E1999"/>
      <c r="F1999"/>
      <c r="G1999"/>
      <c r="H1999"/>
    </row>
    <row r="2000" spans="2:8" x14ac:dyDescent="0.2">
      <c r="B2000"/>
      <c r="C2000"/>
      <c r="D2000"/>
      <c r="E2000"/>
      <c r="F2000"/>
      <c r="G2000"/>
      <c r="H2000"/>
    </row>
    <row r="2001" spans="2:8" x14ac:dyDescent="0.2">
      <c r="B2001"/>
      <c r="C2001"/>
      <c r="D2001"/>
      <c r="E2001"/>
      <c r="F2001"/>
      <c r="G2001"/>
      <c r="H2001"/>
    </row>
    <row r="2002" spans="2:8" x14ac:dyDescent="0.2">
      <c r="B2002"/>
      <c r="C2002"/>
      <c r="D2002"/>
      <c r="E2002"/>
      <c r="F2002"/>
      <c r="G2002"/>
      <c r="H2002"/>
    </row>
    <row r="2003" spans="2:8" x14ac:dyDescent="0.2">
      <c r="B2003"/>
      <c r="C2003"/>
      <c r="D2003"/>
      <c r="E2003"/>
      <c r="F2003"/>
      <c r="G2003"/>
      <c r="H2003"/>
    </row>
    <row r="2004" spans="2:8" x14ac:dyDescent="0.2">
      <c r="B2004"/>
      <c r="C2004"/>
      <c r="D2004"/>
      <c r="E2004"/>
      <c r="F2004"/>
      <c r="G2004"/>
      <c r="H2004"/>
    </row>
    <row r="2005" spans="2:8" x14ac:dyDescent="0.2">
      <c r="B2005"/>
      <c r="C2005"/>
      <c r="D2005"/>
      <c r="E2005"/>
      <c r="F2005"/>
      <c r="G2005"/>
      <c r="H2005"/>
    </row>
    <row r="2006" spans="2:8" x14ac:dyDescent="0.2">
      <c r="B2006"/>
      <c r="C2006"/>
      <c r="D2006"/>
      <c r="E2006"/>
      <c r="F2006"/>
      <c r="G2006"/>
      <c r="H2006"/>
    </row>
    <row r="2007" spans="2:8" x14ac:dyDescent="0.2">
      <c r="B2007"/>
      <c r="C2007"/>
      <c r="D2007"/>
      <c r="E2007"/>
      <c r="F2007"/>
      <c r="G2007"/>
      <c r="H2007"/>
    </row>
    <row r="2008" spans="2:8" x14ac:dyDescent="0.2">
      <c r="B2008"/>
      <c r="C2008"/>
      <c r="D2008"/>
      <c r="E2008"/>
      <c r="F2008"/>
      <c r="G2008"/>
      <c r="H2008"/>
    </row>
    <row r="2009" spans="2:8" x14ac:dyDescent="0.2">
      <c r="B2009"/>
      <c r="C2009"/>
      <c r="D2009"/>
      <c r="E2009"/>
      <c r="F2009"/>
      <c r="G2009"/>
      <c r="H2009"/>
    </row>
    <row r="2010" spans="2:8" x14ac:dyDescent="0.2">
      <c r="B2010"/>
      <c r="C2010"/>
      <c r="D2010"/>
      <c r="E2010"/>
      <c r="F2010"/>
      <c r="G2010"/>
      <c r="H2010"/>
    </row>
    <row r="2011" spans="2:8" x14ac:dyDescent="0.2">
      <c r="B2011"/>
      <c r="C2011"/>
      <c r="D2011"/>
      <c r="E2011"/>
      <c r="F2011"/>
      <c r="G2011"/>
      <c r="H2011"/>
    </row>
    <row r="2012" spans="2:8" x14ac:dyDescent="0.2">
      <c r="B2012"/>
      <c r="C2012"/>
      <c r="D2012"/>
      <c r="E2012"/>
      <c r="F2012"/>
      <c r="G2012"/>
      <c r="H2012"/>
    </row>
    <row r="2013" spans="2:8" x14ac:dyDescent="0.2">
      <c r="B2013"/>
      <c r="C2013"/>
      <c r="D2013"/>
      <c r="E2013"/>
      <c r="F2013"/>
      <c r="G2013"/>
      <c r="H2013"/>
    </row>
    <row r="2014" spans="2:8" x14ac:dyDescent="0.2">
      <c r="B2014"/>
      <c r="C2014"/>
      <c r="D2014"/>
      <c r="E2014"/>
      <c r="F2014"/>
      <c r="G2014"/>
      <c r="H2014"/>
    </row>
    <row r="2015" spans="2:8" x14ac:dyDescent="0.2">
      <c r="B2015"/>
      <c r="C2015"/>
      <c r="D2015"/>
      <c r="E2015"/>
      <c r="F2015"/>
      <c r="G2015"/>
      <c r="H2015"/>
    </row>
    <row r="2016" spans="2:8" x14ac:dyDescent="0.2">
      <c r="B2016"/>
      <c r="C2016"/>
      <c r="D2016"/>
      <c r="E2016"/>
      <c r="F2016"/>
      <c r="G2016"/>
      <c r="H2016"/>
    </row>
    <row r="2017" spans="2:8" x14ac:dyDescent="0.2">
      <c r="B2017"/>
      <c r="C2017"/>
      <c r="D2017"/>
      <c r="E2017"/>
      <c r="F2017"/>
      <c r="G2017"/>
      <c r="H2017"/>
    </row>
    <row r="2018" spans="2:8" x14ac:dyDescent="0.2">
      <c r="B2018"/>
      <c r="C2018"/>
      <c r="D2018"/>
      <c r="E2018"/>
      <c r="F2018"/>
      <c r="G2018"/>
      <c r="H2018"/>
    </row>
    <row r="2019" spans="2:8" x14ac:dyDescent="0.2">
      <c r="B2019"/>
      <c r="C2019"/>
      <c r="D2019"/>
      <c r="E2019"/>
      <c r="F2019"/>
      <c r="G2019"/>
      <c r="H2019"/>
    </row>
    <row r="2020" spans="2:8" x14ac:dyDescent="0.2">
      <c r="B2020"/>
      <c r="C2020"/>
      <c r="D2020"/>
      <c r="E2020"/>
      <c r="F2020"/>
      <c r="G2020"/>
      <c r="H2020"/>
    </row>
    <row r="2021" spans="2:8" x14ac:dyDescent="0.2">
      <c r="B2021"/>
      <c r="C2021"/>
      <c r="D2021"/>
      <c r="E2021"/>
      <c r="F2021"/>
      <c r="G2021"/>
      <c r="H2021"/>
    </row>
    <row r="2022" spans="2:8" x14ac:dyDescent="0.2">
      <c r="B2022"/>
      <c r="C2022"/>
      <c r="D2022"/>
      <c r="E2022"/>
      <c r="F2022"/>
      <c r="G2022"/>
      <c r="H2022"/>
    </row>
    <row r="2023" spans="2:8" x14ac:dyDescent="0.2">
      <c r="B2023"/>
      <c r="C2023"/>
      <c r="D2023"/>
      <c r="E2023"/>
      <c r="F2023"/>
      <c r="G2023"/>
      <c r="H2023"/>
    </row>
    <row r="2024" spans="2:8" x14ac:dyDescent="0.2">
      <c r="B2024"/>
      <c r="C2024"/>
      <c r="D2024"/>
      <c r="E2024"/>
      <c r="F2024"/>
      <c r="G2024"/>
      <c r="H2024"/>
    </row>
    <row r="2025" spans="2:8" x14ac:dyDescent="0.2">
      <c r="B2025"/>
      <c r="C2025"/>
      <c r="D2025"/>
      <c r="E2025"/>
      <c r="F2025"/>
      <c r="G2025"/>
      <c r="H2025"/>
    </row>
    <row r="2026" spans="2:8" x14ac:dyDescent="0.2">
      <c r="B2026"/>
      <c r="C2026"/>
      <c r="D2026"/>
      <c r="E2026"/>
      <c r="F2026"/>
      <c r="G2026"/>
      <c r="H2026"/>
    </row>
    <row r="2027" spans="2:8" x14ac:dyDescent="0.2">
      <c r="B2027"/>
      <c r="C2027"/>
      <c r="D2027"/>
      <c r="E2027"/>
      <c r="F2027"/>
      <c r="G2027"/>
      <c r="H2027"/>
    </row>
    <row r="2028" spans="2:8" x14ac:dyDescent="0.2">
      <c r="B2028"/>
      <c r="C2028"/>
      <c r="D2028"/>
      <c r="E2028"/>
      <c r="F2028"/>
      <c r="G2028"/>
      <c r="H2028"/>
    </row>
    <row r="2029" spans="2:8" x14ac:dyDescent="0.2">
      <c r="B2029"/>
      <c r="C2029"/>
      <c r="D2029"/>
      <c r="E2029"/>
      <c r="F2029"/>
      <c r="G2029"/>
      <c r="H2029"/>
    </row>
    <row r="2030" spans="2:8" x14ac:dyDescent="0.2">
      <c r="B2030"/>
      <c r="C2030"/>
      <c r="D2030"/>
      <c r="E2030"/>
      <c r="F2030"/>
      <c r="G2030"/>
      <c r="H2030"/>
    </row>
    <row r="2031" spans="2:8" x14ac:dyDescent="0.2">
      <c r="B2031"/>
      <c r="C2031"/>
      <c r="D2031"/>
      <c r="E2031"/>
      <c r="F2031"/>
      <c r="G2031"/>
      <c r="H2031"/>
    </row>
    <row r="2032" spans="2:8" x14ac:dyDescent="0.2">
      <c r="B2032"/>
      <c r="C2032"/>
      <c r="D2032"/>
      <c r="E2032"/>
      <c r="F2032"/>
      <c r="G2032"/>
      <c r="H2032"/>
    </row>
    <row r="2033" spans="2:8" x14ac:dyDescent="0.2">
      <c r="B2033"/>
      <c r="C2033"/>
      <c r="D2033"/>
      <c r="E2033"/>
      <c r="F2033"/>
      <c r="G2033"/>
      <c r="H2033"/>
    </row>
    <row r="2034" spans="2:8" x14ac:dyDescent="0.2">
      <c r="B2034"/>
      <c r="C2034"/>
      <c r="D2034"/>
      <c r="E2034"/>
      <c r="F2034"/>
      <c r="G2034"/>
      <c r="H2034"/>
    </row>
    <row r="2035" spans="2:8" x14ac:dyDescent="0.2">
      <c r="B2035"/>
      <c r="C2035"/>
      <c r="D2035"/>
      <c r="E2035"/>
      <c r="F2035"/>
      <c r="G2035"/>
      <c r="H2035"/>
    </row>
    <row r="2036" spans="2:8" x14ac:dyDescent="0.2">
      <c r="B2036"/>
      <c r="C2036"/>
      <c r="D2036"/>
      <c r="E2036"/>
      <c r="F2036"/>
      <c r="G2036"/>
      <c r="H2036"/>
    </row>
  </sheetData>
  <autoFilter ref="G6:O1000" xr:uid="{00000000-0009-0000-0000-000006000000}"/>
  <printOptions horizontalCentered="1"/>
  <pageMargins left="0.59055118110236227" right="0.59055118110236227" top="0.59055118110236227" bottom="0.98425196850393704" header="0.51181102362204722" footer="0.51181102362204722"/>
  <pageSetup paperSize="9" scale="77" fitToHeight="0" orientation="portrait" horizontalDpi="4294967293" verticalDpi="4294967293" r:id="rId2"/>
  <headerFooter alignWithMargins="0">
    <oddFooter>Stránka &amp;P z &amp;N</oddFooter>
  </headerFooter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Button 1">
              <controlPr defaultSize="0" print="0" autoFill="0" autoPict="0" macro="[1]!SeraditZebrik_G">
                <anchor moveWithCells="1">
                  <from>
                    <xdr:col>9</xdr:col>
                    <xdr:colOff>0</xdr:colOff>
                    <xdr:row>1</xdr:row>
                    <xdr:rowOff>0</xdr:rowOff>
                  </from>
                  <to>
                    <xdr:col>10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Zebrik G</vt:lpstr>
    </vt:vector>
  </TitlesOfParts>
  <Company>Letiste Praha, a.s.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HARAŠTA Ivan</dc:creator>
  <cp:lastModifiedBy>HARAŠTA Ivan</cp:lastModifiedBy>
  <dcterms:created xsi:type="dcterms:W3CDTF">2026-02-11T10:36:44Z</dcterms:created>
  <dcterms:modified xsi:type="dcterms:W3CDTF">2026-02-11T10:40:59Z</dcterms:modified>
</cp:coreProperties>
</file>